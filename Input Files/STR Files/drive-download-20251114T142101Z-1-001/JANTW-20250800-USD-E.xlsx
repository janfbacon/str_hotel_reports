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8.xml" ContentType="application/vnd.openxmlformats-officedocument.spreadsheetml.worksheet+xml"/>
  <Override PartName="/xl/printerSettings/printerSettings29.bin" ContentType="application/vnd.openxmlformats-officedocument.spreadsheetml.printerSettings"/>
  <Override PartName="/xl/drawings/drawing30.xml" ContentType="application/vnd.openxmlformats-officedocument.drawing+xml"/>
  <Override PartName="/xl/worksheets/sheet32.xml" ContentType="application/vnd.openxmlformats-officedocument.spreadsheetml.worksheet+xml"/>
  <Override PartName="/xl/printerSettings/printerSettings33.bin" ContentType="application/vnd.openxmlformats-officedocument.spreadsheetml.printerSettings"/>
  <Override PartName="/xl/drawings/drawing34.xml" ContentType="application/vnd.openxmlformats-officedocument.drawing+xml"/>
  <Override PartName="/xl/worksheets/sheet36.xml" ContentType="application/vnd.openxmlformats-officedocument.spreadsheetml.worksheet+xml"/>
  <Override PartName="/xl/printerSettings/printerSettings37.bin" ContentType="application/vnd.openxmlformats-officedocument.spreadsheetml.printerSettings"/>
  <Override PartName="/xl/drawings/drawing38.xml" ContentType="application/vnd.openxmlformats-officedocument.drawing+xml"/>
  <Override PartName="/xl/worksheets/sheet40.xml" ContentType="application/vnd.openxmlformats-officedocument.spreadsheetml.worksheet+xml"/>
  <Override PartName="/xl/printerSettings/printerSettings41.bin" ContentType="application/vnd.openxmlformats-officedocument.spreadsheetml.printerSettings"/>
  <Override PartName="/xl/drawings/drawing42.xml" ContentType="application/vnd.openxmlformats-officedocument.drawing+xml"/>
  <Override PartName="/xl/worksheets/sheet44.xml" ContentType="application/vnd.openxmlformats-officedocument.spreadsheetml.worksheet+xml"/>
  <Override PartName="/xl/printerSettings/printerSettings45.bin" ContentType="application/vnd.openxmlformats-officedocument.spreadsheetml.printerSettings"/>
  <Override PartName="/xl/drawings/drawing46.xml" ContentType="application/vnd.openxmlformats-officedocument.drawing+xml"/>
  <Override PartName="/xl/worksheets/sheet48.xml" ContentType="application/vnd.openxmlformats-officedocument.spreadsheetml.worksheet+xml"/>
  <Override PartName="/xl/printerSettings/printerSettings49.bin" ContentType="application/vnd.openxmlformats-officedocument.spreadsheetml.printerSettings"/>
  <Override PartName="/xl/drawings/drawing50.xml" ContentType="application/vnd.openxmlformats-officedocument.drawing+xml"/>
  <Override PartName="/xl/worksheets/sheet52.xml" ContentType="application/vnd.openxmlformats-officedocument.spreadsheetml.worksheet+xml"/>
  <Override PartName="/xl/printerSettings/printerSettings53.bin" ContentType="application/vnd.openxmlformats-officedocument.spreadsheetml.printerSettings"/>
  <Override PartName="/xl/drawings/drawing54.xml" ContentType="application/vnd.openxmlformats-officedocument.drawing+xml"/>
  <Override PartName="/xl/worksheets/sheet56.xml" ContentType="application/vnd.openxmlformats-officedocument.spreadsheetml.worksheet+xml"/>
  <Override PartName="/xl/printerSettings/printerSettings57.bin" ContentType="application/vnd.openxmlformats-officedocument.spreadsheetml.printerSettings"/>
  <Override PartName="/xl/drawings/drawing58.xml" ContentType="application/vnd.openxmlformats-officedocument.drawing+xml"/>
  <Override PartName="/xl/worksheets/sheet59.xml" ContentType="application/vnd.openxmlformats-officedocument.spreadsheetml.worksheet+xml"/>
  <Override PartName="/xl/printerSettings/printerSettings60.bin" ContentType="application/vnd.openxmlformats-officedocument.spreadsheetml.printerSettings"/>
  <Override PartName="/xl/drawings/drawing61.xml" ContentType="application/vnd.openxmlformats-officedocument.drawing+xml"/>
  <Override PartName="/xl/worksheets/sheet62.xml" ContentType="application/vnd.openxmlformats-officedocument.spreadsheetml.worksheet+xml"/>
  <Override PartName="/xl/printerSettings/printerSettings63.bin" ContentType="application/vnd.openxmlformats-officedocument.spreadsheetml.printerSettings"/>
  <Override PartName="/xl/drawings/drawing64.xml" ContentType="application/vnd.openxmlformats-officedocument.drawing+xml"/>
  <Override PartName="/xl/worksheets/sheet65.xml" ContentType="application/vnd.openxmlformats-officedocument.spreadsheetml.worksheet+xml"/>
  <Override PartName="/xl/printerSettings/printerSettings66.bin" ContentType="application/vnd.openxmlformats-officedocument.spreadsheetml.printerSettings"/>
  <Override PartName="/xl/drawings/drawing67.xml" ContentType="application/vnd.openxmlformats-officedocument.drawing+xml"/>
  <Override PartName="/xl/worksheets/sheet69.xml" ContentType="application/vnd.openxmlformats-officedocument.spreadsheetml.worksheet+xml"/>
  <Override PartName="/xl/printerSettings/printerSettings70.bin" ContentType="application/vnd.openxmlformats-officedocument.spreadsheetml.printerSettings"/>
  <Override PartName="/xl/drawings/drawing71.xml" ContentType="application/vnd.openxmlformats-officedocument.drawing+xml"/>
  <Override PartName="/xl/charts/chart72.xml" ContentType="application/vnd.openxmlformats-officedocument.drawingml.chart+xml"/>
  <Override PartName="/xl/charts/chart73.xml" ContentType="application/vnd.openxmlformats-officedocument.drawingml.chart+xml"/>
  <Override PartName="/xl/drawings/drawing74.xml" ContentType="application/vnd.openxmlformats-officedocument.drawing+xml"/>
  <Override PartName="/xl/charts/chart75.xml" ContentType="application/vnd.openxmlformats-officedocument.drawingml.chart+xml"/>
  <Override PartName="/xl/charts/chart76.xml" ContentType="application/vnd.openxmlformats-officedocument.drawingml.chart+xml"/>
  <Override PartName="/xl/drawings/drawing77.xml" ContentType="application/vnd.openxmlformats-officedocument.drawing+xml"/>
  <Override PartName="/xl/charts/chart78.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30"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4026"/>
  <workbookPr codeName="ThisWorkbook" defaultThemeVersion="124226"/>
  <bookViews>
    <workbookView xWindow="-120" yWindow="-120" windowWidth="21600" windowHeight="10410" tabRatio="966"/>
  </bookViews>
  <sheets>
    <sheet name="Table of Contents" sheetId="1" r:id="rId13"/>
    <sheet name="Glance" sheetId="57" r:id="rId14"/>
    <sheet name="Summary" sheetId="55" r:id="rId15"/>
    <sheet name="Comp" sheetId="76" r:id="rId12"/>
    <sheet name="Response" sheetId="13" r:id="rId20"/>
    <sheet name="Day of Week" sheetId="60" r:id="rId16"/>
    <sheet name="Daily by Month" sheetId="47" r:id="rId17"/>
    <sheet name="Segmentation Glance" sheetId="77" r:id="rId11"/>
    <sheet name="Segmentation Occ" sheetId="78" r:id="rId10"/>
    <sheet name="Segmentation ADR" sheetId="79" r:id="rId9"/>
    <sheet name="Segmentation RevPAR" sheetId="80" r:id="rId8"/>
    <sheet name="Segmentation Indexes" sheetId="81" r:id="rId7"/>
    <sheet name="Segmentation Ranking" sheetId="82" r:id="rId6"/>
    <sheet name="Segmentation DOW Month" sheetId="83" r:id="rId5"/>
    <sheet name="Segmentation DOW YTD" sheetId="84" r:id="rId4"/>
    <sheet name="Segmentation DOW Run 3" sheetId="85" r:id="rId3"/>
    <sheet name="Segmentation DOW Run 12" sheetId="86" r:id="rId2"/>
    <sheet name="Add Rev ADR" sheetId="65" r:id="rId18"/>
    <sheet name="Add Rev RevPAR" sheetId="66" r:id="rId19"/>
    <sheet name="Segmentation Response" sheetId="87" r:id="rId1"/>
    <sheet name="Help" sheetId="74" r:id="rId21"/>
  </sheets>
  <definedNames>
    <definedName name="_xlnm.Print_Area" localSheetId="17">'Add Rev ADR'!$A$1:$AH$46</definedName>
    <definedName name="_xlnm.Print_Area" localSheetId="18">'Add Rev RevPAR'!$A$1:$AH$45</definedName>
    <definedName name="_xlnm.Print_Area" localSheetId="6">'Daily by Month'!$A$1:$AH$57</definedName>
    <definedName name="_xlnm.Print_Area" localSheetId="5">'Day of Week'!$A$1:$V$78</definedName>
    <definedName name="_xlnm.Print_Area" localSheetId="1">Glance!$A$1:$T$34</definedName>
    <definedName name="_xlnm.Print_Area" localSheetId="20">Help!$A$1:$J$16</definedName>
    <definedName name="_xlnm.Print_Area" localSheetId="4">Response!$A$1:$AR$106</definedName>
    <definedName name="_xlnm.Print_Area" localSheetId="2">Summary!$A$1:$U$45</definedName>
    <definedName name="_xlnm.Print_Area" localSheetId="0">'Table of Contents'!$A$1:$H$63</definedName>
    <definedName name="_xlnm.Print_Area" localSheetId="3">Comp!$A$1:$AG$57</definedName>
    <definedName name="_xlnm.Print_Area" localSheetId="7">'Segmentation Glance'!$A$1:$T$41</definedName>
    <definedName name="_xlnm.Print_Area" localSheetId="8">'Segmentation Occ'!$A$1:$AB$45</definedName>
    <definedName name="_xlnm.Print_Area" localSheetId="9">'Segmentation ADR'!$A$1:$AB$44</definedName>
    <definedName name="_xlnm.Print_Area" localSheetId="10">'Segmentation RevPAR'!$A$1:$AB$44</definedName>
    <definedName name="_xlnm.Print_Area" localSheetId="11">'Segmentation Indexes'!$A$1:$AB$44</definedName>
    <definedName name="_xlnm.Print_Area" localSheetId="12">'Segmentation Ranking'!$A$1:$AB$44</definedName>
    <definedName name="_xlnm.Print_Area" localSheetId="13">'Segmentation DOW Month'!$A$1:$AB$53</definedName>
    <definedName name="_xlnm.Print_Area" localSheetId="14">'Segmentation DOW YTD'!$A$1:$AB$53</definedName>
    <definedName name="_xlnm.Print_Area" localSheetId="15">'Segmentation DOW Run 3'!$A$1:$AB$53</definedName>
    <definedName name="_xlnm.Print_Area" localSheetId="16">'Segmentation DOW Run 12'!$A$1:$AB$53</definedName>
    <definedName name="_xlnm.Print_Area" localSheetId="19">'Segmentation Response'!$A$1:$AR$106</definedName>
  </definedNames>
  <calcPr calcId="152511"/>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<sst xmlns="http://schemas.openxmlformats.org/spreadsheetml/2006/main" xmlns:r="http://schemas.openxmlformats.org/officeDocument/2006/relationships" xmlns:xdr="http://schemas.openxmlformats.org/drawingml/2006/spreadsheetDrawing" xmlns:s="http://schemas.openxmlformats.org/officeDocument/2006/sharedTypes" xmlns:vt="http://schemas.openxmlformats.org/officeDocument/2006/docPropsVTypes" xmlns:a="http://schemas.openxmlformats.org/drawingml/2006/main" xmlns:cdr="http://schemas.openxmlformats.org/drawingml/2006/chartDrawing" count="1023" uniqueCount="126">
  <si>
    <t>Sun</t>
  </si>
  <si>
    <t>Mon</t>
  </si>
  <si>
    <t>Tue</t>
  </si>
  <si>
    <t>Wed</t>
  </si>
  <si>
    <t>Thu</t>
  </si>
  <si>
    <t>Fri</t>
  </si>
  <si>
    <t>Sat</t>
  </si>
  <si>
    <t>This Year</t>
  </si>
  <si>
    <t>Last Year</t>
  </si>
  <si>
    <t>ADR</t>
  </si>
  <si>
    <t>RevPAR</t>
  </si>
  <si>
    <t>Transient</t>
  </si>
  <si>
    <t>Total</t>
  </si>
  <si>
    <t>Group</t>
  </si>
  <si>
    <t>Contract</t>
  </si>
  <si>
    <t>Comp Set</t>
  </si>
  <si>
    <t>Comp set</t>
  </si>
  <si>
    <t>Other</t>
  </si>
  <si>
    <t>F&amp;B</t>
  </si>
  <si>
    <t>My Property</t>
  </si>
  <si>
    <t>Room</t>
  </si>
  <si>
    <t>Name</t>
  </si>
  <si>
    <t>Occupancy (%)</t>
  </si>
  <si>
    <t>Rank</t>
  </si>
  <si>
    <t>% Chg</t>
  </si>
  <si>
    <t>My Prop</t>
  </si>
  <si>
    <t>Market Scale</t>
  </si>
  <si>
    <t xml:space="preserve"> </t>
  </si>
  <si>
    <t>Supply</t>
  </si>
  <si>
    <t>Demand</t>
  </si>
  <si>
    <t>Census/Sample - Properties &amp; Rooms</t>
  </si>
  <si>
    <t>Census</t>
  </si>
  <si>
    <t>Sample</t>
  </si>
  <si>
    <t>Properties</t>
  </si>
  <si>
    <t>Rooms</t>
  </si>
  <si>
    <t>Competitive Set</t>
  </si>
  <si>
    <t>Sample %</t>
  </si>
  <si>
    <t>Year to Date</t>
  </si>
  <si>
    <t>Revenue</t>
  </si>
  <si>
    <t>Day of Week</t>
  </si>
  <si>
    <t>Weekday</t>
  </si>
  <si>
    <t>Time Period</t>
  </si>
  <si>
    <t>Current Month</t>
  </si>
  <si>
    <t>Sunday</t>
  </si>
  <si>
    <t>Running 3 Month</t>
  </si>
  <si>
    <t>Running 12 Month</t>
  </si>
  <si>
    <t>Monday</t>
  </si>
  <si>
    <t>Tuesday</t>
  </si>
  <si>
    <t>Wednesday</t>
  </si>
  <si>
    <t>Thursday</t>
  </si>
  <si>
    <t>Friday</t>
  </si>
  <si>
    <t>Saturday</t>
  </si>
  <si>
    <t>Weekend</t>
  </si>
  <si>
    <t>Occ</t>
  </si>
  <si>
    <t>Indexes</t>
  </si>
  <si>
    <t>(Fri-Sat)</t>
  </si>
  <si>
    <t xml:space="preserve">Pipeline </t>
  </si>
  <si>
    <t>Weekday/Weekend</t>
  </si>
  <si>
    <t>Year To Date</t>
  </si>
  <si>
    <t xml:space="preserve">  Year To Date</t>
  </si>
  <si>
    <t>Zip</t>
  </si>
  <si>
    <t>Phone</t>
  </si>
  <si>
    <t>Open Date</t>
  </si>
  <si>
    <t>Month % Chg</t>
  </si>
  <si>
    <t>YTD % Chg</t>
  </si>
  <si>
    <t>Run 3 Mon % Chg</t>
  </si>
  <si>
    <t>Run 12 Mon % Chg</t>
  </si>
  <si>
    <t>(Sun-Thu)</t>
  </si>
  <si>
    <t xml:space="preserve">     % Chg</t>
  </si>
  <si>
    <t>Percent of Total Revenue (%)</t>
  </si>
  <si>
    <t>Percent Change (%)</t>
  </si>
  <si>
    <t>STR#</t>
  </si>
  <si>
    <t>Occupancy</t>
  </si>
  <si>
    <t>Property</t>
  </si>
  <si>
    <t>Competitive Set: Competitors</t>
  </si>
  <si>
    <t xml:space="preserve">     Weekday</t>
  </si>
  <si>
    <t xml:space="preserve">     Weekend</t>
  </si>
  <si>
    <t>Ranking</t>
  </si>
  <si>
    <t>My Prop vs. Comp Set</t>
  </si>
  <si>
    <t xml:space="preserve">This Year </t>
  </si>
  <si>
    <t xml:space="preserve">Last Year  </t>
  </si>
  <si>
    <t>Date</t>
  </si>
  <si>
    <t>Total Sundays</t>
  </si>
  <si>
    <t>Total Mondays</t>
  </si>
  <si>
    <t>Total Tuesdays</t>
  </si>
  <si>
    <t>Total Wednesdays</t>
  </si>
  <si>
    <t>Total Thursdays</t>
  </si>
  <si>
    <t>Total Fridays</t>
  </si>
  <si>
    <t>Total Saturdays</t>
  </si>
  <si>
    <t>Exchange Rate*</t>
  </si>
  <si>
    <t>Average Daily Rate</t>
  </si>
  <si>
    <t>Revenue Per Rooms Sold</t>
  </si>
  <si>
    <t>Revenue Per Rooms Available</t>
  </si>
  <si>
    <t>Revenue Per Room Sold</t>
  </si>
  <si>
    <t>City, State Country</t>
  </si>
  <si>
    <t xml:space="preserve">City, State </t>
  </si>
  <si>
    <t>December LYTD</t>
  </si>
  <si>
    <t>Index (MPI)</t>
  </si>
  <si>
    <t>Index (ARI)</t>
  </si>
  <si>
    <t>Index (RGI)</t>
  </si>
  <si>
    <t>Exchange Rate</t>
  </si>
  <si>
    <t>Total (TrevPOR**)</t>
  </si>
  <si>
    <t xml:space="preserve">** TrevPOR = Total revenue per occupied room (sum of Room, F&amp;B, and Other revenue divided by total occupied rooms).  </t>
  </si>
  <si>
    <t>Total (TrevPAR**)</t>
  </si>
  <si>
    <t xml:space="preserve">** TrevPAR = Total revenue per available room (sum of Room, F&amp;B, and Other revenue divided by total available rooms).  </t>
  </si>
  <si>
    <t>Job #</t>
  </si>
  <si>
    <t>Title</t>
  </si>
  <si>
    <t>Options</t>
  </si>
  <si>
    <t>Table Of Contents</t>
  </si>
  <si>
    <t>Occupancy Index</t>
  </si>
  <si>
    <t>ADR Index</t>
  </si>
  <si>
    <t>RevPAR Index</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</si>
  <si>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</si>
  <si>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</si>
  <si>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</si>
  <si>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</si>
  <si>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</si>
  <si>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</si>
  <si>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</si>
  <si>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</si>
  <si>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</si>
  <si>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</si>
  <si>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</si>
  <si>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</si>
  <si>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</si>
  <si>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</si>
  <si>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</si>
  <si>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Monthly Performance at a Glance - My Property vs. Competitive Set</t>
  </si>
  <si>
    <t>Monthly Performance at a Glance</t>
  </si>
  <si>
    <t>Tab 3 - STAR Summary - My Property vs. Comp Set and Industry Segments</t>
  </si>
  <si>
    <t>STAR Summary</t>
  </si>
  <si>
    <t>Tab 4 - Competitive Set Report</t>
  </si>
  <si>
    <t>Competitive Set Report</t>
  </si>
  <si>
    <t>Tab 5 - Response Report</t>
  </si>
  <si>
    <t>Response Report</t>
  </si>
  <si>
    <t>Tab 6 - Day of Week and Weekday/Weekend Report</t>
  </si>
  <si>
    <t>Day of Week &amp; Weekday/Weekend</t>
  </si>
  <si>
    <t>Tab 7 - Daily Data for the Month</t>
  </si>
  <si>
    <t>Daily Data for the Month</t>
  </si>
  <si>
    <t>Tab 8 - Segmentation at a Glance - My Property vs. Competitive Set</t>
  </si>
  <si>
    <t>Segmentation at a Glance</t>
  </si>
  <si>
    <t>Tab 9 - Segmentation Occupancy Analysis</t>
  </si>
  <si>
    <t>Segmentation Occupancy Analysis</t>
  </si>
  <si>
    <t>Tab 10 - Segmentation ADR Analysis</t>
  </si>
  <si>
    <t>Segmentation ADR Analysis</t>
  </si>
  <si>
    <t>Tab 11 - Segmentation RevPAR Analysis</t>
  </si>
  <si>
    <t>Segmentation RevPAR Analysis</t>
  </si>
  <si>
    <t>Tab 12 - Segmentation Index Analysis</t>
  </si>
  <si>
    <t>Segmentation Index Analysis</t>
  </si>
  <si>
    <t>Tab 13 - Segmentation Ranking Analysis</t>
  </si>
  <si>
    <t>Segmentation Ranking Analysis</t>
  </si>
  <si>
    <t>Tab 14 - Segmentation Day Of Week - Current Month</t>
  </si>
  <si>
    <t>Segmentation Day Of Week - Current Month</t>
  </si>
  <si>
    <t>Tab 15 - Segmentation Day Of Week - Year to Date</t>
  </si>
  <si>
    <t>Segmentation Day Of Week - Year to Date</t>
  </si>
  <si>
    <t>Tab 16 - Segmentation Day Of Week - Running 3 Month</t>
  </si>
  <si>
    <t>Segmentation Day Of Week - Running 3 Month</t>
  </si>
  <si>
    <t>Tab 17 - Segmentation Day Of Week - Running 12 Month</t>
  </si>
  <si>
    <t>Segmentation Day Of Week - Running 12 Month</t>
  </si>
  <si>
    <t>Tab 18 - Additional Revenue ADR Analysis (TrevPOR)</t>
  </si>
  <si>
    <t>Additional Revenue ADR Analysis (TrevPOR)</t>
  </si>
  <si>
    <t>Tab 19 - Additional Revenue RevPAR Analysis (TrevPAR)</t>
  </si>
  <si>
    <t>Additional Revenue RevPAR Analysis (TrevPAR)</t>
  </si>
  <si>
    <t>Tab 20 - Segmentation Response Report</t>
  </si>
  <si>
    <t>Segmentation Response Report</t>
  </si>
  <si>
    <t>Help</t>
  </si>
  <si>
    <t>Monthly STAR Report : Hilton Garden Inn Jackson Downtown</t>
  </si>
  <si>
    <t>STR # 60180 / Created September 18, 2025</t>
  </si>
  <si>
    <t>For the Month of: August 2025</t>
  </si>
  <si>
    <t>Currency: US Dollar  /  Competitive Set Data Excludes Subject Property</t>
  </si>
  <si>
    <t>Hilton Garden Inn Jackson Downtown        235 W Capitol St        Jackson, MS 39201        Phone: (601) 353-5464</t>
  </si>
  <si>
    <t>STR # 60180        ChainID: 000043085        MgtCo: Dellisart Hospitality        Owner: Desai Hotel Group</t>
  </si>
  <si>
    <t>For the Month of: August 2025        Date Created: September 18, 2025        Monthly Competitive Set Data Excludes Subject Property</t>
  </si>
  <si>
    <t>August 2025</t>
  </si>
  <si>
    <t>August 2025 vs. 2024 Percent Change (%)</t>
  </si>
  <si>
    <t>Hilton Garden Inn Jackson Downtown</t>
  </si>
  <si>
    <t>Market: Jackson, MS</t>
  </si>
  <si>
    <t>Market Class: Upscale Class</t>
  </si>
  <si>
    <t>Submarket: Jackson CBD/South, MS</t>
  </si>
  <si>
    <t>Submarket Scale: Upscale Chains</t>
  </si>
  <si>
    <t>Mar</t>
  </si>
  <si>
    <t>3 of 6</t>
  </si>
  <si>
    <t>2 of 6</t>
  </si>
  <si>
    <t>Apr</t>
  </si>
  <si>
    <t>4 of 6</t>
  </si>
  <si>
    <t>May</t>
  </si>
  <si>
    <t>5 of 6</t>
  </si>
  <si>
    <t>Jun</t>
  </si>
  <si>
    <t>Jul</t>
  </si>
  <si>
    <t>Aug</t>
  </si>
  <si>
    <t>Sep</t>
  </si>
  <si>
    <t>Oct</t>
  </si>
  <si>
    <t>Nov</t>
  </si>
  <si>
    <t>1 of 6</t>
  </si>
  <si>
    <t>Dec</t>
  </si>
  <si>
    <t>Jan</t>
  </si>
  <si>
    <t>Feb</t>
  </si>
  <si>
    <t>6 of 6</t>
  </si>
  <si>
    <t>For the Month of: August 2025        Date Created: September 18, 2025</t>
  </si>
  <si>
    <t>City, State</t>
  </si>
  <si>
    <t>August 2025 (This Year)</t>
  </si>
  <si>
    <t>August 2024 (Last Year)</t>
  </si>
  <si>
    <t>Jackson, MS</t>
  </si>
  <si>
    <t>39201</t>
  </si>
  <si>
    <t>(601) 353-5464</t>
  </si>
  <si>
    <t>186</t>
  </si>
  <si>
    <t>192312</t>
  </si>
  <si>
    <t>●</t>
  </si>
  <si>
    <t>Holiday Inn Express &amp; Suites Jackson Downtown Coliseum</t>
  </si>
  <si>
    <t>39202</t>
  </si>
  <si>
    <t>(601) 948-4466</t>
  </si>
  <si>
    <t>108</t>
  </si>
  <si>
    <t>198905</t>
  </si>
  <si>
    <t>Courtyard Jackson Ridgeland</t>
  </si>
  <si>
    <t>39211</t>
  </si>
  <si>
    <t>(601) 956-9991</t>
  </si>
  <si>
    <t>117</t>
  </si>
  <si>
    <t>199505</t>
  </si>
  <si>
    <t>Hampton Inn &amp; Suites Jackson Downtown-Coliseum</t>
  </si>
  <si>
    <t>(601) 352-1700</t>
  </si>
  <si>
    <t>111</t>
  </si>
  <si>
    <t>199611</t>
  </si>
  <si>
    <t>Country Inn &amp; Suites by Radisson, Jackson-Airport, MS</t>
  </si>
  <si>
    <t>Pearl, MS</t>
  </si>
  <si>
    <t>39208</t>
  </si>
  <si>
    <t>(601) 420-2244</t>
  </si>
  <si>
    <t>60</t>
  </si>
  <si>
    <t>200108</t>
  </si>
  <si>
    <t>Hyatt Place Jackson/Ridgeland</t>
  </si>
  <si>
    <t>Ridgeland, MS</t>
  </si>
  <si>
    <t>39157-8719</t>
  </si>
  <si>
    <t>(601) 898-8815</t>
  </si>
  <si>
    <t>126</t>
  </si>
  <si>
    <t>200810</t>
  </si>
  <si>
    <t xml:space="preserve">Data received: </t>
  </si>
  <si>
    <t>○</t>
  </si>
  <si>
    <t>= Monthly Only</t>
  </si>
  <si>
    <t>= Monthly &amp; Daily</t>
  </si>
  <si>
    <t>For the Month of: August 2025        Date Created: September 18, 2025        Daily Competitive Set Data Excludes Subject Property</t>
  </si>
  <si>
    <t>Fr</t>
  </si>
  <si>
    <t>August</t>
  </si>
  <si>
    <t>Sa</t>
  </si>
  <si>
    <t>Su</t>
  </si>
  <si>
    <t>Mo</t>
  </si>
  <si>
    <t>Tu</t>
  </si>
  <si>
    <t>We</t>
  </si>
  <si>
    <t>Th</t>
  </si>
  <si>
    <t>Market Scale: Jackson, MS Upscale Chains</t>
  </si>
  <si>
    <t>s</t>
  </si>
  <si>
    <t/>
  </si>
  <si>
    <t>B</t>
  </si>
  <si>
    <t>= Segmentation (Transient, Group, Contract) Only</t>
  </si>
  <si>
    <t>r</t>
  </si>
  <si>
    <t>= Additional Revenue Only</t>
  </si>
  <si>
    <t>= Both Segmentation &amp; Additional Revenue</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</si>
</sst>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0.00_);\(0.00\)"/>
    <numFmt numFmtId="170" formatCode="mm/dd/yy;@"/>
    <numFmt numFmtId="171" formatCode="00000"/>
  </numFmts>
  <fonts count="112">
    <font>
      <sz val="10"/>
      <name val="Arial"/>
    </font>
    <font>
      <sz val="10"/>
      <name val="Arial"/>
      <family val="2"/>
    </font>
    <font>
      <sz val="24"/>
      <color indexed="9"/>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b/>
      <sz val="13"/>
      <name val="Arial"/>
      <family val="2"/>
    </font>
    <font>
      <sz val="7"/>
      <name val="Arial"/>
      <family val="2"/>
    </font>
    <font>
      <sz val="10"/>
      <color indexed="8"/>
      <name val="Arial"/>
      <family val="2"/>
    </font>
    <font>
      <b/>
      <sz val="12"/>
      <color indexed="9"/>
      <name val="Arial"/>
      <family val="2"/>
    </font>
    <font>
      <b/>
      <sz val="14"/>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7"/>
      <name val="Webdings"/>
      <family val="1"/>
      <charset val="2"/>
    </font>
    <font>
      <sz val="10"/>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sz val="12"/>
      <name val="Arial"/>
      <family val="2"/>
    </font>
    <font>
      <b/>
      <i/>
      <sz val="10"/>
      <name val="Arial"/>
      <family val="2"/>
    </font>
    <font>
      <b/>
      <i/>
      <sz val="10"/>
      <color indexed="9"/>
      <name val="Arial"/>
      <family val="2"/>
    </font>
    <font>
      <sz val="10"/>
      <name val="Arial"/>
      <family val="2"/>
    </font>
    <font>
      <b/>
      <sz val="10"/>
      <color indexed="9"/>
      <name val="Arial"/>
      <family val="2"/>
    </font>
    <font>
      <sz val="18"/>
      <name val="Arial"/>
      <family val="2"/>
    </font>
    <font>
      <b/>
      <sz val="12"/>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b/>
      <sz val="11"/>
      <name val="Arial"/>
      <family val="2"/>
    </font>
    <font>
      <b/>
      <sz val="16"/>
      <name val="Arial"/>
      <family val="2"/>
    </font>
    <font>
      <b/>
      <sz val="12"/>
      <color indexed="39"/>
      <name val="Arial"/>
      <family val="2"/>
    </font>
    <font>
      <sz val="12"/>
      <color indexed="39"/>
      <name val="Arial"/>
      <family val="2"/>
    </font>
    <font>
      <sz val="10"/>
      <color indexed="39"/>
      <name val="Arial"/>
      <family val="2"/>
    </font>
    <font>
      <sz val="10"/>
      <color indexed="33"/>
      <name val="Arial"/>
      <family val="2"/>
    </font>
    <font>
      <sz val="10"/>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9"/>
      <name val="Arial"/>
      <family val="2"/>
    </font>
    <font>
      <sz val="8"/>
      <name val="Arial"/>
      <family val="2"/>
    </font>
    <font>
      <sz val="8"/>
      <color indexed="9"/>
      <name val="Arial"/>
      <family val="2"/>
    </font>
    <font>
      <sz val="19"/>
      <color indexed="9"/>
      <name val="Arial"/>
      <family val="2"/>
    </font>
    <font>
      <u/>
      <sz val="11"/>
      <name val="Arial"/>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u/>
      <color rgb="FF0000FF"/>
    </font>
    <font>
      <b/>
      <sz val="12"/>
      <color rgb="FFFFFFFF"/>
      <name val="Arial"/>
    </font>
    <font>
      <b/>
    </font>
    <font>
      <b/>
      <sz val="10"/>
      <name val="Arial"/>
    </font>
    <font>
      <color rgb="FFFFFFFF"/>
    </font>
    <font>
      <color rgb="FFA0A0A0"/>
    </font>
    <font/>
    <font>
      <sz val="18"/>
    </font>
    <font>
      <b val="0"/>
      <sz val="10"/>
      <color rgb="FF000000"/>
      <name val="Arial"/>
    </font>
    <font>
      <sz val="10"/>
    </font>
  </fonts>
  <fills count="41">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1"/>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s>
  <borders count="82">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28"/>
      </left>
      <right style="double">
        <color indexed="28"/>
      </right>
      <top style="double">
        <color indexed="28"/>
      </top>
      <bottom style="double">
        <color indexed="28"/>
      </bottom>
      <diagonal>
        <color/>
      </diagonal>
    </border>
    <border>
      <left style="double">
        <color indexed="53"/>
      </left>
      <right style="double">
        <color indexed="53"/>
      </right>
      <top style="double">
        <color indexed="53"/>
      </top>
      <bottom style="double">
        <color indexed="53"/>
      </bottom>
      <diagonal>
        <color/>
      </diagonal>
    </border>
    <border>
      <left>
        <color/>
      </left>
      <right>
        <color/>
      </right>
      <top>
        <color/>
      </top>
      <bottom style="thick">
        <color indexed="49"/>
      </bottom>
      <diagonal>
        <color/>
      </diagonal>
    </border>
    <border>
      <left>
        <color/>
      </left>
      <right>
        <color/>
      </right>
      <top>
        <color/>
      </top>
      <bottom style="medium">
        <color indexed="49"/>
      </bottom>
      <diagonal>
        <color/>
      </diagonal>
    </border>
    <border>
      <left>
        <color/>
      </left>
      <right>
        <color/>
      </right>
      <top>
        <color/>
      </top>
      <bottom style="double">
        <color indexed="52"/>
      </bottom>
      <diagonal>
        <color/>
      </diagonal>
    </border>
    <border>
      <left style="thin">
        <color indexed="33"/>
      </left>
      <right style="thin">
        <color indexed="33"/>
      </right>
      <top style="thin">
        <color indexed="33"/>
      </top>
      <bottom style="thin">
        <color indexed="33"/>
      </bottom>
      <diagonal>
        <color/>
      </diagonal>
    </border>
    <border>
      <left style="thin">
        <color indexed="57"/>
      </left>
      <right style="thin">
        <color indexed="57"/>
      </right>
      <top style="thin">
        <color indexed="57"/>
      </top>
      <bottom style="thin">
        <color indexed="57"/>
      </bottom>
      <diagonal>
        <color/>
      </diagonal>
    </border>
    <border>
      <left style="thin">
        <color indexed="28"/>
      </left>
      <right style="thin">
        <color indexed="28"/>
      </right>
      <top style="thin">
        <color indexed="28"/>
      </top>
      <bottom style="thin">
        <color indexed="28"/>
      </bottom>
      <diagonal>
        <color/>
      </diagonal>
    </border>
    <border>
      <left style="thin">
        <color indexed="53"/>
      </left>
      <right style="thin">
        <color indexed="53"/>
      </right>
      <top style="thin">
        <color indexed="53"/>
      </top>
      <bottom style="thin">
        <color indexed="53"/>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color/>
      </left>
      <right>
        <color/>
      </right>
      <top style="thin">
        <color indexed="57"/>
      </top>
      <bottom style="thin">
        <color indexed="57"/>
      </bottom>
      <diagonal>
        <color/>
      </diagonal>
    </border>
    <border>
      <left style="thin">
        <color indexed="57"/>
      </left>
      <right>
        <color/>
      </right>
      <top style="thin">
        <color indexed="57"/>
      </top>
      <bottom style="thin">
        <color indexed="57"/>
      </bottom>
      <diagonal>
        <color/>
      </diagonal>
    </border>
    <border>
      <left>
        <color/>
      </left>
      <right style="thin">
        <color indexed="57"/>
      </right>
      <top style="thin">
        <color indexed="57"/>
      </top>
      <bottom style="thin">
        <color indexed="57"/>
      </bottom>
      <diagonal>
        <color/>
      </diagonal>
    </border>
    <border>
      <left>
        <color/>
      </left>
      <right>
        <color/>
      </right>
      <top style="thin">
        <color indexed="49"/>
      </top>
      <bottom style="double">
        <color indexed="49"/>
      </bottom>
      <diagonal>
        <color/>
      </diagonal>
    </border>
    <border>
      <left>
        <color/>
      </left>
      <right style="thin">
        <color indexed="55"/>
      </right>
      <top>
        <color/>
      </top>
      <bottom>
        <color/>
      </bottom>
      <diagonal>
        <color/>
      </diagonal>
    </border>
    <border>
      <left>
        <color/>
      </left>
      <right style="thin">
        <color indexed="55"/>
      </right>
      <top style="thin">
        <color indexed="55"/>
      </top>
      <bottom>
        <color/>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color/>
      </left>
      <right>
        <color/>
      </right>
      <top>
        <color/>
      </top>
      <bottom style="thin">
        <color indexed="55"/>
      </bottom>
      <diagonal>
        <color/>
      </diagonal>
    </border>
    <border>
      <left style="thin">
        <color indexed="33"/>
      </left>
      <right>
        <color/>
      </right>
      <top style="thin">
        <color indexed="33"/>
      </top>
      <bottom>
        <color/>
      </bottom>
      <diagonal>
        <color/>
      </diagonal>
    </border>
    <border>
      <left>
        <color/>
      </left>
      <right style="thin">
        <color indexed="33"/>
      </right>
      <top style="thin">
        <color indexed="33"/>
      </top>
      <bottom>
        <color/>
      </bottom>
      <diagonal>
        <color/>
      </diagonal>
    </border>
    <border>
      <left style="thin">
        <color indexed="33"/>
      </left>
      <right>
        <color/>
      </right>
      <top>
        <color/>
      </top>
      <bottom>
        <color/>
      </bottom>
      <diagonal>
        <color/>
      </diagonal>
    </border>
    <border>
      <left>
        <color/>
      </left>
      <right style="thin">
        <color indexed="33"/>
      </right>
      <top>
        <color/>
      </top>
      <bottom>
        <color/>
      </bottom>
      <diagonal>
        <color/>
      </diagonal>
    </border>
    <border>
      <left style="thin">
        <color indexed="33"/>
      </left>
      <right>
        <color/>
      </right>
      <top>
        <color/>
      </top>
      <bottom style="thin">
        <color indexed="33"/>
      </bottom>
      <diagonal>
        <color/>
      </diagonal>
    </border>
    <border>
      <left>
        <color/>
      </left>
      <right style="thin">
        <color indexed="33"/>
      </right>
      <top>
        <color/>
      </top>
      <bottom style="thin">
        <color indexed="33"/>
      </bottom>
      <diagonal>
        <color/>
      </diagonal>
    </border>
    <border>
      <left>
        <color/>
      </left>
      <right>
        <color/>
      </right>
      <top style="thin">
        <color indexed="33"/>
      </top>
      <bottom>
        <color/>
      </bottom>
      <diagonal>
        <color/>
      </diagonal>
    </border>
    <border>
      <left>
        <color/>
      </left>
      <right>
        <color/>
      </right>
      <top>
        <color/>
      </top>
      <bottom style="thin">
        <color indexed="33"/>
      </bottom>
      <diagonal>
        <color/>
      </diagonal>
    </border>
    <border>
      <left style="thin">
        <color indexed="33"/>
      </left>
      <right>
        <color/>
      </right>
      <top style="thin">
        <color indexed="33"/>
      </top>
      <bottom style="thin">
        <color indexed="33"/>
      </bottom>
      <diagonal>
        <color/>
      </diagonal>
    </border>
    <border>
      <left>
        <color/>
      </left>
      <right>
        <color/>
      </right>
      <top style="thin">
        <color indexed="33"/>
      </top>
      <bottom style="thin">
        <color indexed="33"/>
      </bottom>
      <diagonal>
        <color/>
      </diagonal>
    </border>
    <border>
      <left>
        <color/>
      </left>
      <right style="thin">
        <color indexed="33"/>
      </right>
      <top style="thin">
        <color indexed="33"/>
      </top>
      <bottom style="thin">
        <color indexed="33"/>
      </bottom>
      <diagonal>
        <color/>
      </diagonal>
    </border>
    <border>
      <left style="thin">
        <color indexed="33"/>
      </left>
      <right style="thin">
        <color indexed="33"/>
      </right>
      <top style="thin">
        <color indexed="33"/>
      </top>
      <bottom>
        <color/>
      </bottom>
      <diagonal>
        <color/>
      </diagonal>
    </border>
    <border>
      <left style="thin">
        <color indexed="33"/>
      </left>
      <right style="thin">
        <color indexed="33"/>
      </right>
      <top>
        <color/>
      </top>
      <bottom>
        <color/>
      </bottom>
      <diagonal>
        <color/>
      </diagonal>
    </border>
    <border>
      <left style="thin">
        <color indexed="33"/>
      </left>
      <right style="thin">
        <color indexed="33"/>
      </right>
      <top>
        <color/>
      </top>
      <bottom style="thin">
        <color indexed="33"/>
      </bottom>
      <diagonal>
        <color/>
      </diagonal>
    </border>
    <border>
      <left style="thin">
        <color indexed="22"/>
      </left>
      <right>
        <color/>
      </right>
      <top style="thin">
        <color indexed="22"/>
      </top>
      <bottom style="thin">
        <color indexed="22"/>
      </bottom>
      <diagonal>
        <color/>
      </diagonal>
    </border>
    <border>
      <left>
        <color/>
      </left>
      <right style="thin">
        <color indexed="23"/>
      </right>
      <top>
        <color/>
      </top>
      <bottom>
        <color/>
      </bottom>
      <diagonal>
        <color/>
      </diagonal>
    </border>
    <border>
      <left style="thin">
        <color indexed="55"/>
      </left>
      <right>
        <color/>
      </right>
      <top>
        <color/>
      </top>
      <bottom>
        <color/>
      </bottom>
      <diagonal>
        <color/>
      </diagonal>
    </border>
    <border>
      <left style="thin">
        <color indexed="23"/>
      </left>
      <right>
        <color/>
      </right>
      <top>
        <color/>
      </top>
      <bottom>
        <color/>
      </bottom>
      <diagonal>
        <color/>
      </diagonal>
    </border>
    <border>
      <left style="thin">
        <color indexed="33"/>
      </left>
      <right>
        <color/>
      </right>
      <top>
        <color/>
      </top>
      <bottom style="thin">
        <color indexed="55"/>
      </bottom>
      <diagonal>
        <color/>
      </diagonal>
    </border>
    <border>
      <left>
        <color/>
      </left>
      <right style="thin">
        <color indexed="33"/>
      </right>
      <top>
        <color/>
      </top>
      <bottom style="thin">
        <color indexed="55"/>
      </bottom>
      <diagonal>
        <color/>
      </diagonal>
    </border>
    <border>
      <left>
        <color/>
      </left>
      <right>
        <color/>
      </right>
      <top style="thin">
        <color indexed="55"/>
      </top>
      <bottom style="thin">
        <color indexed="33"/>
      </bottom>
      <diagonal>
        <color/>
      </diagonal>
    </border>
    <border>
      <left style="thin">
        <color indexed="33"/>
      </left>
      <right style="dashed">
        <color indexed="33"/>
      </right>
      <top style="thin">
        <color indexed="33"/>
      </top>
      <bottom>
        <color/>
      </bottom>
      <diagonal>
        <color/>
      </diagonal>
    </border>
    <border>
      <left style="thin">
        <color indexed="33"/>
      </left>
      <right style="dashed">
        <color indexed="33"/>
      </right>
      <top>
        <color/>
      </top>
      <bottom style="thin">
        <color indexed="33"/>
      </bottom>
      <diagonal>
        <color/>
      </diagonal>
    </border>
    <border>
      <left style="thin">
        <color indexed="33"/>
      </left>
      <right style="thin">
        <color indexed="55"/>
      </right>
      <top style="thin">
        <color indexed="33"/>
      </top>
      <bottom style="thin">
        <color indexed="33"/>
      </bottom>
      <diagonal>
        <color/>
      </diagonal>
    </border>
    <border>
      <left style="thin">
        <color indexed="55"/>
      </left>
      <right style="thin">
        <color indexed="55"/>
      </right>
      <top style="thin">
        <color indexed="33"/>
      </top>
      <bottom style="thin">
        <color indexed="33"/>
      </bottom>
      <diagonal>
        <color/>
      </diagonal>
    </border>
    <border>
      <left style="thin">
        <color indexed="55"/>
      </left>
      <right style="thin">
        <color indexed="33"/>
      </right>
      <top style="thin">
        <color indexed="33"/>
      </top>
      <bottom style="thin">
        <color indexed="33"/>
      </bottom>
      <diagonal>
        <color/>
      </diagonal>
    </border>
    <border>
      <left>
        <color/>
      </left>
      <right style="thin">
        <color indexed="64"/>
      </right>
      <top>
        <color/>
      </top>
      <bottom>
        <color/>
      </bottom>
      <diagonal>
        <color/>
      </diagonal>
    </border>
    <border>
      <left>
        <color/>
      </left>
      <right style="thin">
        <color indexed="55"/>
      </right>
      <top>
        <color/>
      </top>
      <bottom style="thin">
        <color indexed="55"/>
      </bottom>
      <diagonal>
        <color/>
      </diagonal>
    </border>
    <border>
      <left style="thin">
        <color indexed="33"/>
      </left>
      <right style="dashed">
        <color indexed="33"/>
      </right>
      <top style="thin">
        <color indexed="33"/>
      </top>
      <bottom style="thin">
        <color indexed="33"/>
      </bottom>
      <diagonal>
        <color/>
      </diagonal>
    </border>
    <border diagonalUp="0" diagonalDown="0">
      <left style="thin">
        <color indexed="33"/>
      </left>
      <right>
        <color rgb="FFA0A0A0"/>
      </right>
      <top style="thin">
        <color indexed="33"/>
      </top>
      <bottom style="thin">
        <color indexed="33"/>
      </bottom>
      <diagonal>
        <color/>
      </diagonal>
    </border>
    <border diagonalUp="0" diagonalDown="0">
      <left style="thin">
        <color indexed="33"/>
      </left>
      <right style="thin">
        <color rgb="FFA0A0A0"/>
      </right>
      <top style="thin">
        <color indexed="33"/>
      </top>
      <bottom style="thin">
        <color indexed="33"/>
      </bottom>
      <diagonal>
        <color/>
      </diagonal>
    </border>
    <border diagonalUp="0" diagonalDown="0">
      <left>
        <color auto="1" indexed="64"/>
      </left>
      <right>
        <color rgb="FFA0A0A0"/>
      </right>
      <top style="thin">
        <color indexed="33"/>
      </top>
      <bottom style="thin">
        <color indexed="33"/>
      </bottom>
      <diagonal>
        <color/>
      </diagonal>
    </border>
    <border diagonalUp="0" diagonalDown="0">
      <left>
        <color auto="1" indexed="64"/>
      </left>
      <right style="thin">
        <color rgb="FFA0A0A0"/>
      </right>
      <top style="thin">
        <color indexed="33"/>
      </top>
      <bottom style="thin">
        <color indexed="33"/>
      </bottom>
      <diagonal>
        <color/>
      </diagonal>
    </border>
    <border diagonalUp="0" diagonalDown="0">
      <left>
        <color auto="1" indexed="64"/>
      </left>
      <right>
        <color auto="1" indexed="64"/>
      </right>
      <top>
        <color auto="1" indexed="64"/>
      </top>
      <bottom>
        <color auto="1" indexed="64"/>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style="thin">
        <color rgb="FFA0A0A0"/>
      </right>
      <top style="thin">
        <color indexed="33"/>
      </top>
      <bottom>
        <color auto="1" indexed="64"/>
      </bottom>
      <diagonal>
        <color/>
      </diagonal>
    </border>
    <border diagonalUp="0" diagonalDown="0">
      <left style="thin">
        <color indexed="33"/>
      </left>
      <right style="thin">
        <color indexed="33"/>
      </right>
      <top style="thin">
        <color indexed="33"/>
      </top>
      <bottom>
        <color auto="1" indexed="64"/>
      </bottom>
      <diagonal>
        <color/>
      </diagonal>
    </border>
    <border>
      <left>
        <color/>
      </left>
      <right style="thin">
        <color rgb="FFA0A0A0"/>
      </right>
      <top>
        <color/>
      </top>
      <bottom style="thin">
        <color indexed="33"/>
      </bottom>
      <diagonal>
        <color/>
      </diagonal>
    </border>
    <border>
      <left>
        <color/>
      </left>
      <right style="thin">
        <color rgb="FFA0A0A0"/>
      </right>
      <top style="thin">
        <color indexed="33"/>
      </top>
      <bottom>
        <color/>
      </bottom>
      <diagonal>
        <color/>
      </diagonal>
    </border>
    <border>
      <left>
        <color/>
      </left>
      <right style="thin">
        <color rgb="FFA0A0A0"/>
      </right>
      <top>
        <color/>
      </top>
      <bottom>
        <color/>
      </bottom>
      <diagonal>
        <color/>
      </diagonal>
    </border>
    <border diagonalUp="1" diagonalDown="1">
      <left>
        <color rgb="FFFFFFFF"/>
      </left>
      <right>
        <color rgb="FFFFFFFF"/>
      </right>
      <top>
        <color rgb="FFFFFFFF"/>
      </top>
      <bottom>
        <color rgb="FFFFFFFF"/>
      </bottom>
      <diagonal>
        <color rgb="FFFFFFFF"/>
      </diagonal>
    </border>
    <border>
      <left>
        <color/>
      </left>
      <right style="thin">
        <color rgb="FFA0A0A0"/>
      </right>
      <top style="thin">
        <color indexed="33"/>
      </top>
      <bottom style="thin">
        <color indexed="33"/>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 diagonalUp="0" diagonalDown="0">
      <left>
        <color auto="1" indexed="64"/>
      </left>
      <right style="thin">
        <color indexed="55"/>
      </right>
      <top>
        <color auto="1" indexed="64"/>
      </top>
      <bottom>
        <color auto="1" indexed="64"/>
      </bottom>
      <diagonal>
        <color/>
      </diagonal>
    </border>
    <border diagonalUp="0" diagonalDown="0">
      <left style="thin">
        <color indexed="33"/>
      </left>
      <right style="thin">
        <color indexed="33"/>
      </right>
      <top>
        <color auto="1" indexed="64"/>
      </top>
      <bottom>
        <color auto="1" indexed="64"/>
      </bottom>
      <diagonal>
        <color/>
      </diagonal>
    </border>
    <border diagonalUp="0" diagonalDown="0">
      <left style="thin">
        <color indexed="33"/>
      </left>
      <right style="thin">
        <color indexed="33"/>
      </right>
      <top>
        <color auto="1" indexed="64"/>
      </top>
      <bottom style="thin">
        <color indexed="33"/>
      </bottom>
      <diagonal>
        <color/>
      </diagonal>
    </border>
    <border diagonalUp="0" diagonalDown="0">
      <left style="thin">
        <color indexed="33"/>
      </left>
      <right>
        <color auto="1" indexed="64"/>
      </right>
      <top style="thin">
        <color indexed="33"/>
      </top>
      <bottom>
        <color auto="1" indexed="64"/>
      </bottom>
      <diagonal>
        <color/>
      </diagonal>
    </border>
    <border diagonalUp="0" diagonalDown="0">
      <left>
        <color auto="1" indexed="64"/>
      </left>
      <right>
        <color auto="1" indexed="64"/>
      </right>
      <top style="thin">
        <color indexed="33"/>
      </top>
      <bottom>
        <color auto="1" indexed="64"/>
      </bottom>
      <diagonal>
        <color/>
      </diagonal>
    </border>
    <border diagonalUp="0" diagonalDown="0">
      <left>
        <color auto="1" indexed="64"/>
      </left>
      <right style="thin">
        <color indexed="33"/>
      </right>
      <top style="thin">
        <color indexed="33"/>
      </top>
      <bottom>
        <color auto="1" indexed="64"/>
      </bottom>
      <diagonal>
        <color/>
      </diagonal>
    </border>
    <border diagonalUp="0" diagonalDown="0">
      <left style="thin">
        <color indexed="33"/>
      </left>
      <right>
        <color auto="1" indexed="64"/>
      </right>
      <top>
        <color auto="1" indexed="64"/>
      </top>
      <bottom>
        <color auto="1" indexed="64"/>
      </bottom>
      <diagonal>
        <color/>
      </diagonal>
    </border>
    <border diagonalUp="0" diagonalDown="0">
      <left>
        <color auto="1" indexed="64"/>
      </left>
      <right style="thin">
        <color indexed="33"/>
      </right>
      <top>
        <color auto="1" indexed="64"/>
      </top>
      <bottom>
        <color auto="1" indexed="64"/>
      </bottom>
      <diagonal>
        <color/>
      </diagonal>
    </border>
    <border diagonalUp="0" diagonalDown="0">
      <left style="thin">
        <color indexed="33"/>
      </left>
      <right>
        <color auto="1" indexed="64"/>
      </right>
      <top>
        <color auto="1" indexed="64"/>
      </top>
      <bottom style="thin">
        <color indexed="33"/>
      </bottom>
      <diagonal>
        <color/>
      </diagonal>
    </border>
    <border diagonalUp="0" diagonalDown="0">
      <left>
        <color auto="1" indexed="64"/>
      </left>
      <right>
        <color auto="1" indexed="64"/>
      </right>
      <top>
        <color auto="1" indexed="64"/>
      </top>
      <bottom style="thin">
        <color indexed="33"/>
      </bottom>
      <diagonal>
        <color/>
      </diagonal>
    </border>
    <border diagonalUp="0" diagonalDown="0">
      <left>
        <color auto="1" indexed="64"/>
      </left>
      <right style="thin">
        <color indexed="33"/>
      </right>
      <top>
        <color auto="1" indexed="64"/>
      </top>
      <bottom style="thin">
        <color indexed="33"/>
      </bottom>
      <diagonal>
        <color/>
      </diagonal>
    </border>
  </borders>
  <cellStyleXfs count="788">
    <xf numFmtId="0" fontId="0" fillId="0" borderId="0" applyFont="1" applyFill="1"/>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6" borderId="0" applyNumberFormat="0" applyFont="1" applyFill="1" applyBorder="0"/>
    <xf numFmtId="0" fontId="65" fillId="7" borderId="0" applyNumberFormat="0" applyFont="1" applyFill="1" applyBorder="0"/>
    <xf numFmtId="0" fontId="65" fillId="8" borderId="0" applyNumberFormat="0" applyFont="1" applyFill="1" applyBorder="0"/>
    <xf numFmtId="0" fontId="65" fillId="9"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10" borderId="0" applyNumberFormat="0" applyFont="1" applyFill="1" applyBorder="0"/>
    <xf numFmtId="0" fontId="65" fillId="11" borderId="0" applyNumberFormat="0" applyFont="1" applyFill="1" applyBorder="0"/>
    <xf numFmtId="0" fontId="65" fillId="8" borderId="0" applyNumberFormat="0" applyFont="1" applyFill="1" applyBorder="0"/>
    <xf numFmtId="0" fontId="65"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14" borderId="0" applyNumberFormat="0" applyFont="1" applyFill="1" applyBorder="0"/>
    <xf numFmtId="0" fontId="66" fillId="1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8" borderId="0" applyNumberFormat="0" applyFont="1" applyFill="1" applyBorder="0"/>
    <xf numFmtId="0" fontId="66"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16" borderId="0" applyNumberFormat="0" applyFont="1" applyFill="1" applyBorder="0"/>
    <xf numFmtId="0" fontId="66" fillId="17" borderId="0" applyNumberFormat="0" applyFont="1" applyFill="1" applyBorder="0"/>
    <xf numFmtId="0" fontId="66" fillId="18" borderId="0" applyNumberFormat="0" applyFont="1" applyFill="1" applyBorder="0"/>
    <xf numFmtId="0" fontId="66" fillId="19" borderId="0" applyNumberFormat="0" applyFont="1" applyFill="1" applyBorder="0"/>
    <xf numFmtId="0" fontId="66" fillId="20" borderId="0" applyNumberFormat="0" applyFont="1" applyFill="1" applyBorder="0"/>
    <xf numFmtId="0" fontId="66" fillId="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21" borderId="0" applyNumberFormat="0" applyFont="1" applyFill="1" applyBorder="0"/>
    <xf numFmtId="0" fontId="66" fillId="22" borderId="0" applyNumberFormat="0" applyFont="1" applyFill="1" applyBorder="0"/>
    <xf numFmtId="0" fontId="67" fillId="23" borderId="0" applyNumberFormat="0" applyFont="1" applyFill="1" applyBorder="0"/>
    <xf numFmtId="0" fontId="92" fillId="24" borderId="0" applyNumberFormat="0" applyFont="1" applyFill="1" applyBorder="0"/>
    <xf numFmtId="0" fontId="68" fillId="2" borderId="1" applyNumberFormat="0" applyFont="1" applyFill="1" applyBorder="1"/>
    <xf numFmtId="0" fontId="68" fillId="3" borderId="1" applyNumberFormat="0" applyFont="1" applyFill="1" applyBorder="1"/>
    <xf numFmtId="0" fontId="69" fillId="14" borderId="2" applyNumberFormat="0" applyFont="1" applyFill="1" applyBorder="1"/>
    <xf numFmtId="0" fontId="69" fillId="15" borderId="3" applyNumberFormat="0" applyFont="1" applyFill="1" applyBorder="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0" fontId="70" fillId="0" borderId="0" applyNumberFormat="0" applyFont="1" applyFill="1" applyBorder="0"/>
    <xf numFmtId="0" fontId="70" fillId="0" borderId="0" applyNumberFormat="0" applyFont="1" applyFill="1" applyBorder="0"/>
    <xf numFmtId="0" fontId="88" fillId="0" borderId="0" applyFont="1" applyFill="1"/>
    <xf numFmtId="0" fontId="88" fillId="0" borderId="0" applyFont="1" applyFill="1"/>
    <xf numFmtId="0" fontId="88" fillId="0" borderId="0" applyFont="1" applyFill="1"/>
    <xf numFmtId="0" fontId="88" fillId="0" borderId="0" applyFont="1" applyFill="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37" fillId="0" borderId="0" applyNumberFormat="0" applyFont="1" applyFill="1" applyBorder="0"/>
    <xf numFmtId="9" fontId="88" fillId="0" borderId="0" applyNumberFormat="1" applyFont="1" applyFill="1" applyBorder="0"/>
    <xf numFmtId="0" fontId="71" fillId="25" borderId="0" applyNumberFormat="0" applyFont="1" applyFill="1" applyBorder="0"/>
    <xf numFmtId="0" fontId="71" fillId="26" borderId="0" applyNumberFormat="0" applyFont="1" applyFill="1" applyBorder="0"/>
    <xf numFmtId="0" fontId="72" fillId="0" borderId="4" applyNumberFormat="0" applyFont="1" applyFill="1" applyBorder="1"/>
    <xf numFmtId="0" fontId="72" fillId="0" borderId="4" applyNumberFormat="0" applyFont="1" applyFill="1" applyBorder="1"/>
    <xf numFmtId="0" fontId="73" fillId="0" borderId="4" applyNumberFormat="0" applyFont="1" applyFill="1" applyBorder="1"/>
    <xf numFmtId="0" fontId="73" fillId="0" borderId="4" applyNumberFormat="0" applyFont="1" applyFill="1" applyBorder="1"/>
    <xf numFmtId="0" fontId="74" fillId="0" borderId="5" applyNumberFormat="0" applyFont="1" applyFill="1" applyBorder="1"/>
    <xf numFmtId="0" fontId="74" fillId="0" borderId="5" applyNumberFormat="0" applyFont="1" applyFill="1" applyBorder="1"/>
    <xf numFmtId="0" fontId="74" fillId="0" borderId="0" applyNumberFormat="0" applyFont="1" applyFill="1" applyBorder="0"/>
    <xf numFmtId="0" fontId="74" fillId="0" borderId="0" applyNumberFormat="0" applyFont="1" applyFill="1" applyBorder="0"/>
    <xf numFmtId="0" fontId="95" fillId="0" borderId="0" applyNumberFormat="0" applyFont="1" applyFill="1" applyBorder="0"/>
    <xf numFmtId="0" fontId="75" fillId="8" borderId="1" applyNumberFormat="0" applyFont="1" applyFill="1" applyBorder="1"/>
    <xf numFmtId="0" fontId="75" fillId="9" borderId="1" applyNumberFormat="0" applyFont="1" applyFill="1" applyBorder="1"/>
    <xf numFmtId="0" fontId="76" fillId="0" borderId="6" applyNumberFormat="0" applyFont="1" applyFill="1" applyBorder="1"/>
    <xf numFmtId="0" fontId="76" fillId="0" borderId="6" applyNumberFormat="0" applyFont="1" applyFill="1" applyBorder="1"/>
    <xf numFmtId="0" fontId="77" fillId="27" borderId="0" applyNumberFormat="0" applyFont="1" applyFill="1" applyBorder="0"/>
    <xf numFmtId="0" fontId="77" fillId="28" borderId="0" applyNumberFormat="0" applyFont="1" applyFill="1" applyBorder="0"/>
    <xf numFmtId="0" fontId="96" fillId="0" borderId="0" applyFont="1" applyFill="1"/>
    <xf numFmtId="0" fontId="96" fillId="0" borderId="0" applyFont="1" applyFill="1"/>
    <xf numFmtId="0" fontId="88" fillId="27" borderId="7" applyNumberFormat="0" applyFont="1" applyFill="1" applyBorder="1"/>
    <xf numFmtId="0" fontId="88" fillId="28" borderId="8" applyNumberFormat="0" applyFont="1" applyFill="1" applyBorder="1"/>
    <xf numFmtId="0" fontId="88" fillId="27" borderId="7" applyNumberFormat="0" applyFont="1" applyFill="1" applyBorder="1"/>
    <xf numFmtId="0" fontId="88" fillId="27" borderId="7" applyNumberFormat="0" applyFont="1" applyFill="1" applyBorder="1"/>
    <xf numFmtId="0" fontId="78" fillId="2" borderId="9" applyNumberFormat="0" applyFont="1" applyFill="1" applyBorder="1"/>
    <xf numFmtId="0" fontId="93" fillId="3" borderId="10" applyNumberFormat="0" applyFont="1" applyFill="1" applyBorder="1"/>
    <xf numFmtId="9" fontId="88" fillId="0" borderId="0" applyNumberFormat="1" applyFont="1" applyFill="1" applyBorder="0"/>
    <xf numFmtId="9" fontId="88" fillId="0" borderId="0" applyNumberFormat="1" applyFont="1" applyFill="1" applyBorder="0"/>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 borderId="0" applyNumberFormat="0" applyFont="1" applyFill="1" applyBorder="0" applyAlignment="1">
      <alignment horizont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2" applyNumberFormat="0" applyFont="1" applyFill="1" applyBorder="1"/>
    <xf numFmtId="0" fontId="88" fillId="30" borderId="12" applyNumberFormat="0" applyFont="1" applyFill="1" applyBorder="1"/>
    <xf numFmtId="0" fontId="88" fillId="33" borderId="12" applyNumberFormat="0" applyFont="1" applyFill="1" applyBorder="1"/>
    <xf numFmtId="0" fontId="88" fillId="3" borderId="12"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3" borderId="11" applyNumberFormat="0" applyFont="1" applyFill="1" applyBorder="1"/>
    <xf numFmtId="0" fontId="88" fillId="3" borderId="11" applyNumberFormat="0" applyFont="1" applyFill="1" applyBorder="1"/>
    <xf numFmtId="0" fontId="88" fillId="33" borderId="12" applyNumberFormat="0" applyFont="1" applyFill="1" applyBorder="1"/>
    <xf numFmtId="0" fontId="88" fillId="3" borderId="12" applyNumberFormat="0" applyFont="1" applyFill="1" applyBorder="1"/>
    <xf numFmtId="0" fontId="88" fillId="33" borderId="13" applyNumberFormat="0" applyFont="1" applyFill="1" applyBorder="1"/>
    <xf numFmtId="0" fontId="88" fillId="3" borderId="13" applyNumberFormat="0" applyFont="1" applyFill="1" applyBorder="1"/>
    <xf numFmtId="0" fontId="88" fillId="33" borderId="14" applyNumberFormat="0" applyFont="1" applyFill="1" applyBorder="1"/>
    <xf numFmtId="0" fontId="88" fillId="3" borderId="14"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xf numFmtId="0" fontId="88" fillId="31" borderId="11" applyNumberFormat="0" applyFont="1" applyFill="1" applyBorder="1"/>
    <xf numFmtId="0" fontId="88" fillId="24" borderId="11" applyNumberFormat="0" applyFont="1" applyFill="1" applyBorder="1"/>
    <xf numFmtId="0" fontId="88" fillId="24" borderId="11" applyNumberFormat="0" applyFont="1" applyFill="1" applyBorder="1"/>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applyAlignment="1">
      <alignment horizontal="left"/>
    </xf>
    <xf numFmtId="0" fontId="88" fillId="31"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79" fillId="0" borderId="0" applyNumberFormat="0" applyFont="1" applyFill="1" applyBorder="0"/>
    <xf numFmtId="0" fontId="94" fillId="0" borderId="0" applyNumberFormat="0" applyFont="1" applyFill="1" applyBorder="0"/>
    <xf numFmtId="0" fontId="80" fillId="0" borderId="18" applyNumberFormat="0" applyFont="1" applyFill="1" applyBorder="1"/>
    <xf numFmtId="0" fontId="80" fillId="0" borderId="18" applyNumberFormat="0" applyFont="1" applyFill="1" applyBorder="1"/>
    <xf numFmtId="0" fontId="81" fillId="0" borderId="0" applyNumberFormat="0" applyFont="1" applyFill="1" applyBorder="0"/>
    <xf numFmtId="0" fontId="81" fillId="0" borderId="0" applyNumberFormat="0" applyFont="1" applyFill="1" applyBorder="0"/>
    <xf numFmtId="0" fontId="102" borderId="0" applyFont="1" applyAlignment="1">
      <alignment vertical="top"/>
    </xf>
  </cellStyleXfs>
  <cellXfs count="1076">
    <xf numFmtId="0" fontId="0" fillId="0" borderId="0" applyFont="1" applyFill="1"/>
    <xf numFmtId="0" fontId="0" fillId="32" borderId="0" applyFont="1" applyFill="1"/>
    <xf numFmtId="0" fontId="0" fillId="30" borderId="0" applyFont="1" applyFill="1"/>
    <xf numFmtId="0" fontId="0" fillId="30" borderId="0" applyFont="1" applyFill="1" applyAlignment="1">
      <alignment horizontal="centerContinuous"/>
    </xf>
    <xf numFmtId="0" fontId="0" fillId="0" borderId="0" applyFont="1" applyFill="1" applyBorder="1"/>
    <xf numFmtId="0" fontId="88" fillId="0" borderId="0" applyFont="1" applyFill="1"/>
    <xf numFmtId="0" fontId="49" fillId="0" borderId="0" applyFont="1" applyFill="1"/>
    <xf numFmtId="0" fontId="44" fillId="0" borderId="0" applyFont="1" applyFill="1"/>
    <xf numFmtId="0" fontId="50" fillId="0" borderId="0" applyFont="1" applyFill="1"/>
    <xf numFmtId="0" fontId="0" fillId="30" borderId="0" applyFont="1" applyFill="1" applyBorder="1"/>
    <xf numFmtId="0" fontId="43" fillId="0" borderId="0" applyFont="1" applyFill="1"/>
    <xf numFmtId="164" fontId="88" fillId="30" borderId="0" applyNumberFormat="1" applyFont="1" applyFill="1" applyAlignment="1">
      <alignment horizontal="left"/>
    </xf>
    <xf numFmtId="0" fontId="38" fillId="30" borderId="0" applyFont="1" applyFill="1" applyAlignment="1">
      <alignment horizontal="left"/>
    </xf>
    <xf numFmtId="0" fontId="0" fillId="30" borderId="0" applyFont="1" applyFill="1" applyAlignment="1">
      <alignment horizontal="right"/>
    </xf>
    <xf numFmtId="0" fontId="16" fillId="30" borderId="0" applyFont="1" applyFill="1"/>
    <xf numFmtId="0" fontId="39" fillId="30" borderId="0" applyFont="1" applyFill="1" applyAlignment="1">
      <alignment horizontal="centerContinuous"/>
    </xf>
    <xf numFmtId="0" fontId="39" fillId="30" borderId="0" applyFont="1" applyFill="1" applyAlignment="1">
      <alignment horizontal="right"/>
    </xf>
    <xf numFmtId="0" fontId="40" fillId="30" borderId="0" applyFont="1" applyFill="1" applyAlignment="1">
      <alignment horizontal="right"/>
    </xf>
    <xf numFmtId="0" fontId="5" fillId="30" borderId="0" applyFont="1" applyFill="1" applyAlignment="1">
      <alignment horizontal="left"/>
    </xf>
    <xf numFmtId="17" fontId="5" fillId="30" borderId="0" applyNumberFormat="1" applyFont="1" applyFill="1" applyAlignment="1">
      <alignment horizontal="left"/>
    </xf>
    <xf numFmtId="0" fontId="49" fillId="30" borderId="0" applyFont="1" applyFill="1" applyAlignment="1">
      <alignment horizontal="left"/>
    </xf>
    <xf numFmtId="0" fontId="0" fillId="0" borderId="0" applyFont="1" applyFill="1" applyAlignment="1">
      <alignment horizontal="center"/>
    </xf>
    <xf numFmtId="0" fontId="0" fillId="30" borderId="0" applyFont="1" applyFill="1" applyAlignment="1">
      <alignment horizontal="center"/>
    </xf>
    <xf numFmtId="0" fontId="29" fillId="30" borderId="0" applyFont="1" applyFill="1" applyBorder="1" applyAlignment="1">
      <alignment horizontal="right"/>
    </xf>
    <xf numFmtId="0" fontId="0" fillId="0" borderId="0" applyFont="1" applyFill="1" applyBorder="1" applyAlignment="1">
      <alignment horizontal="centerContinuous"/>
    </xf>
    <xf numFmtId="0" fontId="53" fillId="0" borderId="0" applyFont="1" applyFill="1"/>
    <xf numFmtId="0" fontId="0" fillId="0" borderId="0" applyFont="1" applyFill="1" applyAlignment="1">
      <alignment horizontal="left"/>
    </xf>
    <xf numFmtId="166" fontId="5" fillId="0" borderId="19" applyNumberFormat="1" applyFont="1" applyFill="1" applyBorder="1" applyAlignment="1">
      <alignment horizontal="center"/>
    </xf>
    <xf numFmtId="166" fontId="5" fillId="33" borderId="19" applyNumberFormat="1" applyFont="1" applyFill="1" applyBorder="1" applyAlignment="1">
      <alignment horizontal="center"/>
    </xf>
    <xf numFmtId="166" fontId="5" fillId="0" borderId="20" applyNumberFormat="1" applyFont="1" applyFill="1" applyBorder="1" applyAlignment="1">
      <alignment horizontal="center"/>
    </xf>
    <xf numFmtId="166" fontId="5" fillId="0" borderId="0" applyNumberFormat="1" applyFont="1" applyFill="1" applyBorder="1" applyAlignment="1">
      <alignment horizontal="center"/>
    </xf>
    <xf numFmtId="166" fontId="5" fillId="33" borderId="0" applyNumberFormat="1" applyFont="1" applyFill="1" applyBorder="1" applyAlignment="1">
      <alignment horizontal="center"/>
    </xf>
    <xf numFmtId="166" fontId="5" fillId="0" borderId="21" applyNumberFormat="1" applyFont="1" applyFill="1" applyBorder="1" applyAlignment="1">
      <alignment horizontal="center"/>
    </xf>
    <xf numFmtId="0" fontId="0" fillId="0" borderId="0" applyFont="1" applyFill="1" applyAlignment="1">
      <alignment horizontal="center"/>
    </xf>
    <xf numFmtId="0" fontId="0" fillId="0" borderId="0" applyFont="1" applyFill="1"/>
    <xf numFmtId="0" fontId="21" fillId="0" borderId="0" applyFont="1" applyFill="1"/>
    <xf numFmtId="0" fontId="22" fillId="0" borderId="0" applyFont="1" applyFill="1" applyAlignment="1">
      <alignment horizontal="center"/>
    </xf>
    <xf numFmtId="0" fontId="5" fillId="0" borderId="22" applyFont="1" applyFill="1" applyBorder="1" applyAlignment="1">
      <alignment horizontal="right"/>
    </xf>
    <xf numFmtId="0" fontId="5" fillId="33" borderId="23" applyFont="1" applyFill="1" applyBorder="1" applyAlignment="1">
      <alignment horizontal="right"/>
    </xf>
    <xf numFmtId="0" fontId="5" fillId="33" borderId="24" applyFont="1" applyFill="1" applyBorder="1" applyAlignment="1">
      <alignment horizontal="right"/>
    </xf>
    <xf numFmtId="0" fontId="5" fillId="0" borderId="24" applyFont="1" applyFill="1" applyBorder="1" applyAlignment="1">
      <alignment horizontal="right"/>
    </xf>
    <xf numFmtId="0" fontId="23" fillId="0" borderId="0" applyFont="1" applyFill="1" applyBorder="1" applyAlignment="1">
      <alignment horizontal="center"/>
    </xf>
    <xf numFmtId="0" fontId="23" fillId="0" borderId="0" applyFont="1" applyFill="1" applyBorder="1" applyAlignment="1">
      <alignment horizontal="center"/>
    </xf>
    <xf numFmtId="1" fontId="5" fillId="0" borderId="0" applyNumberFormat="1" applyFont="1" applyFill="1" applyAlignment="1">
      <alignment horizontal="left"/>
    </xf>
    <xf numFmtId="0" fontId="39" fillId="30" borderId="0" applyFont="1" applyFill="1" applyAlignment="1">
      <alignment horizontal="right" vertical="center"/>
    </xf>
    <xf numFmtId="0" fontId="0" fillId="30" borderId="0" applyFont="1" applyFill="1" applyAlignment="1">
      <alignment horizontal="center" vertical="center"/>
    </xf>
    <xf numFmtId="166" fontId="24" fillId="0" borderId="0" applyNumberFormat="1" applyFont="1" applyFill="1" applyBorder="1" applyAlignment="1">
      <alignment horizontal="right"/>
    </xf>
    <xf numFmtId="0" fontId="0" fillId="0" borderId="0" applyFont="1" applyFill="1"/>
    <xf numFmtId="166" fontId="24" fillId="30" borderId="0" applyNumberFormat="1" applyFont="1" applyFill="1" applyBorder="1" applyAlignment="1">
      <alignment horizontal="center"/>
    </xf>
    <xf numFmtId="0" fontId="0" fillId="30" borderId="0" applyFont="1" applyFill="1"/>
    <xf numFmtId="0" fontId="39" fillId="30" borderId="0" applyFont="1" applyFill="1" applyAlignment="1">
      <alignment horizontal="center"/>
    </xf>
    <xf numFmtId="166" fontId="0" fillId="30" borderId="0" applyNumberFormat="1" applyFont="1" applyFill="1"/>
    <xf numFmtId="166" fontId="5" fillId="30" borderId="0" applyNumberFormat="1" applyFont="1" applyFill="1" applyAlignment="1">
      <alignment horizontal="left"/>
    </xf>
    <xf numFmtId="167" fontId="5" fillId="30" borderId="0" applyNumberFormat="1" applyFont="1" applyFill="1" applyAlignment="1">
      <alignment horizontal="left"/>
    </xf>
    <xf numFmtId="0" fontId="0" fillId="0" borderId="0" applyFont="1" applyFill="1" applyBorder="1"/>
    <xf numFmtId="0" fontId="50" fillId="30" borderId="0" applyFont="1" applyFill="1" applyBorder="1" applyAlignment="1">
      <alignment horizontal="centerContinuous"/>
    </xf>
    <xf numFmtId="166" fontId="88" fillId="0" borderId="0" applyNumberFormat="1" applyFont="1" applyFill="1"/>
    <xf numFmtId="0" fontId="53" fillId="0" borderId="0" applyFont="1" applyFill="1" applyAlignment="1">
      <alignment horizontal="right"/>
    </xf>
    <xf numFmtId="0" fontId="39" fillId="0" borderId="0" applyFont="1" applyFill="1"/>
    <xf numFmtId="0" fontId="39" fillId="0" borderId="0" applyFont="1" applyFill="1" applyBorder="1"/>
    <xf numFmtId="0" fontId="53" fillId="0" borderId="0" applyFont="1" applyFill="1" applyBorder="1" applyAlignment="1">
      <alignment horizontal="right" vertical="top"/>
    </xf>
    <xf numFmtId="0" fontId="27" fillId="0" borderId="12" applyFont="1" applyFill="1" applyBorder="1" applyAlignment="1">
      <alignment horizontal="center" wrapText="1"/>
    </xf>
    <xf numFmtId="0" fontId="27" fillId="0" borderId="14" applyFont="1" applyFill="1" applyBorder="1" applyAlignment="1">
      <alignment horizontal="center" wrapText="1"/>
    </xf>
    <xf numFmtId="0" fontId="83" fillId="0" borderId="0" applyFont="1" applyFill="1"/>
    <xf numFmtId="0" fontId="82" fillId="0" borderId="0" applyFont="1" applyFill="1" applyAlignment="1">
      <alignment horizontal="right"/>
    </xf>
    <xf numFmtId="0" fontId="49" fillId="0" borderId="0" applyFont="1" applyFill="1"/>
    <xf numFmtId="164" fontId="88" fillId="30" borderId="0" applyNumberFormat="1" applyFont="1" applyFill="1" applyAlignment="1">
      <alignment horizontal="left"/>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8" fillId="0" borderId="0" applyFont="1" applyFill="1" applyBorder="1" applyAlignment="1">
      <alignment horizontal="left"/>
    </xf>
    <xf numFmtId="49" fontId="88" fillId="0" borderId="0" applyNumberFormat="1" applyFont="1" applyFill="1" applyAlignment="1">
      <alignment horizontal="left"/>
    </xf>
    <xf numFmtId="0" fontId="88" fillId="0" borderId="0" applyFont="1" applyFill="1" applyAlignment="1">
      <alignment horizontal="left"/>
    </xf>
    <xf numFmtId="49" fontId="88" fillId="0" borderId="0" applyNumberFormat="1" applyFont="1" applyFill="1"/>
    <xf numFmtId="16" fontId="88" fillId="0" borderId="0" applyNumberFormat="1" applyFont="1" applyFill="1" applyAlignment="1">
      <alignment horizontal="left"/>
    </xf>
    <xf numFmtId="0" fontId="88" fillId="0" borderId="0" applyFont="1" applyFill="1"/>
    <xf numFmtId="0" fontId="88" fillId="0" borderId="0" applyFont="1" applyFill="1" applyAlignment="1">
      <alignment horizontal="left" textRotation="90"/>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166" fontId="33" fillId="30" borderId="0" applyNumberFormat="1" applyFont="1" applyFill="1" applyBorder="1" applyAlignment="1">
      <alignment horizontal="center"/>
    </xf>
    <xf numFmtId="166" fontId="88" fillId="0" borderId="0" applyNumberFormat="1" applyFont="1" applyFill="1" applyBorder="1" applyAlignment="1">
      <alignment horizontal="left"/>
    </xf>
    <xf numFmtId="166" fontId="33" fillId="0" borderId="0" applyNumberFormat="1" applyFont="1" applyFill="1" applyBorder="1" applyAlignment="1">
      <alignment horizontal="right"/>
    </xf>
    <xf numFmtId="0" fontId="88" fillId="0" borderId="0" applyFont="1" applyFill="1" applyAlignment="1">
      <alignment horizontal="center"/>
    </xf>
    <xf numFmtId="0" fontId="82" fillId="0" borderId="0" applyFont="1" applyFill="1"/>
    <xf numFmtId="0" fontId="34" fillId="0" borderId="0" applyFont="1" applyFill="1"/>
    <xf numFmtId="0" fontId="34" fillId="0" borderId="0" applyFont="1" applyFill="1"/>
    <xf numFmtId="0" fontId="0" fillId="0" borderId="0" applyFont="1" applyFill="1" applyBorder="1"/>
    <xf numFmtId="166" fontId="33" fillId="0" borderId="0" applyNumberFormat="1" applyFont="1" applyFill="1" applyBorder="1"/>
    <xf numFmtId="0" fontId="88" fillId="0" borderId="0" applyFont="1" applyFill="1"/>
    <xf numFmtId="0" fontId="35" fillId="0" borderId="0" applyFont="1" applyFill="1" applyAlignment="1">
      <alignment vertical="center"/>
    </xf>
    <xf numFmtId="0" fontId="0" fillId="0" borderId="0" applyFont="1" applyFill="1" applyBorder="1"/>
    <xf numFmtId="166" fontId="88" fillId="0" borderId="0" applyNumberFormat="1" applyFont="1" applyFill="1" applyBorder="1" applyAlignment="1">
      <alignment horizontal="center"/>
    </xf>
    <xf numFmtId="166" fontId="88" fillId="33" borderId="0" applyNumberFormat="1" applyFont="1" applyFill="1" applyBorder="1" applyAlignment="1">
      <alignment horizontal="center"/>
    </xf>
    <xf numFmtId="0" fontId="88" fillId="0" borderId="0" applyFont="1" applyFill="1" applyBorder="1"/>
    <xf numFmtId="2"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0" fontId="88" fillId="0" borderId="0" applyFont="1" applyFill="1" applyBorder="1"/>
    <xf numFmtId="166" fontId="88" fillId="33" borderId="0" applyNumberFormat="1" applyFont="1" applyFill="1" applyBorder="1" applyAlignment="1">
      <alignment horizontal="center"/>
    </xf>
    <xf numFmtId="0" fontId="0" fillId="0" borderId="25" applyFont="1" applyFill="1" applyBorder="1"/>
    <xf numFmtId="0" fontId="88" fillId="0" borderId="0" applyFont="1" applyFill="1" applyBorder="1" applyAlignment="1">
      <alignment horizontal="right"/>
    </xf>
    <xf numFmtId="0" fontId="88" fillId="0" borderId="0" applyNumberFormat="1" applyFont="1" applyFill="1" applyBorder="1" applyAlignment="1">
      <alignment horizontal="center"/>
    </xf>
    <xf numFmtId="2" fontId="88" fillId="33" borderId="0" applyNumberFormat="1" applyFont="1" applyFill="1" applyBorder="1" applyAlignment="1">
      <alignment horizontal="center"/>
    </xf>
    <xf numFmtId="0" fontId="44" fillId="0" borderId="25" applyFont="1" applyFill="1" applyBorder="1" applyAlignment="1">
      <alignment horizontal="center"/>
    </xf>
    <xf numFmtId="0" fontId="38" fillId="30" borderId="0" applyFont="1" applyFill="1" applyAlignment="1">
      <alignment horizontal="left"/>
    </xf>
    <xf numFmtId="166" fontId="38" fillId="30" borderId="0" applyNumberFormat="1" applyFont="1" applyFill="1" applyAlignment="1">
      <alignment horizontal="left"/>
    </xf>
    <xf numFmtId="0" fontId="39" fillId="30" borderId="0"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39" fillId="30" borderId="0" applyFont="1" applyFill="1" applyAlignment="1">
      <alignment horizontal="left"/>
    </xf>
    <xf numFmtId="0" fontId="40" fillId="30" borderId="0" applyFont="1" applyFill="1" applyAlignment="1">
      <alignment horizontal="right"/>
    </xf>
    <xf numFmtId="0" fontId="0" fillId="0" borderId="0" applyFont="1" applyFill="1" applyAlignment="1">
      <alignment horizontal="right"/>
    </xf>
    <xf numFmtId="0" fontId="0" fillId="33" borderId="0" applyFont="1" applyFill="1"/>
    <xf numFmtId="0" fontId="53" fillId="30" borderId="0" applyFont="1" applyFill="1" applyBorder="1" applyAlignment="1">
      <alignment horizontal="right" vertical="top"/>
    </xf>
    <xf numFmtId="166" fontId="88" fillId="30" borderId="0" applyNumberFormat="1" applyFont="1" applyFill="1" applyBorder="1" applyAlignment="1">
      <alignment horizontal="center"/>
    </xf>
    <xf numFmtId="0" fontId="5" fillId="30" borderId="0" applyFont="1" applyFill="1" applyBorder="1" applyAlignment="1">
      <alignment horizontal="center"/>
    </xf>
    <xf numFmtId="0" fontId="88" fillId="30" borderId="0" applyFont="1" applyFill="1" applyBorder="1"/>
    <xf numFmtId="0" fontId="44" fillId="30" borderId="0" applyFont="1" applyFill="1" applyBorder="1" applyAlignment="1">
      <alignment horizontal="center"/>
    </xf>
    <xf numFmtId="0" fontId="41" fillId="0" borderId="0" applyFont="1" applyFill="1"/>
    <xf numFmtId="0" fontId="41" fillId="0" borderId="0" applyFont="1" applyFill="1" applyAlignment="1">
      <alignment horizontal="center"/>
    </xf>
    <xf numFmtId="0" fontId="41" fillId="30" borderId="0" applyFont="1" applyFill="1" applyBorder="1"/>
    <xf numFmtId="0" fontId="0" fillId="33" borderId="0" applyFont="1" applyFill="1" applyBorder="1"/>
    <xf numFmtId="166" fontId="0" fillId="33" borderId="0" applyNumberFormat="1" applyFont="1" applyFill="1" applyBorder="1"/>
    <xf numFmtId="0" fontId="0" fillId="0" borderId="0" applyFont="1" applyFill="1" applyAlignment="1">
      <alignment vertical="center"/>
    </xf>
    <xf numFmtId="166" fontId="88" fillId="30" borderId="0" applyNumberFormat="1" applyFont="1" applyFill="1" applyAlignment="1">
      <alignment horizontal="center"/>
    </xf>
    <xf numFmtId="166" fontId="88" fillId="30" borderId="0" applyNumberFormat="1" applyFont="1" applyFill="1" applyBorder="1" applyAlignment="1">
      <alignment horizontal="center"/>
    </xf>
    <xf numFmtId="166" fontId="88" fillId="30" borderId="0" applyNumberFormat="1" applyFont="1" applyFill="1" applyAlignment="1">
      <alignment horizontal="center"/>
    </xf>
    <xf numFmtId="0" fontId="0" fillId="33" borderId="0" applyFont="1" applyFill="1" applyBorder="1"/>
    <xf numFmtId="0" fontId="44" fillId="30" borderId="0" applyFont="1" applyFill="1" applyAlignment="1">
      <alignment horizontal="left"/>
    </xf>
    <xf numFmtId="0" fontId="16" fillId="30" borderId="0" applyFont="1" applyFill="1"/>
    <xf numFmtId="0" fontId="88" fillId="30" borderId="0" applyFont="1" applyFill="1" applyAlignment="1">
      <alignment horizontal="left"/>
    </xf>
    <xf numFmtId="0" fontId="0" fillId="30" borderId="0" applyFont="1" applyFill="1" applyAlignment="1">
      <alignment horizontal="left"/>
    </xf>
    <xf numFmtId="0" fontId="88" fillId="30" borderId="0" applyFont="1" applyFill="1"/>
    <xf numFmtId="0" fontId="82" fillId="30" borderId="0" applyFont="1" applyFill="1" applyBorder="1" applyAlignment="1">
      <alignment horizontal="left" vertical="top" wrapText="1"/>
    </xf>
    <xf numFmtId="17" fontId="5" fillId="33" borderId="0" applyNumberFormat="1" applyFont="1" applyFill="1" applyAlignment="1">
      <alignment horizontal="left"/>
    </xf>
    <xf numFmtId="166" fontId="0" fillId="33" borderId="0" applyNumberFormat="1" applyFont="1" applyFill="1" applyBorder="1" applyAlignment="1">
      <alignment horizontal="right"/>
    </xf>
    <xf numFmtId="2" fontId="0" fillId="33" borderId="0" applyNumberFormat="1" applyFont="1" applyFill="1" applyBorder="1" applyAlignment="1">
      <alignment horizontal="right"/>
    </xf>
    <xf numFmtId="2" fontId="0" fillId="33" borderId="0" applyNumberFormat="1" applyFont="1" applyFill="1" applyBorder="1"/>
    <xf numFmtId="0" fontId="44" fillId="0" borderId="0" applyFont="1" applyFill="1" applyAlignment="1">
      <alignment horizontal="right"/>
    </xf>
    <xf numFmtId="169" fontId="39" fillId="0" borderId="0" applyNumberFormat="1" applyFont="1" applyFill="1"/>
    <xf numFmtId="17" fontId="39" fillId="0" borderId="0" applyNumberFormat="1" applyFont="1" applyFill="1" applyAlignment="1">
      <alignment horizontal="right"/>
    </xf>
    <xf numFmtId="166" fontId="39" fillId="0" borderId="0" applyNumberFormat="1" applyFont="1" applyFill="1" applyAlignment="1">
      <alignment horizontal="right"/>
    </xf>
    <xf numFmtId="0" fontId="44" fillId="0" borderId="0" applyFont="1" applyFill="1" applyAlignment="1">
      <alignment horizontal="left"/>
    </xf>
    <xf numFmtId="166" fontId="39" fillId="0" borderId="0" applyNumberFormat="1" applyFont="1" applyFill="1"/>
    <xf numFmtId="167" fontId="5" fillId="33" borderId="0" applyNumberFormat="1" applyFont="1" applyFill="1" applyAlignment="1">
      <alignment horizontal="left"/>
    </xf>
    <xf numFmtId="0" fontId="41" fillId="30" borderId="0" applyFont="1" applyFill="1" applyBorder="1" applyAlignment="1">
      <alignment horizontal="center"/>
    </xf>
    <xf numFmtId="0" fontId="50" fillId="0" borderId="0" applyFont="1" applyFill="1" applyAlignment="1">
      <alignment horizontal="centerContinuous"/>
    </xf>
    <xf numFmtId="0" fontId="5" fillId="0" borderId="0" applyFont="1" applyFill="1" applyBorder="1" applyAlignment="1">
      <alignment horizontal="right"/>
    </xf>
    <xf numFmtId="2" fontId="88" fillId="33"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166" fontId="88" fillId="0" borderId="0" applyNumberFormat="1" applyFont="1" applyFill="1" applyBorder="1" applyAlignment="1">
      <alignment horizontal="center"/>
    </xf>
    <xf numFmtId="166" fontId="88" fillId="30" borderId="0" applyNumberFormat="1" applyFont="1" applyFill="1" applyBorder="1" applyAlignment="1">
      <alignment horizontal="center"/>
    </xf>
    <xf numFmtId="0" fontId="88" fillId="30" borderId="0" applyFont="1" applyFill="1" applyBorder="1"/>
    <xf numFmtId="166" fontId="88" fillId="0" borderId="0" applyNumberFormat="1" applyFont="1" applyFill="1"/>
    <xf numFmtId="2" fontId="0" fillId="0" borderId="0" applyNumberFormat="1" applyFont="1" applyFill="1" applyBorder="1" applyAlignment="1">
      <alignment horizontal="center"/>
    </xf>
    <xf numFmtId="0" fontId="39" fillId="30" borderId="0" applyFont="1" applyFill="1" applyBorder="1" applyAlignment="1">
      <alignment horizontal="right" vertical="center"/>
    </xf>
    <xf numFmtId="166" fontId="0" fillId="0" borderId="0" applyNumberFormat="1" applyFont="1" applyFill="1" applyBorder="1"/>
    <xf numFmtId="17" fontId="49" fillId="0" borderId="0" applyNumberFormat="1" applyFont="1" applyFill="1" applyAlignment="1">
      <alignment horizontal="right"/>
    </xf>
    <xf numFmtId="0" fontId="43" fillId="0" borderId="0" applyFont="1" applyFill="1"/>
    <xf numFmtId="166" fontId="0" fillId="0" borderId="0" applyNumberFormat="1" applyFont="1" applyFill="1" applyBorder="1" applyAlignment="1">
      <alignment horizontal="right"/>
    </xf>
    <xf numFmtId="2" fontId="0" fillId="0" borderId="0" applyNumberFormat="1" applyFont="1" applyFill="1" applyBorder="1" applyAlignment="1">
      <alignment horizontal="right"/>
    </xf>
    <xf numFmtId="166" fontId="88" fillId="0" borderId="0" applyNumberFormat="1" applyFont="1" applyFill="1" applyBorder="1"/>
    <xf numFmtId="2" fontId="88" fillId="0" borderId="0" applyNumberFormat="1" applyFont="1" applyFill="1" applyBorder="1"/>
    <xf numFmtId="0" fontId="45" fillId="0" borderId="0" applyFont="1" applyFill="1" applyBorder="1" applyAlignment="1">
      <alignment vertical="center"/>
    </xf>
    <xf numFmtId="0" fontId="39" fillId="0" borderId="0" applyFont="1" applyFill="1" applyAlignment="1">
      <alignment horizontal="right"/>
    </xf>
    <xf numFmtId="0" fontId="40" fillId="0" borderId="0" applyFont="1" applyFill="1" applyAlignment="1">
      <alignment horizontal="right"/>
    </xf>
    <xf numFmtId="0" fontId="0" fillId="0" borderId="0" applyFont="1" applyFill="1" applyAlignment="1">
      <alignment horizontal="right" vertical="center"/>
    </xf>
    <xf numFmtId="0" fontId="44" fillId="0" borderId="0" applyFont="1" applyFill="1"/>
    <xf numFmtId="0" fontId="49" fillId="0" borderId="0" applyFont="1" applyFill="1" applyAlignment="1">
      <alignment horizontal="right" vertical="center"/>
    </xf>
    <xf numFmtId="0" fontId="44" fillId="33" borderId="0" applyFont="1" applyFill="1" applyAlignment="1">
      <alignment horizontal="right"/>
    </xf>
    <xf numFmtId="0" fontId="44" fillId="33" borderId="0" applyFont="1" applyFill="1" applyAlignment="1">
      <alignment horizontal="left"/>
    </xf>
    <xf numFmtId="0" fontId="82" fillId="30" borderId="0" applyFont="1" applyFill="1" applyAlignment="1">
      <alignment horizontal="center"/>
    </xf>
    <xf numFmtId="166" fontId="88" fillId="30" borderId="0" applyNumberFormat="1" applyFont="1" applyFill="1" applyAlignment="1">
      <alignment horizontal="right"/>
    </xf>
    <xf numFmtId="0" fontId="50" fillId="30" borderId="0" applyFont="1" applyFill="1" applyAlignment="1">
      <alignment horizontal="right" vertical="center"/>
    </xf>
    <xf numFmtId="0" fontId="88" fillId="0" borderId="0" applyFont="1" applyFill="1" applyBorder="1"/>
    <xf numFmtId="16" fontId="88" fillId="0" borderId="0" applyNumberFormat="1" applyFont="1" applyFill="1" applyBorder="1"/>
    <xf numFmtId="165" fontId="0" fillId="0" borderId="0" applyNumberFormat="1" applyFont="1" applyFill="1"/>
    <xf numFmtId="16" fontId="43" fillId="0" borderId="0" applyNumberFormat="1" applyFont="1" applyFill="1" applyAlignment="1">
      <alignment horizontal="left"/>
    </xf>
    <xf numFmtId="166" fontId="0" fillId="0" borderId="0" applyNumberFormat="1" applyFont="1" applyFill="1" applyBorder="1"/>
    <xf numFmtId="166" fontId="0" fillId="33" borderId="0" applyNumberFormat="1" applyFont="1" applyFill="1" applyBorder="1"/>
    <xf numFmtId="0" fontId="53" fillId="30" borderId="0" applyFont="1" applyFill="1" applyAlignment="1">
      <alignment horizontal="right"/>
    </xf>
    <xf numFmtId="0" fontId="0" fillId="0" borderId="0" applyFont="1" applyFill="1" applyBorder="1" applyAlignment="1">
      <alignment horizontal="left" vertical="center"/>
    </xf>
    <xf numFmtId="0" fontId="44" fillId="0" borderId="0" applyFont="1" applyFill="1" applyBorder="1" applyAlignment="1">
      <alignment horizontal="center" vertical="center"/>
    </xf>
    <xf numFmtId="0" fontId="0" fillId="0" borderId="0" applyFont="1" applyFill="1" applyBorder="1" applyAlignment="1">
      <alignment horizontal="left" vertical="center"/>
    </xf>
    <xf numFmtId="0" fontId="88" fillId="0" borderId="19" applyFont="1" applyFill="1" applyBorder="1"/>
    <xf numFmtId="0" fontId="39" fillId="0" borderId="0" applyFont="1" applyFill="1" applyAlignment="1">
      <alignment horizontal="right"/>
    </xf>
    <xf numFmtId="2" fontId="0" fillId="0" borderId="0" applyNumberFormat="1" applyFont="1" applyFill="1" applyBorder="1"/>
    <xf numFmtId="166" fontId="44" fillId="0" borderId="0" applyNumberFormat="1"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166" fontId="44" fillId="0" borderId="0" applyNumberFormat="1" applyFont="1" applyFill="1"/>
    <xf numFmtId="169" fontId="44" fillId="0" borderId="0" applyNumberFormat="1" applyFont="1" applyFill="1"/>
    <xf numFmtId="17" fontId="44" fillId="0" borderId="0" applyNumberFormat="1"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0" fillId="0" borderId="0" applyFont="1" applyFill="1"/>
    <xf numFmtId="0" fontId="88" fillId="30" borderId="0" applyFont="1" applyFill="1"/>
    <xf numFmtId="49" fontId="0" fillId="0" borderId="0" applyNumberFormat="1" applyFont="1" applyFill="1" applyBorder="1" applyAlignment="1">
      <alignment horizontal="left" vertical="center"/>
    </xf>
    <xf numFmtId="49" fontId="0" fillId="0" borderId="0" applyNumberFormat="1" applyFont="1" applyFill="1"/>
    <xf numFmtId="0" fontId="43" fillId="30" borderId="0" applyFont="1" applyFill="1" applyAlignment="1">
      <alignment horizontal="center"/>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2" fillId="0" borderId="0" applyFont="1" applyFill="1" applyAlignment="1">
      <alignment horizontal="right"/>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0" fontId="82" fillId="0" borderId="0" applyFont="1" applyFill="1"/>
    <xf numFmtId="164" fontId="88" fillId="30" borderId="0" applyNumberFormat="1" applyFont="1" applyFill="1"/>
    <xf numFmtId="0" fontId="82" fillId="0" borderId="0" applyFont="1" applyFill="1" applyBorder="1" applyAlignment="1">
      <alignment horizontal="left" vertical="top" wrapText="1"/>
    </xf>
    <xf numFmtId="166" fontId="88" fillId="0" borderId="0" applyNumberFormat="1" applyFont="1" applyFill="1" applyBorder="1" applyAlignment="1">
      <alignment horizontal="center"/>
    </xf>
    <xf numFmtId="166" fontId="88" fillId="0" borderId="25" applyNumberFormat="1" applyFont="1" applyFill="1" applyBorder="1" applyAlignment="1">
      <alignment horizontal="center"/>
    </xf>
    <xf numFmtId="2" fontId="88" fillId="0" borderId="0" applyNumberFormat="1" applyFont="1" applyFill="1" applyBorder="1" applyAlignment="1">
      <alignment horizontal="center"/>
    </xf>
    <xf numFmtId="166" fontId="0" fillId="0" borderId="0" applyNumberFormat="1" applyFont="1" applyFill="1" applyBorder="1" applyAlignment="1">
      <alignment horizontal="center"/>
    </xf>
    <xf numFmtId="2" fontId="88" fillId="0" borderId="0" applyNumberFormat="1" applyFont="1" applyFill="1"/>
    <xf numFmtId="166" fontId="0" fillId="34" borderId="0" applyNumberFormat="1" applyFont="1" applyFill="1" applyBorder="1" applyAlignment="1">
      <alignment horizontal="right"/>
    </xf>
    <xf numFmtId="2" fontId="0" fillId="34" borderId="0" applyNumberFormat="1" applyFont="1" applyFill="1" applyBorder="1" applyAlignment="1">
      <alignment horizontal="right"/>
    </xf>
    <xf numFmtId="0" fontId="49" fillId="30" borderId="0" applyFont="1" applyFill="1" applyAlignment="1">
      <alignment horizontal="left"/>
    </xf>
    <xf numFmtId="0" fontId="88" fillId="0" borderId="0" applyFont="1" applyFill="1" applyBorder="1"/>
    <xf numFmtId="0" fontId="43" fillId="30" borderId="0" applyFont="1" applyFill="1" applyAlignment="1">
      <alignment horizontal="right"/>
    </xf>
    <xf numFmtId="0" fontId="43" fillId="33" borderId="0" applyFont="1" applyFill="1" applyBorder="1" applyAlignment="1">
      <alignment horizontal="right"/>
    </xf>
    <xf numFmtId="0" fontId="88" fillId="0" borderId="0" applyFont="1" applyFill="1"/>
    <xf numFmtId="0" fontId="0" fillId="0" borderId="0" applyFont="1" applyFill="1" applyAlignment="1">
      <alignment horizontal="center"/>
    </xf>
    <xf numFmtId="0" fontId="0" fillId="0" borderId="0" applyFont="1" applyFill="1" applyBorder="1"/>
    <xf numFmtId="0" fontId="0" fillId="0" borderId="0" applyFont="1" applyFill="1" applyBorder="1" applyAlignment="1">
      <alignment horizontal="right"/>
    </xf>
    <xf numFmtId="0" fontId="0" fillId="0"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33" borderId="0" applyNumberFormat="1" applyFont="1" applyFill="1" applyBorder="1" applyAlignment="1">
      <alignment horizontal="center"/>
    </xf>
    <xf numFmtId="0" fontId="43" fillId="30" borderId="0" applyFont="1" applyFill="1" applyBorder="1"/>
    <xf numFmtId="0" fontId="44" fillId="0" borderId="0" applyFont="1" applyFill="1" applyAlignment="1">
      <alignment horizontal="centerContinuous"/>
    </xf>
    <xf numFmtId="0" fontId="50" fillId="0" borderId="0" applyFont="1" applyFill="1" applyAlignment="1">
      <alignment horizontal="right"/>
    </xf>
    <xf numFmtId="0" fontId="0" fillId="0" borderId="0" applyFont="1" applyFill="1" applyBorder="1" applyAlignment="1">
      <alignment horizontal="center"/>
    </xf>
    <xf numFmtId="0" fontId="0" fillId="35" borderId="0" applyFont="1" applyFill="1" applyBorder="1"/>
    <xf numFmtId="0" fontId="0" fillId="35" borderId="0" applyFont="1" applyFill="1"/>
    <xf numFmtId="0" fontId="45" fillId="0" borderId="0" applyFont="1" applyFill="1" applyBorder="1" applyAlignment="1">
      <alignment vertical="center"/>
    </xf>
    <xf numFmtId="166" fontId="0" fillId="0" borderId="26" applyNumberFormat="1" applyFont="1" applyFill="1" applyBorder="1"/>
    <xf numFmtId="166" fontId="0" fillId="0" borderId="27" applyNumberFormat="1" applyFont="1" applyFill="1" applyBorder="1"/>
    <xf numFmtId="166" fontId="0" fillId="33" borderId="28" applyNumberFormat="1" applyFont="1" applyFill="1" applyBorder="1"/>
    <xf numFmtId="166" fontId="0" fillId="33" borderId="29" applyNumberFormat="1" applyFont="1" applyFill="1" applyBorder="1"/>
    <xf numFmtId="166" fontId="0" fillId="0" borderId="28" applyNumberFormat="1" applyFont="1" applyFill="1" applyBorder="1"/>
    <xf numFmtId="166" fontId="0" fillId="0" borderId="29" applyNumberFormat="1" applyFont="1" applyFill="1" applyBorder="1"/>
    <xf numFmtId="166" fontId="0" fillId="33" borderId="30" applyNumberFormat="1" applyFont="1" applyFill="1" applyBorder="1"/>
    <xf numFmtId="166" fontId="0" fillId="33" borderId="31" applyNumberFormat="1" applyFont="1" applyFill="1" applyBorder="1"/>
    <xf numFmtId="166" fontId="0" fillId="0" borderId="32" applyNumberFormat="1" applyFont="1" applyFill="1" applyBorder="1"/>
    <xf numFmtId="166" fontId="0" fillId="0" borderId="27" applyNumberFormat="1" applyFont="1" applyFill="1" applyBorder="1"/>
    <xf numFmtId="166" fontId="0" fillId="33" borderId="29" applyNumberFormat="1" applyFont="1" applyFill="1" applyBorder="1"/>
    <xf numFmtId="166" fontId="0" fillId="0" borderId="29" applyNumberFormat="1" applyFont="1" applyFill="1" applyBorder="1"/>
    <xf numFmtId="166" fontId="0" fillId="33" borderId="33" applyNumberFormat="1" applyFont="1" applyFill="1" applyBorder="1"/>
    <xf numFmtId="166" fontId="0" fillId="33" borderId="31" applyNumberFormat="1" applyFont="1" applyFill="1" applyBorder="1"/>
    <xf numFmtId="0" fontId="39" fillId="0" borderId="0" applyFont="1" applyFill="1" applyBorder="1" applyAlignment="1">
      <alignment horizontal="right" vertical="center"/>
    </xf>
    <xf numFmtId="39" fontId="0" fillId="0" borderId="26" applyNumberFormat="1" applyFont="1" applyFill="1" applyBorder="1"/>
    <xf numFmtId="39" fontId="0" fillId="33" borderId="28" applyNumberFormat="1" applyFont="1" applyFill="1" applyBorder="1"/>
    <xf numFmtId="39" fontId="0" fillId="0" borderId="28" applyNumberFormat="1" applyFont="1" applyFill="1" applyBorder="1"/>
    <xf numFmtId="39" fontId="0" fillId="33" borderId="30" applyNumberFormat="1" applyFont="1" applyFill="1" applyBorder="1"/>
    <xf numFmtId="0" fontId="43" fillId="0" borderId="7" applyFont="1" applyFill="1" applyBorder="1" applyAlignment="1">
      <alignment horizontal="center" wrapText="1"/>
    </xf>
    <xf numFmtId="0" fontId="0" fillId="33" borderId="32" applyFont="1" applyFill="1" applyBorder="1"/>
    <xf numFmtId="0" fontId="0" fillId="33" borderId="32" applyFont="1" applyFill="1" applyBorder="1"/>
    <xf numFmtId="0" fontId="0" fillId="33" borderId="33" applyFont="1" applyFill="1" applyBorder="1"/>
    <xf numFmtId="0" fontId="43" fillId="0" borderId="7" applyFont="1" applyFill="1" applyBorder="1" applyAlignment="1">
      <alignment horizontal="center"/>
    </xf>
    <xf numFmtId="0" fontId="57" fillId="33" borderId="0" applyFont="1" applyFill="1" applyBorder="1" applyAlignment="1">
      <alignment horizontal="right"/>
    </xf>
    <xf numFmtId="0" fontId="5" fillId="0" borderId="23" applyFont="1" applyFill="1" applyBorder="1" applyAlignment="1">
      <alignment horizontal="right"/>
    </xf>
    <xf numFmtId="0" fontId="54" fillId="0" borderId="26" applyFont="1" applyFill="1" applyBorder="1" applyAlignment="1">
      <alignment vertical="center"/>
    </xf>
    <xf numFmtId="0" fontId="88" fillId="0" borderId="32" applyFont="1" applyFill="1" applyBorder="1" applyAlignment="1">
      <alignment vertical="center"/>
    </xf>
    <xf numFmtId="0" fontId="54" fillId="0" borderId="32" applyFont="1" applyFill="1" applyBorder="1" applyAlignment="1">
      <alignment vertical="center"/>
    </xf>
    <xf numFmtId="0" fontId="54" fillId="0" borderId="27" applyFont="1" applyFill="1" applyBorder="1" applyAlignment="1">
      <alignment vertical="center"/>
    </xf>
    <xf numFmtId="0" fontId="41" fillId="0" borderId="30" applyFont="1" applyFill="1" applyBorder="1" applyAlignment="1">
      <alignment horizontal="center"/>
    </xf>
    <xf numFmtId="0" fontId="41" fillId="0" borderId="33" applyFont="1" applyFill="1" applyBorder="1" applyAlignment="1">
      <alignment horizontal="center"/>
    </xf>
    <xf numFmtId="0" fontId="41" fillId="0" borderId="3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Font="1" applyFill="1" applyBorder="1"/>
    <xf numFmtId="0" fontId="43" fillId="33" borderId="35" applyFont="1" applyFill="1" applyBorder="1"/>
    <xf numFmtId="0" fontId="43" fillId="33" borderId="36" applyFont="1" applyFill="1" applyBorder="1"/>
    <xf numFmtId="0" fontId="62" fillId="35" borderId="0" applyFont="1" applyFill="1"/>
    <xf numFmtId="168" fontId="62" fillId="35" borderId="0" applyNumberFormat="1" applyFont="1" applyFill="1"/>
    <xf numFmtId="0" fontId="20" fillId="0" borderId="7" applyFont="1" applyFill="1" applyBorder="1" applyAlignment="1">
      <alignment horizontal="center"/>
    </xf>
    <xf numFmtId="0" fontId="5" fillId="0" borderId="26" applyFont="1" applyFill="1" applyBorder="1" applyAlignment="1">
      <alignment horizontal="center"/>
    </xf>
    <xf numFmtId="0" fontId="5" fillId="0" borderId="27" applyFont="1" applyFill="1" applyBorder="1" applyAlignment="1">
      <alignment horizontal="center"/>
    </xf>
    <xf numFmtId="0" fontId="5" fillId="33" borderId="28" applyFont="1" applyFill="1" applyBorder="1" applyAlignment="1">
      <alignment horizontal="center"/>
    </xf>
    <xf numFmtId="0" fontId="5" fillId="33" borderId="29" applyFont="1" applyFill="1" applyBorder="1" applyAlignment="1">
      <alignment horizontal="center"/>
    </xf>
    <xf numFmtId="0" fontId="5" fillId="0" borderId="28" applyFont="1" applyFill="1" applyBorder="1" applyAlignment="1">
      <alignment horizontal="center"/>
    </xf>
    <xf numFmtId="0" fontId="5" fillId="0" borderId="29" applyFont="1" applyFill="1" applyBorder="1" applyAlignment="1">
      <alignment horizontal="center"/>
    </xf>
    <xf numFmtId="0" fontId="5" fillId="33" borderId="30" applyFont="1" applyFill="1" applyBorder="1" applyAlignment="1">
      <alignment horizontal="center"/>
    </xf>
    <xf numFmtId="0" fontId="5" fillId="33" borderId="31" applyFont="1" applyFill="1" applyBorder="1" applyAlignment="1">
      <alignment horizontal="center"/>
    </xf>
    <xf numFmtId="3" fontId="0" fillId="0" borderId="37" applyNumberFormat="1" applyFont="1" applyFill="1" applyBorder="1"/>
    <xf numFmtId="3" fontId="88" fillId="33" borderId="38" applyNumberFormat="1" applyFont="1" applyFill="1" applyBorder="1"/>
    <xf numFmtId="3" fontId="0" fillId="0" borderId="38" applyNumberFormat="1" applyFont="1" applyFill="1" applyBorder="1"/>
    <xf numFmtId="3" fontId="88" fillId="33" borderId="39" applyNumberFormat="1" applyFont="1" applyFill="1" applyBorder="1"/>
    <xf numFmtId="0" fontId="43" fillId="0" borderId="7" applyFont="1" applyFill="1" applyBorder="1"/>
    <xf numFmtId="0" fontId="0" fillId="0" borderId="0" applyFont="1" applyFill="1" applyBorder="1" applyAlignment="1">
      <alignment horizontal="left"/>
    </xf>
    <xf numFmtId="0" fontId="43" fillId="0" borderId="37" applyFont="1" applyFill="1" applyBorder="1" applyAlignment="1">
      <alignment horizontal="center"/>
    </xf>
    <xf numFmtId="0" fontId="43" fillId="0" borderId="37" applyFont="1" applyFill="1" applyBorder="1"/>
    <xf numFmtId="0" fontId="0" fillId="30" borderId="37" applyFont="1" applyFill="1" applyBorder="1" applyAlignment="1">
      <alignment horizontal="left"/>
    </xf>
    <xf numFmtId="0" fontId="0" fillId="30" borderId="38" applyFont="1" applyFill="1" applyBorder="1" applyAlignment="1">
      <alignment horizontal="left"/>
    </xf>
    <xf numFmtId="0" fontId="0" fillId="30" borderId="39" applyFont="1" applyFill="1" applyBorder="1" applyAlignment="1">
      <alignment horizontal="left"/>
    </xf>
    <xf numFmtId="0" fontId="0" fillId="0" borderId="37" applyFont="1" applyFill="1" applyBorder="1" applyAlignment="1">
      <alignment horizontal="left"/>
    </xf>
    <xf numFmtId="0" fontId="0" fillId="33" borderId="38" applyFont="1" applyFill="1" applyBorder="1" applyAlignment="1">
      <alignment horizontal="left"/>
    </xf>
    <xf numFmtId="0" fontId="0" fillId="0" borderId="38" applyFont="1" applyFill="1" applyBorder="1" applyAlignment="1">
      <alignment horizontal="left"/>
    </xf>
    <xf numFmtId="0" fontId="0" fillId="33"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33" borderId="28" applyNumberFormat="1" applyFont="1" applyFill="1" applyBorder="1" applyAlignment="1">
      <alignment horizontal="right"/>
    </xf>
    <xf numFmtId="166" fontId="0" fillId="33" borderId="29" applyNumberFormat="1" applyFont="1" applyFill="1" applyBorder="1" applyAlignment="1">
      <alignment horizontal="right"/>
    </xf>
    <xf numFmtId="166" fontId="0" fillId="0" borderId="28" applyNumberFormat="1" applyFont="1" applyFill="1" applyBorder="1" applyAlignment="1">
      <alignment horizontal="right"/>
    </xf>
    <xf numFmtId="166" fontId="0" fillId="0" borderId="29" applyNumberFormat="1" applyFont="1" applyFill="1" applyBorder="1" applyAlignment="1">
      <alignment horizontal="right"/>
    </xf>
    <xf numFmtId="166" fontId="0" fillId="33" borderId="30" applyNumberFormat="1" applyFont="1" applyFill="1" applyBorder="1" applyAlignment="1">
      <alignment horizontal="right"/>
    </xf>
    <xf numFmtId="166" fontId="0" fillId="33" borderId="33" applyNumberFormat="1" applyFont="1" applyFill="1" applyBorder="1" applyAlignment="1">
      <alignment horizontal="right"/>
    </xf>
    <xf numFmtId="166" fontId="0" fillId="33"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33" borderId="28" applyNumberFormat="1" applyFont="1" applyFill="1" applyBorder="1" applyAlignment="1">
      <alignment horizontal="right"/>
    </xf>
    <xf numFmtId="2" fontId="0" fillId="0" borderId="28" applyNumberFormat="1" applyFont="1" applyFill="1" applyBorder="1" applyAlignment="1">
      <alignment horizontal="right"/>
    </xf>
    <xf numFmtId="2" fontId="0" fillId="33" borderId="30" applyNumberFormat="1" applyFont="1" applyFill="1" applyBorder="1" applyAlignment="1">
      <alignment horizontal="right"/>
    </xf>
    <xf numFmtId="2" fontId="0" fillId="33" borderId="33" applyNumberFormat="1" applyFont="1" applyFill="1" applyBorder="1" applyAlignment="1">
      <alignment horizontal="right"/>
    </xf>
    <xf numFmtId="0" fontId="0" fillId="30" borderId="37" applyFont="1" applyFill="1" applyBorder="1"/>
    <xf numFmtId="0" fontId="0" fillId="30" borderId="38" applyFont="1" applyFill="1" applyBorder="1"/>
    <xf numFmtId="0" fontId="0" fillId="30" borderId="39" applyFont="1" applyFill="1" applyBorder="1"/>
    <xf numFmtId="2" fontId="0" fillId="0" borderId="26" applyNumberFormat="1" applyFont="1" applyFill="1" applyBorder="1"/>
    <xf numFmtId="166" fontId="0" fillId="0" borderId="32" applyNumberFormat="1" applyFont="1" applyFill="1" applyBorder="1"/>
    <xf numFmtId="2" fontId="0" fillId="0" borderId="32" applyNumberFormat="1" applyFont="1" applyFill="1" applyBorder="1"/>
    <xf numFmtId="2" fontId="0" fillId="33" borderId="28" applyNumberFormat="1" applyFont="1" applyFill="1" applyBorder="1"/>
    <xf numFmtId="2" fontId="0" fillId="0" borderId="28" applyNumberFormat="1" applyFont="1" applyFill="1" applyBorder="1"/>
    <xf numFmtId="166" fontId="0" fillId="0" borderId="29" applyNumberFormat="1" applyFont="1" applyFill="1" applyBorder="1"/>
    <xf numFmtId="2" fontId="0" fillId="33" borderId="30" applyNumberFormat="1" applyFont="1" applyFill="1" applyBorder="1"/>
    <xf numFmtId="166" fontId="0" fillId="33" borderId="33" applyNumberFormat="1" applyFont="1" applyFill="1" applyBorder="1"/>
    <xf numFmtId="2" fontId="0" fillId="33" borderId="33" applyNumberFormat="1" applyFont="1" applyFill="1" applyBorder="1"/>
    <xf numFmtId="2" fontId="88" fillId="0" borderId="28" applyNumberFormat="1" applyFont="1" applyFill="1" applyBorder="1"/>
    <xf numFmtId="166" fontId="88" fillId="0" borderId="29" applyNumberFormat="1" applyFont="1" applyFill="1" applyBorder="1"/>
    <xf numFmtId="2" fontId="88" fillId="33" borderId="30" applyNumberFormat="1" applyFont="1" applyFill="1" applyBorder="1"/>
    <xf numFmtId="166" fontId="88" fillId="33" borderId="33" applyNumberFormat="1" applyFont="1" applyFill="1" applyBorder="1"/>
    <xf numFmtId="2" fontId="88" fillId="33" borderId="33" applyNumberFormat="1" applyFont="1" applyFill="1" applyBorder="1"/>
    <xf numFmtId="166" fontId="88" fillId="33" borderId="31" applyNumberFormat="1" applyFont="1" applyFill="1" applyBorder="1"/>
    <xf numFmtId="166" fontId="0" fillId="0" borderId="28" applyNumberFormat="1" applyFont="1" applyFill="1" applyBorder="1"/>
    <xf numFmtId="166" fontId="88" fillId="0" borderId="28" applyNumberFormat="1" applyFont="1" applyFill="1" applyBorder="1"/>
    <xf numFmtId="166" fontId="88" fillId="33" borderId="30" applyNumberFormat="1" applyFont="1" applyFill="1" applyBorder="1"/>
    <xf numFmtId="0" fontId="88" fillId="0" borderId="37" applyFont="1" applyFill="1" applyBorder="1" applyAlignment="1">
      <alignment wrapText="1"/>
    </xf>
    <xf numFmtId="0" fontId="0" fillId="0" borderId="38" applyFont="1" applyFill="1" applyBorder="1"/>
    <xf numFmtId="0" fontId="0" fillId="0" borderId="39" applyFont="1" applyFill="1" applyBorder="1"/>
    <xf numFmtId="0" fontId="88" fillId="0" borderId="37" applyFont="1" applyFill="1" applyBorder="1"/>
    <xf numFmtId="0" fontId="0" fillId="0" borderId="37" applyFont="1" applyFill="1" applyBorder="1"/>
    <xf numFmtId="0" fontId="0" fillId="33" borderId="39" applyFont="1" applyFill="1" applyBorder="1"/>
    <xf numFmtId="0" fontId="21" fillId="0" borderId="26" applyFont="1" applyFill="1" applyBorder="1" applyAlignment="1">
      <alignment horizontal="left"/>
    </xf>
    <xf numFmtId="0" fontId="21" fillId="0" borderId="32" applyFont="1" applyFill="1" applyBorder="1" applyAlignment="1">
      <alignment horizontal="left"/>
    </xf>
    <xf numFmtId="0" fontId="21" fillId="0" borderId="32" applyFont="1" applyFill="1" applyBorder="1"/>
    <xf numFmtId="0" fontId="21" fillId="0" borderId="27" applyFont="1" applyFill="1" applyBorder="1"/>
    <xf numFmtId="0" fontId="22" fillId="0" borderId="30" applyFont="1" applyFill="1" applyBorder="1" applyAlignment="1">
      <alignment horizontal="center"/>
    </xf>
    <xf numFmtId="0" fontId="22" fillId="0" borderId="33" applyFont="1" applyFill="1" applyBorder="1" applyAlignment="1">
      <alignment horizontal="center"/>
    </xf>
    <xf numFmtId="0" fontId="22" fillId="0" borderId="3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5" fillId="0" borderId="23" applyFont="1" applyFill="1" applyBorder="1" applyAlignment="1">
      <alignment horizontal="right"/>
    </xf>
    <xf numFmtId="0" fontId="43" fillId="34" borderId="40" applyFont="1" applyFill="1" applyBorder="1" applyAlignment="1">
      <alignment horizontal="right"/>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0" fillId="0" borderId="37" applyFont="1" applyFill="1" applyBorder="1" applyAlignment="1">
      <alignment horizontal="left"/>
    </xf>
    <xf numFmtId="0" fontId="0" fillId="0"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0" borderId="30" applyNumberFormat="1" applyFont="1" applyFill="1" applyBorder="1" applyAlignment="1">
      <alignment horizontal="right"/>
    </xf>
    <xf numFmtId="166" fontId="0" fillId="0" borderId="33" applyNumberFormat="1" applyFont="1" applyFill="1" applyBorder="1" applyAlignment="1">
      <alignment horizontal="right"/>
    </xf>
    <xf numFmtId="166" fontId="0" fillId="0"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0" borderId="30" applyNumberFormat="1" applyFont="1" applyFill="1" applyBorder="1" applyAlignment="1">
      <alignment horizontal="right"/>
    </xf>
    <xf numFmtId="2" fontId="0" fillId="0" borderId="33" applyNumberFormat="1" applyFont="1" applyFill="1" applyBorder="1" applyAlignment="1">
      <alignment horizontal="right"/>
    </xf>
    <xf numFmtId="2" fontId="0" fillId="0" borderId="34" applyNumberFormat="1" applyFont="1" applyFill="1" applyBorder="1" applyAlignment="1">
      <alignment horizontal="right"/>
    </xf>
    <xf numFmtId="166" fontId="0" fillId="0" borderId="35" applyNumberFormat="1" applyFont="1" applyFill="1" applyBorder="1" applyAlignment="1">
      <alignment horizontal="right"/>
    </xf>
    <xf numFmtId="2" fontId="0" fillId="0" borderId="35" applyNumberFormat="1" applyFont="1" applyFill="1" applyBorder="1" applyAlignment="1">
      <alignment horizontal="right"/>
    </xf>
    <xf numFmtId="166" fontId="0" fillId="0" borderId="36" applyNumberFormat="1" applyFont="1" applyFill="1" applyBorder="1" applyAlignment="1">
      <alignment horizontal="right"/>
    </xf>
    <xf numFmtId="166" fontId="0" fillId="0" borderId="34" applyNumberFormat="1" applyFont="1" applyFill="1" applyBorder="1" applyAlignment="1">
      <alignment horizontal="right"/>
    </xf>
    <xf numFmtId="0" fontId="0" fillId="34" borderId="37" applyFont="1" applyFill="1" applyBorder="1" applyAlignment="1">
      <alignment horizontal="left"/>
    </xf>
    <xf numFmtId="0" fontId="0" fillId="34" borderId="38" applyFont="1" applyFill="1" applyBorder="1" applyAlignment="1">
      <alignment horizontal="left"/>
    </xf>
    <xf numFmtId="0" fontId="0" fillId="34" borderId="39" applyFont="1" applyFill="1" applyBorder="1" applyAlignment="1">
      <alignment horizontal="left"/>
    </xf>
    <xf numFmtId="166" fontId="0" fillId="34" borderId="26" applyNumberFormat="1" applyFont="1" applyFill="1" applyBorder="1" applyAlignment="1">
      <alignment horizontal="right"/>
    </xf>
    <xf numFmtId="166" fontId="0" fillId="34" borderId="32" applyNumberFormat="1" applyFont="1" applyFill="1" applyBorder="1" applyAlignment="1">
      <alignment horizontal="right"/>
    </xf>
    <xf numFmtId="166" fontId="0" fillId="34" borderId="27" applyNumberFormat="1" applyFont="1" applyFill="1" applyBorder="1" applyAlignment="1">
      <alignment horizontal="right"/>
    </xf>
    <xf numFmtId="166" fontId="0" fillId="34" borderId="28" applyNumberFormat="1" applyFont="1" applyFill="1" applyBorder="1" applyAlignment="1">
      <alignment horizontal="right"/>
    </xf>
    <xf numFmtId="166" fontId="0" fillId="34" borderId="29" applyNumberFormat="1" applyFont="1" applyFill="1" applyBorder="1" applyAlignment="1">
      <alignment horizontal="right"/>
    </xf>
    <xf numFmtId="166" fontId="0" fillId="34" borderId="30" applyNumberFormat="1" applyFont="1" applyFill="1" applyBorder="1" applyAlignment="1">
      <alignment horizontal="right"/>
    </xf>
    <xf numFmtId="166" fontId="0" fillId="34" borderId="33" applyNumberFormat="1" applyFont="1" applyFill="1" applyBorder="1" applyAlignment="1">
      <alignment horizontal="right"/>
    </xf>
    <xf numFmtId="166" fontId="0" fillId="34" borderId="31" applyNumberFormat="1" applyFont="1" applyFill="1" applyBorder="1" applyAlignment="1">
      <alignment horizontal="right"/>
    </xf>
    <xf numFmtId="166" fontId="0" fillId="34" borderId="34" applyNumberFormat="1" applyFont="1" applyFill="1" applyBorder="1" applyAlignment="1">
      <alignment horizontal="right"/>
    </xf>
    <xf numFmtId="166" fontId="0" fillId="34" borderId="35" applyNumberFormat="1" applyFont="1" applyFill="1" applyBorder="1" applyAlignment="1">
      <alignment horizontal="right"/>
    </xf>
    <xf numFmtId="166" fontId="0" fillId="34" borderId="36" applyNumberFormat="1" applyFont="1" applyFill="1" applyBorder="1" applyAlignment="1">
      <alignment horizontal="right"/>
    </xf>
    <xf numFmtId="2" fontId="0" fillId="34" borderId="26" applyNumberFormat="1" applyFont="1" applyFill="1" applyBorder="1" applyAlignment="1">
      <alignment horizontal="right"/>
    </xf>
    <xf numFmtId="2" fontId="0" fillId="34" borderId="32" applyNumberFormat="1" applyFont="1" applyFill="1" applyBorder="1" applyAlignment="1">
      <alignment horizontal="right"/>
    </xf>
    <xf numFmtId="2" fontId="0" fillId="34" borderId="28" applyNumberFormat="1" applyFont="1" applyFill="1" applyBorder="1" applyAlignment="1">
      <alignment horizontal="right"/>
    </xf>
    <xf numFmtId="2" fontId="0" fillId="34" borderId="30" applyNumberFormat="1" applyFont="1" applyFill="1" applyBorder="1" applyAlignment="1">
      <alignment horizontal="right"/>
    </xf>
    <xf numFmtId="2" fontId="0" fillId="34" borderId="33" applyNumberFormat="1" applyFont="1" applyFill="1" applyBorder="1" applyAlignment="1">
      <alignment horizontal="right"/>
    </xf>
    <xf numFmtId="2" fontId="0" fillId="34" borderId="34" applyNumberFormat="1" applyFont="1" applyFill="1" applyBorder="1" applyAlignment="1">
      <alignment horizontal="right"/>
    </xf>
    <xf numFmtId="2" fontId="0" fillId="34" borderId="35" applyNumberFormat="1" applyFont="1" applyFill="1" applyBorder="1" applyAlignment="1">
      <alignment horizontal="right"/>
    </xf>
    <xf numFmtId="0" fontId="88" fillId="0" borderId="19" applyFont="1" applyFill="1" applyBorder="1"/>
    <xf numFmtId="0" fontId="88" fillId="30" borderId="41" applyFont="1" applyFill="1" applyBorder="1"/>
    <xf numFmtId="0" fontId="27" fillId="0" borderId="34" applyFont="1" applyFill="1" applyBorder="1" applyAlignment="1">
      <alignment horizontal="center" wrapText="1"/>
    </xf>
    <xf numFmtId="0" fontId="27" fillId="0" borderId="35" applyFont="1" applyFill="1" applyBorder="1" applyAlignment="1">
      <alignment horizontal="center" wrapText="1"/>
    </xf>
    <xf numFmtId="0" fontId="27" fillId="0" borderId="36" applyFont="1" applyFill="1" applyBorder="1" applyAlignment="1">
      <alignment horizontal="center" wrapText="1"/>
    </xf>
    <xf numFmtId="166" fontId="0" fillId="0" borderId="26" applyNumberFormat="1" applyFont="1" applyFill="1" applyBorder="1" applyAlignment="1">
      <alignment horizontal="center"/>
    </xf>
    <xf numFmtId="166" fontId="0" fillId="0" borderId="32" applyNumberFormat="1" applyFont="1" applyFill="1" applyBorder="1" applyAlignment="1">
      <alignment horizontal="center"/>
    </xf>
    <xf numFmtId="166" fontId="0" fillId="0" borderId="27"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5" fillId="0" borderId="30" applyFont="1" applyFill="1" applyBorder="1" applyAlignment="1">
      <alignment horizontal="center"/>
    </xf>
    <xf numFmtId="0" fontId="5" fillId="0" borderId="3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88" fillId="30" borderId="41" applyFont="1" applyFill="1" applyBorder="1"/>
    <xf numFmtId="2" fontId="0" fillId="0" borderId="26" applyNumberFormat="1" applyFont="1" applyFill="1" applyBorder="1" applyAlignment="1">
      <alignment horizontal="center"/>
    </xf>
    <xf numFmtId="2" fontId="0" fillId="0" borderId="32" applyNumberFormat="1" applyFont="1" applyFill="1" applyBorder="1" applyAlignment="1">
      <alignment horizontal="center"/>
    </xf>
    <xf numFmtId="2" fontId="0" fillId="0" borderId="27"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0" fillId="0" borderId="28" applyNumberFormat="1" applyFont="1" applyFill="1" applyBorder="1" applyAlignment="1">
      <alignment horizontal="center"/>
    </xf>
    <xf numFmtId="2" fontId="0"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88" fillId="0" borderId="42" applyFont="1" applyFill="1" applyBorder="1"/>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0" fillId="35" borderId="0" applyFont="1" applyFill="1" applyAlignment="1">
      <alignment horizontal="left"/>
    </xf>
    <xf numFmtId="0" fontId="52" fillId="30" borderId="41" applyFont="1" applyFill="1" applyBorder="1"/>
    <xf numFmtId="166" fontId="88" fillId="0" borderId="34" applyNumberFormat="1" applyFont="1" applyFill="1" applyBorder="1" applyAlignment="1">
      <alignment horizontal="center"/>
    </xf>
    <xf numFmtId="166" fontId="88" fillId="0" borderId="35" applyNumberFormat="1" applyFont="1" applyFill="1" applyBorder="1" applyAlignment="1">
      <alignment horizontal="center"/>
    </xf>
    <xf numFmtId="166" fontId="88" fillId="0" borderId="36"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166" fontId="88" fillId="33" borderId="26" applyNumberFormat="1" applyFont="1" applyFill="1" applyBorder="1" applyAlignment="1">
      <alignment horizontal="center"/>
    </xf>
    <xf numFmtId="166" fontId="88" fillId="33" borderId="32" applyNumberFormat="1" applyFont="1" applyFill="1" applyBorder="1" applyAlignment="1">
      <alignment horizontal="center"/>
    </xf>
    <xf numFmtId="166" fontId="88" fillId="33" borderId="27" applyNumberFormat="1" applyFont="1" applyFill="1" applyBorder="1" applyAlignment="1">
      <alignment horizontal="center"/>
    </xf>
    <xf numFmtId="2" fontId="88" fillId="0" borderId="34" applyNumberFormat="1" applyFont="1" applyFill="1" applyBorder="1" applyAlignment="1">
      <alignment horizontal="center"/>
    </xf>
    <xf numFmtId="2" fontId="88" fillId="0" borderId="35" applyNumberFormat="1" applyFont="1" applyFill="1" applyBorder="1" applyAlignment="1">
      <alignment horizontal="center"/>
    </xf>
    <xf numFmtId="2" fontId="88" fillId="0" borderId="36"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2" fontId="88" fillId="33" borderId="26" applyNumberFormat="1" applyFont="1" applyFill="1" applyBorder="1" applyAlignment="1">
      <alignment horizontal="center"/>
    </xf>
    <xf numFmtId="2" fontId="88" fillId="33" borderId="32" applyNumberFormat="1" applyFont="1" applyFill="1" applyBorder="1" applyAlignment="1">
      <alignment horizontal="center"/>
    </xf>
    <xf numFmtId="2" fontId="88" fillId="33" borderId="27" applyNumberFormat="1" applyFont="1" applyFill="1" applyBorder="1" applyAlignment="1">
      <alignment horizontal="center"/>
    </xf>
    <xf numFmtId="2" fontId="88" fillId="0" borderId="19" applyNumberFormat="1" applyFont="1" applyFill="1" applyBorder="1"/>
    <xf numFmtId="166" fontId="0" fillId="0" borderId="28" applyNumberFormat="1" applyFont="1" applyFill="1" applyBorder="1" applyAlignment="1">
      <alignment horizontal="center"/>
    </xf>
    <xf numFmtId="166" fontId="0" fillId="0" borderId="29" applyNumberFormat="1" applyFont="1" applyFill="1" applyBorder="1" applyAlignment="1">
      <alignment horizontal="center"/>
    </xf>
    <xf numFmtId="2" fontId="0" fillId="0" borderId="31" applyNumberFormat="1" applyFont="1" applyFill="1" applyBorder="1" applyAlignment="1">
      <alignment horizontal="center"/>
    </xf>
    <xf numFmtId="166" fontId="0" fillId="0" borderId="31" applyNumberFormat="1" applyFont="1" applyFill="1" applyBorder="1" applyAlignment="1">
      <alignment horizontal="center"/>
    </xf>
    <xf numFmtId="0" fontId="88" fillId="30" borderId="43" applyFont="1" applyFill="1" applyBorder="1"/>
    <xf numFmtId="0" fontId="27" fillId="0" borderId="7" applyFont="1" applyFill="1" applyBorder="1" applyAlignment="1">
      <alignment horizontal="center" wrapText="1"/>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5" fillId="0" borderId="29" applyNumberFormat="1" applyFont="1" applyFill="1" applyBorder="1" applyAlignment="1">
      <alignment horizontal="center"/>
    </xf>
    <xf numFmtId="166" fontId="5" fillId="33" borderId="29" applyNumberFormat="1" applyFont="1" applyFill="1" applyBorder="1" applyAlignment="1">
      <alignment horizontal="center"/>
    </xf>
    <xf numFmtId="166" fontId="5" fillId="0" borderId="33" applyNumberFormat="1" applyFont="1" applyFill="1" applyBorder="1" applyAlignment="1">
      <alignment horizontal="center"/>
    </xf>
    <xf numFmtId="166" fontId="5" fillId="0" borderId="31" applyNumberFormat="1" applyFont="1" applyFill="1" applyBorder="1" applyAlignment="1">
      <alignment horizontal="center"/>
    </xf>
    <xf numFmtId="0" fontId="88" fillId="0" borderId="0" applyFont="1" applyFill="1" applyBorder="1" applyAlignment="1">
      <alignment horizontal="center"/>
    </xf>
    <xf numFmtId="0" fontId="88" fillId="0" borderId="0" applyFont="1" applyFill="1" applyBorder="1" applyAlignment="1">
      <alignment horizontal="center"/>
    </xf>
    <xf numFmtId="0" fontId="52" fillId="0" borderId="0" applyFont="1" applyFill="1" applyBorder="1" applyAlignment="1">
      <alignment horizontal="center"/>
    </xf>
    <xf numFmtId="0" fontId="52" fillId="0" borderId="0" applyFont="1" applyFill="1" applyBorder="1"/>
    <xf numFmtId="0" fontId="88" fillId="0" borderId="0" applyFont="1" applyFill="1" applyBorder="1"/>
    <xf numFmtId="0" fontId="88" fillId="0" borderId="0" applyFont="1" applyFill="1" applyBorder="1"/>
    <xf numFmtId="0" fontId="0" fillId="30" borderId="34" applyFont="1" applyFill="1" applyBorder="1"/>
    <xf numFmtId="0" fontId="0" fillId="30" borderId="35" applyFont="1" applyFill="1" applyBorder="1"/>
    <xf numFmtId="0" fontId="0" fillId="30" borderId="36" applyFont="1" applyFill="1" applyBorder="1"/>
    <xf numFmtId="0" fontId="54" fillId="0" borderId="28" applyFont="1" applyFill="1" applyBorder="1"/>
    <xf numFmtId="166" fontId="88" fillId="0" borderId="28" applyNumberFormat="1" applyFont="1" applyFill="1" applyBorder="1"/>
    <xf numFmtId="166" fontId="88" fillId="0" borderId="28" applyNumberFormat="1" applyFont="1" applyFill="1" applyBorder="1"/>
    <xf numFmtId="0" fontId="0" fillId="0" borderId="28" applyFont="1" applyFill="1" applyBorder="1"/>
    <xf numFmtId="166" fontId="0" fillId="0" borderId="28" applyNumberFormat="1" applyFont="1" applyFill="1" applyBorder="1"/>
    <xf numFmtId="166" fontId="0" fillId="0" borderId="28" applyNumberFormat="1" applyFont="1" applyFill="1" applyBorder="1"/>
    <xf numFmtId="166" fontId="0" fillId="0" borderId="35" applyNumberFormat="1" applyFont="1" applyFill="1" applyBorder="1"/>
    <xf numFmtId="166" fontId="0" fillId="0" borderId="0" applyNumberFormat="1" applyFont="1" applyFill="1" applyBorder="1"/>
    <xf numFmtId="0" fontId="46" fillId="30" borderId="38" applyFont="1" applyFill="1" applyBorder="1" applyAlignment="1">
      <alignment vertical="center"/>
    </xf>
    <xf numFmtId="0" fontId="43" fillId="30" borderId="38" applyFont="1" applyFill="1" applyBorder="1" applyAlignment="1">
      <alignment horizontal="center" wrapText="1"/>
    </xf>
    <xf numFmtId="0" fontId="43" fillId="30" borderId="38" applyFont="1" applyFill="1" applyBorder="1" applyAlignment="1">
      <alignment horizontal="center"/>
    </xf>
    <xf numFmtId="166" fontId="0" fillId="30" borderId="38" applyNumberFormat="1" applyFont="1" applyFill="1" applyBorder="1"/>
    <xf numFmtId="166" fontId="38" fillId="30" borderId="0" applyNumberFormat="1" applyFont="1" applyFill="1" applyAlignment="1">
      <alignment horizontal="left"/>
    </xf>
    <xf numFmtId="0" fontId="0" fillId="30" borderId="0" applyFont="1" applyFill="1"/>
    <xf numFmtId="0" fontId="43" fillId="30" borderId="0" applyFont="1" applyFill="1" applyAlignment="1">
      <alignment horizontal="center"/>
    </xf>
    <xf numFmtId="0" fontId="43" fillId="30" borderId="0" applyFont="1" applyFill="1" applyAlignment="1">
      <alignment horizontal="right"/>
    </xf>
    <xf numFmtId="0" fontId="0" fillId="30" borderId="0" applyFont="1" applyFill="1" applyAlignment="1">
      <alignment horizontal="left"/>
    </xf>
    <xf numFmtId="0" fontId="40" fillId="0" borderId="0" applyFont="1" applyFill="1" applyAlignment="1">
      <alignment horizontal="right"/>
    </xf>
    <xf numFmtId="0" fontId="44" fillId="0" borderId="0" applyFont="1" applyFill="1"/>
    <xf numFmtId="166" fontId="44" fillId="0" borderId="0" applyNumberFormat="1" applyFont="1" applyFill="1" applyAlignment="1">
      <alignment horizontal="right"/>
    </xf>
    <xf numFmtId="0" fontId="53" fillId="30" borderId="0"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0" fontId="44" fillId="0" borderId="0" applyFont="1" applyFill="1" applyAlignment="1">
      <alignment horizontal="left"/>
    </xf>
    <xf numFmtId="0" fontId="44" fillId="0" borderId="0" applyFont="1" applyFill="1" applyAlignment="1">
      <alignment horizontal="right"/>
    </xf>
    <xf numFmtId="0" fontId="53" fillId="0" borderId="0"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0" fontId="44" fillId="33" borderId="0" applyFont="1" applyFill="1" applyAlignment="1">
      <alignment horizontal="right"/>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44" fillId="33" borderId="0" applyFont="1" applyFill="1" applyAlignment="1">
      <alignment horizontal="left"/>
    </xf>
    <xf numFmtId="17" fontId="44" fillId="0" borderId="0" applyNumberFormat="1" applyFont="1" applyFill="1" applyAlignment="1">
      <alignment horizontal="right"/>
    </xf>
    <xf numFmtId="17" fontId="39" fillId="0" borderId="0" applyNumberFormat="1" applyFont="1" applyFill="1" applyAlignment="1">
      <alignment horizontal="right"/>
    </xf>
    <xf numFmtId="166" fontId="39" fillId="0" borderId="0" applyNumberFormat="1" applyFont="1" applyFill="1" applyAlignment="1">
      <alignment horizontal="right"/>
    </xf>
    <xf numFmtId="17" fontId="49" fillId="0" borderId="0" applyNumberFormat="1"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44" fillId="30" borderId="0" applyFont="1" applyFill="1" applyAlignment="1">
      <alignment horizontal="left"/>
    </xf>
    <xf numFmtId="0" fontId="39" fillId="30" borderId="0" applyFont="1" applyFill="1" applyAlignment="1">
      <alignment horizontal="left"/>
    </xf>
    <xf numFmtId="166" fontId="88" fillId="0" borderId="0" applyNumberFormat="1" applyFont="1" applyFill="1" applyBorder="1" applyAlignment="1">
      <alignment horizontal="right"/>
    </xf>
    <xf numFmtId="166" fontId="88" fillId="33" borderId="33" applyNumberFormat="1" applyFont="1" applyFill="1" applyBorder="1" applyAlignment="1">
      <alignment horizontal="right"/>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166" fontId="88" fillId="30" borderId="30" applyNumberFormat="1" applyFont="1" applyFill="1" applyBorder="1" applyAlignment="1">
      <alignment horizontal="center"/>
    </xf>
    <xf numFmtId="166" fontId="88" fillId="30" borderId="33" applyNumberFormat="1" applyFont="1" applyFill="1" applyBorder="1" applyAlignment="1">
      <alignment horizontal="center"/>
    </xf>
    <xf numFmtId="166" fontId="88" fillId="30" borderId="31" applyNumberFormat="1" applyFont="1" applyFill="1" applyBorder="1" applyAlignment="1">
      <alignment horizontal="center"/>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0"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0" fontId="82" fillId="0" borderId="0" applyFont="1" applyFill="1" applyAlignment="1">
      <alignment horizontal="center"/>
    </xf>
    <xf numFmtId="0" fontId="52" fillId="36" borderId="0" applyFont="1" applyFill="1" applyBorder="1"/>
    <xf numFmtId="0" fontId="0" fillId="36" borderId="0" applyFont="1" applyFill="1" applyBorder="1"/>
    <xf numFmtId="0" fontId="0" fillId="36" borderId="0" applyFont="1" applyFill="1" applyBorder="1" applyAlignment="1">
      <alignment horizontal="center"/>
    </xf>
    <xf numFmtId="0" fontId="59" fillId="36" borderId="0" applyFont="1" applyFill="1" applyAlignment="1">
      <alignment horizontal="right"/>
    </xf>
    <xf numFmtId="0" fontId="44" fillId="36" borderId="0" applyFont="1" applyFill="1" applyBorder="1" applyAlignment="1">
      <alignment horizontal="right"/>
    </xf>
    <xf numFmtId="0" fontId="60" fillId="36" borderId="0" applyFont="1" applyFill="1" applyBorder="1" applyAlignment="1">
      <alignment horizontal="right"/>
    </xf>
    <xf numFmtId="0" fontId="61" fillId="36" borderId="0" applyFont="1" applyFill="1" applyBorder="1"/>
    <xf numFmtId="0" fontId="52" fillId="36" borderId="0" applyFont="1" applyFill="1" applyBorder="1" applyAlignment="1">
      <alignment horizontal="center"/>
    </xf>
    <xf numFmtId="0" fontId="55" fillId="36" borderId="0" applyFont="1" applyFill="1" applyBorder="1"/>
    <xf numFmtId="0" fontId="55" fillId="36" borderId="0" applyFont="1" applyFill="1" applyBorder="1" applyAlignment="1">
      <alignment horizontal="center"/>
    </xf>
    <xf numFmtId="0" fontId="55" fillId="36" borderId="0" applyFont="1" applyFill="1" applyBorder="1" applyAlignment="1">
      <alignment horizontal="left" vertical="top"/>
    </xf>
    <xf numFmtId="0" fontId="55" fillId="36" borderId="0" applyFont="1" applyFill="1" applyBorder="1" applyAlignment="1">
      <alignment horizontal="right" vertical="top"/>
    </xf>
    <xf numFmtId="0" fontId="2" fillId="36" borderId="0" applyFont="1" applyFill="1" applyBorder="1"/>
    <xf numFmtId="0" fontId="2" fillId="36" borderId="0" applyFont="1" applyFill="1" applyBorder="1" applyAlignment="1">
      <alignment horizontal="right"/>
    </xf>
    <xf numFmtId="0" fontId="52" fillId="36" borderId="0" applyFont="1" applyFill="1" applyBorder="1" applyAlignment="1">
      <alignment horizontal="right"/>
    </xf>
    <xf numFmtId="0" fontId="55" fillId="36" borderId="0" applyFont="1" applyFill="1" applyBorder="1"/>
    <xf numFmtId="0" fontId="55" fillId="36" borderId="0" applyFont="1" applyFill="1" applyBorder="1" applyAlignment="1">
      <alignment horizontal="right"/>
    </xf>
    <xf numFmtId="0" fontId="48" fillId="36" borderId="37" applyFont="1" applyFill="1" applyBorder="1"/>
    <xf numFmtId="0" fontId="48" fillId="36" borderId="39" applyFont="1" applyFill="1" applyBorder="1" applyAlignment="1">
      <alignment horizontal="center" wrapText="1"/>
    </xf>
    <xf numFmtId="0" fontId="48" fillId="36" borderId="37" applyFont="1" applyFill="1" applyBorder="1" applyAlignment="1">
      <alignment horizontal="center" wrapText="1"/>
    </xf>
    <xf numFmtId="0" fontId="42" fillId="36" borderId="34" applyFont="1" applyFill="1" applyBorder="1" applyAlignment="1">
      <alignment vertical="center"/>
    </xf>
    <xf numFmtId="0" fontId="42" fillId="36" borderId="35" applyFont="1" applyFill="1" applyBorder="1" applyAlignment="1">
      <alignment vertical="center"/>
    </xf>
    <xf numFmtId="0" fontId="42" fillId="36" borderId="36" applyFont="1" applyFill="1" applyBorder="1" applyAlignment="1">
      <alignment vertical="center"/>
    </xf>
    <xf numFmtId="49" fontId="55" fillId="36" borderId="34" applyNumberFormat="1" applyFont="1" applyFill="1" applyBorder="1" applyAlignment="1">
      <alignment textRotation="90" wrapText="1"/>
    </xf>
    <xf numFmtId="49" fontId="55" fillId="36" borderId="35" applyNumberFormat="1" applyFont="1" applyFill="1" applyBorder="1" applyAlignment="1">
      <alignment textRotation="90" wrapText="1"/>
    </xf>
    <xf numFmtId="49" fontId="55" fillId="36" borderId="36" applyNumberFormat="1" applyFont="1" applyFill="1" applyBorder="1" applyAlignment="1">
      <alignment textRotation="90" wrapText="1"/>
    </xf>
    <xf numFmtId="0" fontId="54" fillId="0" borderId="28" applyFont="1" applyFill="1" applyBorder="1" applyAlignment="1">
      <alignment vertical="center"/>
    </xf>
    <xf numFmtId="0" fontId="88" fillId="0" borderId="0" applyFont="1" applyFill="1" applyBorder="1" applyAlignment="1">
      <alignment vertical="center"/>
    </xf>
    <xf numFmtId="0" fontId="54" fillId="0" borderId="0" applyFont="1" applyFill="1" applyBorder="1" applyAlignment="1">
      <alignment vertical="center"/>
    </xf>
    <xf numFmtId="0" fontId="54" fillId="0" borderId="29" applyFont="1" applyFill="1" applyBorder="1" applyAlignment="1">
      <alignment vertical="center"/>
    </xf>
    <xf numFmtId="0" fontId="43" fillId="33" borderId="30" applyFont="1" applyFill="1" applyBorder="1"/>
    <xf numFmtId="0" fontId="43" fillId="33" borderId="33" applyFont="1" applyFill="1" applyBorder="1"/>
    <xf numFmtId="0" fontId="43" fillId="33" borderId="31" applyFont="1" applyFill="1" applyBorder="1"/>
    <xf numFmtId="0" fontId="0" fillId="0" borderId="35" applyFont="1" applyFill="1" applyBorder="1"/>
    <xf numFmtId="0" fontId="35" fillId="0" borderId="0" applyFont="1" applyFill="1" applyBorder="1" applyAlignment="1">
      <alignment vertical="center"/>
    </xf>
    <xf numFmtId="166" fontId="88" fillId="0" borderId="44" applyNumberFormat="1" applyFont="1" applyFill="1" applyBorder="1" applyAlignment="1">
      <alignment horizontal="center"/>
    </xf>
    <xf numFmtId="166" fontId="88" fillId="0" borderId="45" applyNumberFormat="1" applyFont="1" applyFill="1" applyBorder="1" applyAlignment="1">
      <alignment horizontal="center"/>
    </xf>
    <xf numFmtId="0" fontId="5" fillId="0" borderId="0" applyFont="1" applyFill="1" applyBorder="1"/>
    <xf numFmtId="166" fontId="88" fillId="0" borderId="46" applyNumberFormat="1" applyFont="1" applyFill="1" applyBorder="1" applyAlignment="1">
      <alignment horizontal="center"/>
    </xf>
    <xf numFmtId="2" fontId="88" fillId="33" borderId="44" applyNumberFormat="1" applyFont="1" applyFill="1" applyBorder="1" applyAlignment="1">
      <alignment horizontal="center"/>
    </xf>
    <xf numFmtId="2" fontId="88" fillId="33" borderId="25" applyNumberFormat="1" applyFont="1" applyFill="1" applyBorder="1" applyAlignment="1">
      <alignment horizontal="center"/>
    </xf>
    <xf numFmtId="2" fontId="88" fillId="33" borderId="45" applyNumberFormat="1" applyFont="1" applyFill="1" applyBorder="1" applyAlignment="1">
      <alignment horizontal="center"/>
    </xf>
    <xf numFmtId="2" fontId="88" fillId="0" borderId="46" applyNumberFormat="1" applyFont="1" applyFill="1" applyBorder="1" applyAlignment="1">
      <alignment horizontal="center"/>
    </xf>
    <xf numFmtId="0" fontId="52" fillId="36" borderId="0" applyFont="1" applyFill="1" applyBorder="1" applyAlignment="1">
      <alignment horizontal="left" vertical="top"/>
    </xf>
    <xf numFmtId="0" fontId="85" fillId="36" borderId="0" applyFont="1" applyFill="1" applyBorder="1"/>
    <xf numFmtId="0" fontId="55" fillId="36" borderId="0" applyFont="1" applyFill="1" applyBorder="1" applyAlignment="1">
      <alignment vertical="top"/>
    </xf>
    <xf numFmtId="0" fontId="96" fillId="0" borderId="0" applyFont="1" applyFill="1"/>
    <xf numFmtId="0" fontId="97" fillId="0" borderId="0" applyFont="1" applyFill="1"/>
    <xf numFmtId="0" fontId="98" fillId="0" borderId="0" applyFont="1" applyFill="1"/>
    <xf numFmtId="0" fontId="99" fillId="0" borderId="0" applyFont="1" applyFill="1" applyAlignment="1">
      <alignment vertical="top"/>
    </xf>
    <xf numFmtId="0" fontId="100" fillId="0" borderId="0" applyFont="1" applyFill="1"/>
    <xf numFmtId="0" fontId="101" fillId="0" borderId="0" applyFont="1" applyFill="1"/>
    <xf numFmtId="0" fontId="101" fillId="0" borderId="0" applyFont="1" applyFill="1" applyAlignment="1">
      <alignment vertical="top" wrapText="1"/>
    </xf>
    <xf numFmtId="0" fontId="96" fillId="0" borderId="0" applyFont="1" applyFill="1" applyAlignment="1">
      <alignment vertical="top" wrapText="1"/>
    </xf>
    <xf numFmtId="0" fontId="83" fillId="30" borderId="0" applyFont="1" applyFill="1" applyBorder="1" applyAlignment="1">
      <alignment horizontal="center"/>
    </xf>
    <xf numFmtId="166" fontId="83" fillId="30" borderId="0" applyNumberFormat="1" applyFont="1" applyFill="1" applyBorder="1" applyAlignment="1">
      <alignment horizontal="center"/>
    </xf>
    <xf numFmtId="0" fontId="83" fillId="30" borderId="0" applyFont="1" applyFill="1" applyBorder="1"/>
    <xf numFmtId="0" fontId="83" fillId="0" borderId="0" applyFont="1" applyFill="1" applyAlignment="1">
      <alignment horizontal="left"/>
    </xf>
    <xf numFmtId="0" fontId="27" fillId="30" borderId="0" applyFont="1" applyFill="1" applyBorder="1"/>
    <xf numFmtId="0" fontId="27" fillId="30" borderId="0" applyFont="1" applyFill="1" applyBorder="1" applyAlignment="1">
      <alignment horizontal="right"/>
    </xf>
    <xf numFmtId="0" fontId="27" fillId="30" borderId="0" applyFont="1" applyFill="1" applyBorder="1" applyAlignment="1">
      <alignment horizontal="centerContinuous"/>
    </xf>
    <xf numFmtId="0" fontId="27" fillId="0" borderId="0" applyFont="1" applyFill="1" applyAlignment="1">
      <alignment horizontal="right"/>
    </xf>
    <xf numFmtId="0" fontId="49" fillId="0" borderId="0" applyFont="1" applyFill="1" applyAlignment="1">
      <alignment vertical="center"/>
    </xf>
    <xf numFmtId="0" fontId="49" fillId="30" borderId="0" applyFont="1" applyFill="1" applyAlignment="1">
      <alignment vertical="center"/>
    </xf>
    <xf numFmtId="166" fontId="88" fillId="30" borderId="0" applyNumberFormat="1" applyFont="1" applyFill="1" applyBorder="1" applyAlignment="1">
      <alignment horizontal="center"/>
    </xf>
    <xf numFmtId="0" fontId="88" fillId="30" borderId="0" applyFont="1" applyFill="1" applyBorder="1" applyAlignment="1">
      <alignment horizontal="center"/>
    </xf>
    <xf numFmtId="166" fontId="88" fillId="33" borderId="0" applyNumberFormat="1" applyFont="1" applyFill="1" applyBorder="1" applyAlignment="1">
      <alignment horizontal="center"/>
    </xf>
    <xf numFmtId="0" fontId="88" fillId="33" borderId="0" applyFont="1" applyFill="1" applyBorder="1" applyAlignment="1">
      <alignment horizontal="center"/>
    </xf>
    <xf numFmtId="0" fontId="0" fillId="30" borderId="0" applyFont="1" applyFill="1" applyBorder="1" applyAlignment="1">
      <alignment horizontal="center"/>
    </xf>
    <xf numFmtId="4" fontId="88" fillId="30" borderId="0" applyNumberFormat="1" applyFont="1" applyFill="1" applyBorder="1" applyAlignment="1">
      <alignment horizontal="center"/>
    </xf>
    <xf numFmtId="167" fontId="88" fillId="30" borderId="0" applyNumberFormat="1" applyFont="1" applyFill="1" applyBorder="1" applyAlignment="1">
      <alignment horizontal="center"/>
    </xf>
    <xf numFmtId="4" fontId="88" fillId="33" borderId="0" applyNumberFormat="1" applyFont="1" applyFill="1" applyBorder="1" applyAlignment="1">
      <alignment horizontal="center"/>
    </xf>
    <xf numFmtId="167" fontId="88" fillId="33" borderId="0" applyNumberFormat="1" applyFont="1" applyFill="1" applyBorder="1" applyAlignment="1">
      <alignment horizontal="center"/>
    </xf>
    <xf numFmtId="166" fontId="88" fillId="30" borderId="0" applyNumberFormat="1" applyFont="1" applyFill="1" applyBorder="1" applyAlignment="1">
      <alignment horizontal="right"/>
    </xf>
    <xf numFmtId="166" fontId="88" fillId="33" borderId="0" applyNumberFormat="1" applyFont="1" applyFill="1" applyBorder="1" applyAlignment="1">
      <alignment horizontal="right"/>
    </xf>
    <xf numFmtId="166" fontId="88" fillId="30" borderId="0" applyNumberFormat="1" applyFont="1" applyFill="1" applyBorder="1" applyAlignment="1">
      <alignment horizontal="right"/>
    </xf>
    <xf numFmtId="4" fontId="88" fillId="30" borderId="0" applyNumberFormat="1" applyFont="1" applyFill="1" applyBorder="1" applyAlignment="1">
      <alignment horizontal="right"/>
    </xf>
    <xf numFmtId="167" fontId="0" fillId="30" borderId="0" applyNumberFormat="1" applyFont="1" applyFill="1" applyBorder="1"/>
    <xf numFmtId="4" fontId="88" fillId="33" borderId="0" applyNumberFormat="1" applyFont="1" applyFill="1" applyBorder="1" applyAlignment="1">
      <alignment horizontal="right"/>
    </xf>
    <xf numFmtId="167" fontId="0" fillId="33" borderId="0" applyNumberFormat="1" applyFont="1" applyFill="1" applyBorder="1"/>
    <xf numFmtId="165" fontId="88" fillId="30" borderId="0" applyNumberFormat="1" applyFont="1" applyFill="1" applyBorder="1" applyAlignment="1">
      <alignment horizontal="right"/>
    </xf>
    <xf numFmtId="44" fontId="88" fillId="30" borderId="0" applyNumberFormat="1" applyFont="1" applyFill="1" applyBorder="1" applyAlignment="1">
      <alignment horizontal="right"/>
    </xf>
    <xf numFmtId="166" fontId="0" fillId="30" borderId="0" applyNumberFormat="1" applyFont="1" applyFill="1" applyBorder="1"/>
    <xf numFmtId="164" fontId="88" fillId="30" borderId="0" applyNumberFormat="1" applyFont="1" applyFill="1"/>
    <xf numFmtId="0" fontId="0" fillId="30" borderId="0" applyFont="1" applyFill="1" applyAlignment="1">
      <alignment vertical="top"/>
    </xf>
    <xf numFmtId="0" fontId="0" fillId="35" borderId="0" applyFont="1" applyFill="1" applyAlignment="1">
      <alignment vertical="top"/>
    </xf>
    <xf numFmtId="0" fontId="0" fillId="0" borderId="0" applyFont="1" applyFill="1" applyAlignment="1">
      <alignment vertical="top"/>
    </xf>
    <xf numFmtId="0" fontId="83" fillId="30" borderId="0" applyFont="1" applyFill="1" applyAlignment="1">
      <alignment vertical="center"/>
    </xf>
    <xf numFmtId="0" fontId="83" fillId="35" borderId="0" applyFont="1" applyFill="1" applyAlignment="1">
      <alignment vertical="center"/>
    </xf>
    <xf numFmtId="0" fontId="83" fillId="0" borderId="0" applyFont="1" applyFill="1" applyAlignment="1">
      <alignment vertical="center"/>
    </xf>
    <xf numFmtId="0" fontId="0" fillId="0" borderId="0" applyFont="1" applyFill="1" applyAlignment="1">
      <alignment horizontal="center"/>
    </xf>
    <xf numFmtId="0" fontId="43" fillId="0" borderId="0" applyFont="1" applyFill="1" applyAlignment="1">
      <alignment horizontal="right"/>
    </xf>
    <xf numFmtId="0" fontId="88" fillId="30" borderId="0" applyFont="1" applyFill="1"/>
    <xf numFmtId="0" fontId="43" fillId="0" borderId="0" applyFont="1" applyFill="1" applyAlignment="1">
      <alignment horizontal="right"/>
    </xf>
    <xf numFmtId="0" fontId="43" fillId="0" borderId="0" applyFont="1" applyFill="1" applyAlignment="1">
      <alignment horizontal="right"/>
    </xf>
    <xf numFmtId="0" fontId="87" fillId="0" borderId="0" applyNumberFormat="1" applyFont="1" applyFill="1" applyBorder="1" applyAlignment="1">
      <alignment horizontal="left" wrapText="1"/>
    </xf>
    <xf numFmtId="0" fontId="5" fillId="0" borderId="0" applyFont="1" applyFill="1"/>
    <xf numFmtId="0" fontId="5" fillId="0" borderId="0" applyFont="1" applyFill="1"/>
    <xf numFmtId="0" fontId="43" fillId="37" borderId="0" applyFont="1" applyFill="1" applyBorder="1" applyAlignment="1">
      <alignment horizontal="center"/>
    </xf>
    <xf numFmtId="1" fontId="0" fillId="37" borderId="0" applyNumberFormat="1" applyFont="1" applyFill="1" applyBorder="1"/>
    <xf numFmtId="0" fontId="84" fillId="36" borderId="0" applyNumberFormat="1" applyFont="1" applyFill="1" applyBorder="1" applyAlignment="1">
      <alignment horizontal="left" wrapText="1"/>
    </xf>
    <xf numFmtId="0" fontId="52" fillId="36" borderId="0" applyFont="1" applyFill="1" applyBorder="1" applyAlignment="1">
      <alignment horizontal="left" wrapText="1"/>
    </xf>
    <xf numFmtId="164" fontId="88" fillId="30" borderId="0" applyNumberFormat="1" applyFont="1" applyFill="1"/>
    <xf numFmtId="0" fontId="88" fillId="30" borderId="0" applyFont="1" applyFill="1"/>
    <xf numFmtId="0" fontId="88" fillId="30" borderId="0" applyFont="1" applyFill="1" applyAlignment="1">
      <alignment horizontal="left"/>
    </xf>
    <xf numFmtId="49" fontId="64" fillId="36" borderId="34" applyNumberFormat="1" applyFont="1" applyFill="1" applyBorder="1" applyAlignment="1">
      <alignment horizontal="center"/>
    </xf>
    <xf numFmtId="0" fontId="88" fillId="36" borderId="35" applyFont="1" applyFill="1" applyBorder="1"/>
    <xf numFmtId="0" fontId="88" fillId="36" borderId="36" applyFont="1" applyFill="1" applyBorder="1"/>
    <xf numFmtId="0" fontId="39" fillId="30" borderId="0" applyFont="1" applyFill="1" applyAlignment="1">
      <alignment horizontal="center"/>
    </xf>
    <xf numFmtId="0" fontId="83" fillId="30" borderId="0" applyNumberFormat="1" applyFont="1" applyFill="1" applyAlignment="1">
      <alignment horizontal="left" wrapText="1"/>
    </xf>
    <xf numFmtId="0" fontId="88" fillId="30" borderId="0" applyFont="1" applyFill="1" applyAlignment="1">
      <alignment vertical="center"/>
    </xf>
    <xf numFmtId="164" fontId="88" fillId="30" borderId="0" applyNumberFormat="1" applyFont="1" applyFill="1" applyAlignment="1">
      <alignment vertical="center"/>
    </xf>
    <xf numFmtId="0" fontId="88" fillId="0" borderId="28" applyFont="1" applyFill="1" applyBorder="1"/>
    <xf numFmtId="0" fontId="88" fillId="0" borderId="29" applyFont="1" applyFill="1" applyBorder="1"/>
    <xf numFmtId="0" fontId="88" fillId="33" borderId="28" applyFont="1" applyFill="1" applyBorder="1"/>
    <xf numFmtId="0" fontId="88" fillId="33" borderId="29" applyFont="1" applyFill="1" applyBorder="1"/>
    <xf numFmtId="0" fontId="43" fillId="0" borderId="26" applyFont="1" applyFill="1" applyBorder="1" applyAlignment="1">
      <alignment horizontal="center" vertical="center" wrapText="1"/>
    </xf>
    <xf numFmtId="0" fontId="43" fillId="0" borderId="27" applyFont="1" applyFill="1" applyBorder="1" applyAlignment="1">
      <alignment horizontal="center" vertical="center" wrapText="1"/>
    </xf>
    <xf numFmtId="0" fontId="43" fillId="0" borderId="30" applyFont="1" applyFill="1" applyBorder="1" applyAlignment="1">
      <alignment horizontal="center" vertical="center" wrapText="1"/>
    </xf>
    <xf numFmtId="0" fontId="43" fillId="0" borderId="31" applyFont="1" applyFill="1" applyBorder="1" applyAlignment="1">
      <alignment horizontal="center" vertical="center" wrapText="1"/>
    </xf>
    <xf numFmtId="0" fontId="48" fillId="36" borderId="0" applyFont="1" applyFill="1" applyBorder="1" applyAlignment="1">
      <alignment horizontal="center" vertical="center"/>
    </xf>
    <xf numFmtId="0" fontId="48" fillId="36" borderId="52" applyFont="1" applyFill="1" applyBorder="1" applyAlignment="1">
      <alignment horizontal="center" vertical="center"/>
    </xf>
    <xf numFmtId="0" fontId="45" fillId="0" borderId="0" applyFont="1" applyFill="1" applyBorder="1" applyAlignment="1">
      <alignment vertical="center"/>
    </xf>
    <xf numFmtId="0" fontId="88" fillId="0" borderId="26" applyFont="1" applyFill="1" applyBorder="1"/>
    <xf numFmtId="0" fontId="88" fillId="0" borderId="27" applyFont="1" applyFill="1" applyBorder="1"/>
    <xf numFmtId="0" fontId="48" fillId="36" borderId="26" applyFont="1" applyFill="1" applyBorder="1" applyAlignment="1">
      <alignment horizontal="center" vertical="center"/>
    </xf>
    <xf numFmtId="0" fontId="48" fillId="36" borderId="32" applyFont="1" applyFill="1" applyBorder="1" applyAlignment="1">
      <alignment horizontal="center" vertical="center"/>
    </xf>
    <xf numFmtId="0" fontId="48" fillId="36" borderId="35" applyFont="1" applyFill="1" applyBorder="1" applyAlignment="1">
      <alignment horizontal="center" vertical="center"/>
    </xf>
    <xf numFmtId="0" fontId="48" fillId="36" borderId="36" applyFont="1" applyFill="1" applyBorder="1" applyAlignment="1">
      <alignment horizontal="center" vertical="center"/>
    </xf>
    <xf numFmtId="0" fontId="50" fillId="0" borderId="0" applyFont="1" applyFill="1" applyBorder="1" applyAlignment="1">
      <alignment horizontal="center"/>
    </xf>
    <xf numFmtId="0" fontId="43" fillId="30" borderId="27" applyFont="1" applyFill="1" applyBorder="1" applyAlignment="1">
      <alignment horizontal="center" vertical="center" wrapText="1"/>
    </xf>
    <xf numFmtId="0" fontId="43" fillId="30" borderId="31" applyFont="1" applyFill="1" applyBorder="1" applyAlignment="1">
      <alignment horizontal="center" vertical="center" wrapText="1"/>
    </xf>
    <xf numFmtId="0" fontId="0" fillId="33" borderId="30" applyFont="1" applyFill="1" applyBorder="1"/>
    <xf numFmtId="0" fontId="0" fillId="33" borderId="31" applyFont="1" applyFill="1" applyBorder="1"/>
    <xf numFmtId="0" fontId="0" fillId="0" borderId="28" applyFont="1" applyFill="1" applyBorder="1"/>
    <xf numFmtId="0" fontId="0" fillId="0" borderId="29" applyFont="1" applyFill="1" applyBorder="1"/>
    <xf numFmtId="0" fontId="0" fillId="33" borderId="28" applyFont="1" applyFill="1" applyBorder="1"/>
    <xf numFmtId="0" fontId="0" fillId="33" borderId="29" applyFont="1" applyFill="1" applyBorder="1"/>
    <xf numFmtId="0" fontId="0" fillId="0" borderId="28" applyFont="1" applyFill="1" applyBorder="1"/>
    <xf numFmtId="0" fontId="0" fillId="0" borderId="29" applyFont="1" applyFill="1" applyBorder="1"/>
    <xf numFmtId="0" fontId="88" fillId="33" borderId="30" applyFont="1" applyFill="1" applyBorder="1"/>
    <xf numFmtId="0" fontId="88" fillId="33" borderId="31" applyFont="1" applyFill="1" applyBorder="1"/>
    <xf numFmtId="0" fontId="0" fillId="0" borderId="26" applyFont="1" applyFill="1" applyBorder="1"/>
    <xf numFmtId="0" fontId="0" fillId="0" borderId="27" applyFont="1" applyFill="1" applyBorder="1"/>
    <xf numFmtId="0" fontId="0" fillId="0" borderId="26" applyFont="1" applyFill="1" applyBorder="1"/>
    <xf numFmtId="0" fontId="0" fillId="0" borderId="27" applyFont="1" applyFill="1" applyBorder="1"/>
    <xf numFmtId="1" fontId="88" fillId="37" borderId="0" applyNumberFormat="1" applyFont="1" applyFill="1" applyBorder="1"/>
    <xf numFmtId="166" fontId="43" fillId="37" borderId="0" applyNumberFormat="1" applyFont="1" applyFill="1" applyBorder="1" applyAlignment="1">
      <alignment horizontal="center"/>
    </xf>
    <xf numFmtId="0" fontId="43" fillId="37" borderId="0" applyFont="1" applyFill="1" applyBorder="1" applyAlignment="1">
      <alignment horizontal="center"/>
    </xf>
    <xf numFmtId="0" fontId="0" fillId="33" borderId="26" applyFont="1" applyFill="1" applyBorder="1"/>
    <xf numFmtId="0" fontId="0" fillId="33" borderId="27" applyFont="1" applyFill="1" applyBorder="1"/>
    <xf numFmtId="0" fontId="43" fillId="0" borderId="49" applyFont="1" applyFill="1" applyBorder="1" applyAlignment="1">
      <alignment horizontal="center" wrapText="1"/>
    </xf>
    <xf numFmtId="0" fontId="43" fillId="0" borderId="51" applyFont="1" applyFill="1" applyBorder="1" applyAlignment="1">
      <alignment horizontal="center" wrapText="1"/>
    </xf>
    <xf numFmtId="0" fontId="43" fillId="0" borderId="50" applyFont="1" applyFill="1" applyBorder="1" applyAlignment="1">
      <alignment horizontal="center" wrapText="1"/>
    </xf>
    <xf numFmtId="0" fontId="0" fillId="0" borderId="51" applyFont="1" applyFill="1" applyBorder="1" applyAlignment="1">
      <alignment horizontal="center" wrapText="1"/>
    </xf>
    <xf numFmtId="0" fontId="43" fillId="0" borderId="47" applyFont="1" applyFill="1" applyBorder="1" applyAlignment="1">
      <alignment horizontal="center" vertical="center" wrapText="1"/>
    </xf>
    <xf numFmtId="0" fontId="43" fillId="0" borderId="48" applyFont="1" applyFill="1" applyBorder="1" applyAlignment="1">
      <alignment horizontal="center" vertical="center" wrapText="1"/>
    </xf>
    <xf numFmtId="0" fontId="43" fillId="30" borderId="47" applyFont="1" applyFill="1" applyBorder="1" applyAlignment="1">
      <alignment horizontal="center" vertical="center" wrapText="1"/>
    </xf>
    <xf numFmtId="0" fontId="43" fillId="30" borderId="48" applyFont="1" applyFill="1" applyBorder="1" applyAlignment="1">
      <alignment horizontal="center" vertical="center" wrapText="1"/>
    </xf>
    <xf numFmtId="0" fontId="48" fillId="36" borderId="27" applyFont="1" applyFill="1" applyBorder="1" applyAlignment="1">
      <alignment horizontal="center" vertical="center"/>
    </xf>
    <xf numFmtId="0" fontId="43" fillId="0" borderId="37" applyFont="1" applyFill="1" applyBorder="1" applyAlignment="1">
      <alignment horizontal="center" vertical="center" wrapText="1"/>
    </xf>
    <xf numFmtId="0" fontId="43" fillId="0" borderId="39" applyFont="1" applyFill="1" applyBorder="1" applyAlignment="1">
      <alignment horizontal="center" vertical="center" wrapText="1"/>
    </xf>
    <xf numFmtId="0" fontId="48" fillId="37" borderId="0" applyFont="1" applyFill="1" applyBorder="1" applyAlignment="1">
      <alignment horizontal="center" vertical="center"/>
    </xf>
    <xf numFmtId="0" fontId="83" fillId="30" borderId="0" applyNumberFormat="1" applyFont="1" applyFill="1" applyAlignment="1">
      <alignment horizontal="left" wrapText="1"/>
    </xf>
    <xf numFmtId="0" fontId="0" fillId="33" borderId="32" applyFont="1" applyFill="1" applyBorder="1" applyAlignment="1">
      <alignment horizontal="right" indent="2"/>
    </xf>
    <xf numFmtId="166" fontId="0" fillId="33" borderId="0" applyNumberFormat="1" applyFont="1" applyFill="1" applyBorder="1" applyAlignment="1">
      <alignment horizontal="right" indent="2"/>
    </xf>
    <xf numFmtId="166" fontId="0" fillId="33" borderId="29" applyNumberFormat="1" applyFont="1" applyFill="1" applyBorder="1" applyAlignment="1">
      <alignment horizontal="right" indent="2"/>
    </xf>
    <xf numFmtId="166" fontId="0" fillId="33" borderId="32" applyNumberFormat="1" applyFont="1" applyFill="1" applyBorder="1" applyAlignment="1">
      <alignment horizontal="right" indent="2"/>
    </xf>
    <xf numFmtId="166" fontId="0" fillId="33" borderId="27" applyNumberFormat="1" applyFont="1" applyFill="1" applyBorder="1" applyAlignment="1">
      <alignment horizontal="right" indent="2"/>
    </xf>
    <xf numFmtId="0" fontId="0" fillId="37" borderId="0" applyFont="1" applyFill="1" applyBorder="1" applyAlignment="1">
      <alignment horizontal="center" vertical="center" wrapText="1"/>
    </xf>
    <xf numFmtId="0" fontId="0" fillId="33" borderId="33" applyFont="1" applyFill="1" applyBorder="1" applyAlignment="1">
      <alignment horizontal="right" indent="2"/>
    </xf>
    <xf numFmtId="0" fontId="0" fillId="0" borderId="0" applyFont="1" applyFill="1" applyBorder="1" applyAlignment="1">
      <alignment horizontal="right" indent="2"/>
    </xf>
    <xf numFmtId="166" fontId="0" fillId="0" borderId="0" applyNumberFormat="1" applyFont="1" applyFill="1" applyBorder="1" applyAlignment="1">
      <alignment horizontal="right" indent="2"/>
    </xf>
    <xf numFmtId="166" fontId="0" fillId="0" borderId="29" applyNumberFormat="1" applyFont="1" applyFill="1" applyBorder="1" applyAlignment="1">
      <alignment horizontal="right" indent="2"/>
    </xf>
    <xf numFmtId="0" fontId="0" fillId="33" borderId="30" applyFont="1" applyFill="1" applyBorder="1" applyAlignment="1">
      <alignment horizontal="right" indent="2"/>
    </xf>
    <xf numFmtId="0" fontId="0" fillId="33" borderId="26" applyFont="1" applyFill="1" applyBorder="1" applyAlignment="1">
      <alignment horizontal="right" indent="2"/>
    </xf>
    <xf numFmtId="0" fontId="0" fillId="33" borderId="28" applyFont="1" applyFill="1" applyBorder="1" applyAlignment="1">
      <alignment horizontal="right" indent="2"/>
    </xf>
    <xf numFmtId="0" fontId="0" fillId="33" borderId="0" applyFont="1" applyFill="1" applyBorder="1" applyAlignment="1">
      <alignment horizontal="right" indent="2"/>
    </xf>
    <xf numFmtId="0" fontId="0" fillId="0" borderId="28" applyFont="1" applyFill="1" applyBorder="1" applyAlignment="1">
      <alignment horizontal="right" indent="2"/>
    </xf>
    <xf numFmtId="0" fontId="0" fillId="0" borderId="51" applyFont="1" applyFill="1" applyBorder="1"/>
    <xf numFmtId="166" fontId="0" fillId="33" borderId="33" applyNumberFormat="1" applyFont="1" applyFill="1" applyBorder="1" applyAlignment="1">
      <alignment horizontal="right" indent="2"/>
    </xf>
    <xf numFmtId="166" fontId="0" fillId="33" borderId="31" applyNumberFormat="1" applyFont="1" applyFill="1" applyBorder="1" applyAlignment="1">
      <alignment horizontal="right" indent="2"/>
    </xf>
    <xf numFmtId="0" fontId="43" fillId="0" borderId="0" applyFont="1" applyFill="1" applyBorder="1" applyAlignment="1">
      <alignment horizontal="center"/>
    </xf>
    <xf numFmtId="0" fontId="41" fillId="0" borderId="26" applyFont="1" applyFill="1" applyBorder="1" applyAlignment="1">
      <alignment horizontal="center" vertical="center" wrapText="1"/>
    </xf>
    <xf numFmtId="0" fontId="41" fillId="0" borderId="32" applyFont="1" applyFill="1" applyBorder="1" applyAlignment="1">
      <alignment horizontal="center" vertical="center" wrapText="1"/>
    </xf>
    <xf numFmtId="0" fontId="41" fillId="0" borderId="27" applyFont="1" applyFill="1" applyBorder="1" applyAlignment="1">
      <alignment horizontal="center" vertical="center" wrapText="1"/>
    </xf>
    <xf numFmtId="164" fontId="88" fillId="30" borderId="0" applyNumberFormat="1" applyFont="1" applyFill="1"/>
    <xf numFmtId="0" fontId="87" fillId="0" borderId="0" applyNumberFormat="1" applyFont="1" applyFill="1" applyBorder="1" applyAlignment="1">
      <alignment horizontal="left" wrapText="1"/>
    </xf>
    <xf numFmtId="0" fontId="43" fillId="0" borderId="0" applyFont="1" applyFill="1" applyAlignment="1">
      <alignment horizontal="right"/>
    </xf>
    <xf numFmtId="0" fontId="0" fillId="0" borderId="0" applyFont="1" applyFill="1" applyAlignment="1">
      <alignment horizontal="right"/>
    </xf>
    <xf numFmtId="0" fontId="25" fillId="36" borderId="37" applyFont="1" applyFill="1" applyBorder="1" applyAlignment="1">
      <alignment horizontal="center" vertical="center"/>
    </xf>
    <xf numFmtId="0" fontId="0" fillId="36" borderId="39" applyFont="1" applyFill="1" applyBorder="1" applyAlignment="1">
      <alignment horizontal="center" vertical="center"/>
    </xf>
    <xf numFmtId="0" fontId="41" fillId="0" borderId="26" applyFont="1" applyFill="1" applyBorder="1" applyAlignment="1">
      <alignment horizontal="center" vertical="center"/>
    </xf>
    <xf numFmtId="0" fontId="41" fillId="0" borderId="32" applyFont="1" applyFill="1" applyBorder="1" applyAlignment="1">
      <alignment horizontal="center" vertical="center"/>
    </xf>
    <xf numFmtId="0" fontId="41" fillId="0" borderId="27" applyFont="1" applyFill="1" applyBorder="1" applyAlignment="1">
      <alignment horizontal="center" vertical="center"/>
    </xf>
    <xf numFmtId="0" fontId="88" fillId="0" borderId="32" applyFont="1" applyFill="1" applyBorder="1" applyAlignment="1">
      <alignment horizontal="center" vertical="center"/>
    </xf>
    <xf numFmtId="0" fontId="88" fillId="0" borderId="27" applyFont="1" applyFill="1" applyBorder="1" applyAlignment="1">
      <alignment horizontal="center" vertical="center"/>
    </xf>
    <xf numFmtId="164" fontId="50" fillId="30" borderId="0" applyNumberFormat="1" applyFont="1" applyFill="1" applyAlignment="1">
      <alignment horizontal="right"/>
    </xf>
    <xf numFmtId="0" fontId="44" fillId="0" borderId="0" applyFont="1" applyFill="1" applyBorder="1" applyAlignment="1">
      <alignment horizontal="center"/>
    </xf>
    <xf numFmtId="0" fontId="41" fillId="0" borderId="28" applyFont="1" applyFill="1" applyBorder="1" applyAlignment="1">
      <alignment horizontal="center" vertical="center"/>
    </xf>
    <xf numFmtId="0" fontId="88" fillId="0" borderId="0" applyFont="1" applyFill="1" applyBorder="1" applyAlignment="1">
      <alignment horizontal="center" vertical="center"/>
    </xf>
    <xf numFmtId="0" fontId="88" fillId="0" borderId="29" applyFont="1" applyFill="1" applyBorder="1" applyAlignment="1">
      <alignment horizontal="center" vertical="center"/>
    </xf>
    <xf numFmtId="0" fontId="88" fillId="0" borderId="0" applyFont="1" applyFill="1"/>
    <xf numFmtId="0" fontId="41" fillId="0" borderId="28" applyFont="1" applyFill="1" applyBorder="1" applyAlignment="1">
      <alignment horizontal="center" vertical="center" wrapText="1"/>
    </xf>
    <xf numFmtId="0" fontId="41" fillId="0" borderId="0" applyFont="1" applyFill="1" applyBorder="1" applyAlignment="1">
      <alignment horizontal="center" vertical="center" wrapText="1"/>
    </xf>
    <xf numFmtId="0" fontId="41" fillId="0" borderId="29" applyFont="1" applyFill="1" applyBorder="1" applyAlignment="1">
      <alignment horizontal="center" vertical="center" wrapText="1"/>
    </xf>
    <xf numFmtId="0" fontId="41" fillId="0" borderId="0" applyFont="1" applyFill="1" applyBorder="1" applyAlignment="1">
      <alignment horizontal="center" vertical="center"/>
    </xf>
    <xf numFmtId="0" fontId="41" fillId="0" borderId="29" applyFont="1" applyFill="1" applyBorder="1" applyAlignment="1">
      <alignment horizontal="center" vertical="center"/>
    </xf>
    <xf numFmtId="0" fontId="42" fillId="36" borderId="34" applyFont="1" applyFill="1" applyBorder="1" applyAlignment="1">
      <alignment horizontal="center"/>
    </xf>
    <xf numFmtId="0" fontId="42" fillId="36" borderId="35" applyFont="1" applyFill="1" applyBorder="1" applyAlignment="1">
      <alignment horizontal="center"/>
    </xf>
    <xf numFmtId="0" fontId="42" fillId="36" borderId="36" applyFont="1" applyFill="1" applyBorder="1" applyAlignment="1">
      <alignment horizontal="center"/>
    </xf>
    <xf numFmtId="0" fontId="43" fillId="30" borderId="0" applyFont="1" applyFill="1" applyAlignment="1">
      <alignment horizontal="right"/>
    </xf>
    <xf numFmtId="0" fontId="48" fillId="36" borderId="26" applyFont="1" applyFill="1" applyBorder="1"/>
    <xf numFmtId="0" fontId="48" fillId="36" borderId="27" applyFont="1" applyFill="1" applyBorder="1"/>
    <xf numFmtId="0" fontId="43" fillId="30" borderId="49" applyFont="1" applyFill="1" applyBorder="1" applyAlignment="1">
      <alignment horizontal="center"/>
    </xf>
    <xf numFmtId="0" fontId="43" fillId="30" borderId="51" applyFont="1" applyFill="1" applyBorder="1" applyAlignment="1">
      <alignment horizontal="center"/>
    </xf>
    <xf numFmtId="0" fontId="48" fillId="36" borderId="34" applyFont="1" applyFill="1" applyBorder="1" applyAlignment="1">
      <alignment horizontal="center"/>
    </xf>
    <xf numFmtId="0" fontId="48" fillId="36" borderId="35" applyFont="1" applyFill="1" applyBorder="1" applyAlignment="1">
      <alignment horizontal="center"/>
    </xf>
    <xf numFmtId="0" fontId="48" fillId="36" borderId="36" applyFont="1" applyFill="1" applyBorder="1" applyAlignment="1">
      <alignment horizontal="center"/>
    </xf>
    <xf numFmtId="0" fontId="83" fillId="0" borderId="0" applyNumberFormat="1" applyFont="1" applyFill="1" applyAlignment="1">
      <alignment horizontal="left" wrapText="1"/>
    </xf>
    <xf numFmtId="0" fontId="43" fillId="30" borderId="34" applyFont="1" applyFill="1" applyBorder="1" applyAlignment="1">
      <alignment horizontal="center"/>
    </xf>
    <xf numFmtId="0" fontId="43" fillId="30" borderId="36" applyFont="1" applyFill="1" applyBorder="1" applyAlignment="1">
      <alignment horizontal="center"/>
    </xf>
    <xf numFmtId="0" fontId="83" fillId="0" borderId="0" applyNumberFormat="1" applyFont="1" applyFill="1" applyBorder="1" applyAlignment="1">
      <alignment horizontal="left" wrapText="1"/>
    </xf>
    <xf numFmtId="0" fontId="25" fillId="36" borderId="39" applyFont="1" applyFill="1" applyBorder="1" applyAlignment="1">
      <alignment horizontal="center" vertical="center"/>
    </xf>
    <xf numFmtId="0" fontId="43" fillId="0" borderId="0" applyFont="1" applyFill="1" applyAlignment="1">
      <alignment horizontal="right"/>
    </xf>
    <xf numFmtId="164" fontId="50" fillId="30" borderId="0" applyNumberFormat="1" applyFont="1" applyFill="1" applyAlignment="1">
      <alignment horizontal="right"/>
    </xf>
    <xf numFmtId="0" fontId="0" fillId="0" borderId="34" applyFont="1" applyFill="1" applyBorder="1" applyAlignment="1">
      <alignment horizontal="center"/>
    </xf>
    <xf numFmtId="0" fontId="0" fillId="0" borderId="36" applyFont="1" applyFill="1" applyBorder="1" applyAlignment="1">
      <alignment horizontal="center"/>
    </xf>
    <xf numFmtId="0" fontId="0" fillId="34" borderId="34" applyFont="1" applyFill="1" applyBorder="1" applyAlignment="1">
      <alignment horizontal="center"/>
    </xf>
    <xf numFmtId="0" fontId="0" fillId="34" borderId="36" applyFont="1" applyFill="1" applyBorder="1" applyAlignment="1">
      <alignment horizontal="center"/>
    </xf>
    <xf numFmtId="49" fontId="51" fillId="36" borderId="34" applyNumberFormat="1" applyFont="1" applyFill="1" applyBorder="1" applyAlignment="1">
      <alignment horizontal="center" vertical="center"/>
    </xf>
    <xf numFmtId="49" fontId="0" fillId="36" borderId="35" applyNumberFormat="1" applyFont="1" applyFill="1" applyBorder="1" applyAlignment="1">
      <alignment horizontal="center" vertical="center"/>
    </xf>
    <xf numFmtId="49" fontId="0" fillId="36" borderId="36" applyNumberFormat="1" applyFont="1" applyFill="1" applyBorder="1" applyAlignment="1">
      <alignment horizontal="center" vertical="center"/>
    </xf>
    <xf numFmtId="0" fontId="51" fillId="36" borderId="34" applyFont="1" applyFill="1" applyBorder="1" applyAlignment="1">
      <alignment horizontal="center" vertical="center"/>
    </xf>
    <xf numFmtId="0" fontId="0" fillId="36" borderId="35" applyFont="1" applyFill="1" applyBorder="1" applyAlignment="1">
      <alignment horizontal="center" vertical="center"/>
    </xf>
    <xf numFmtId="0" fontId="0" fillId="36" borderId="33" applyFont="1" applyFill="1" applyBorder="1" applyAlignment="1">
      <alignment horizontal="center" vertical="center"/>
    </xf>
    <xf numFmtId="0" fontId="0" fillId="36" borderId="31" applyFont="1" applyFill="1" applyBorder="1" applyAlignment="1">
      <alignment horizontal="center" vertical="center"/>
    </xf>
    <xf numFmtId="0" fontId="39" fillId="30" borderId="0" applyFont="1" applyFill="1" applyAlignment="1">
      <alignment horizontal="center"/>
    </xf>
    <xf numFmtId="0" fontId="0" fillId="0" borderId="0" applyFont="1" applyFill="1"/>
    <xf numFmtId="0" fontId="88" fillId="30" borderId="0" applyFont="1" applyFill="1"/>
    <xf numFmtId="164" fontId="88" fillId="30" borderId="0" applyNumberFormat="1" applyFont="1" applyFill="1" applyAlignment="1">
      <alignment horizontal="right"/>
    </xf>
    <xf numFmtId="1" fontId="83" fillId="0" borderId="0" applyNumberFormat="1" applyFont="1" applyFill="1" applyAlignment="1">
      <alignment horizontal="left" wrapText="1"/>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20" fillId="0" borderId="34" applyFont="1" applyFill="1" applyBorder="1" applyAlignment="1">
      <alignment horizontal="center"/>
    </xf>
    <xf numFmtId="0" fontId="20" fillId="0" borderId="35" applyFont="1" applyFill="1" applyBorder="1" applyAlignment="1">
      <alignment horizontal="center"/>
    </xf>
    <xf numFmtId="0" fontId="20" fillId="0" borderId="36" applyFont="1" applyFill="1" applyBorder="1" applyAlignment="1">
      <alignment horizontal="center"/>
    </xf>
    <xf numFmtId="0" fontId="51" fillId="36" borderId="34" applyFont="1" applyFill="1" applyBorder="1"/>
    <xf numFmtId="0" fontId="51" fillId="36" borderId="35" applyFont="1" applyFill="1" applyBorder="1"/>
    <xf numFmtId="0" fontId="51" fillId="36" borderId="36" applyFont="1" applyFill="1" applyBorder="1"/>
    <xf numFmtId="0" fontId="43" fillId="0" borderId="34" applyFont="1" applyFill="1" applyBorder="1" applyAlignment="1">
      <alignment horizontal="center" vertical="center" wrapText="1"/>
    </xf>
    <xf numFmtId="0" fontId="88" fillId="0" borderId="36"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0" fontId="51" fillId="36" borderId="26" applyFont="1" applyFill="1" applyBorder="1"/>
    <xf numFmtId="0" fontId="51" fillId="36" borderId="32" applyFont="1" applyFill="1" applyBorder="1"/>
    <xf numFmtId="0" fontId="51" fillId="36" borderId="27" applyFont="1" applyFill="1" applyBorder="1"/>
    <xf numFmtId="0" fontId="5" fillId="0" borderId="28" applyFont="1" applyFill="1" applyBorder="1"/>
    <xf numFmtId="0" fontId="5" fillId="0" borderId="29" applyFont="1" applyFill="1" applyBorder="1"/>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 fillId="0" borderId="34" applyFont="1" applyFill="1" applyBorder="1"/>
    <xf numFmtId="0" fontId="5" fillId="0" borderId="36" applyFont="1" applyFill="1" applyBorder="1"/>
    <xf numFmtId="0" fontId="5" fillId="0" borderId="26" applyFont="1" applyFill="1" applyBorder="1"/>
    <xf numFmtId="0" fontId="5" fillId="0" borderId="27" applyFont="1" applyFill="1" applyBorder="1"/>
    <xf numFmtId="0" fontId="5" fillId="0" borderId="30" applyFont="1" applyFill="1" applyBorder="1"/>
    <xf numFmtId="0" fontId="5" fillId="0" borderId="31" applyFont="1" applyFill="1" applyBorder="1"/>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5" fillId="33" borderId="30" applyFont="1" applyFill="1" applyBorder="1"/>
    <xf numFmtId="0" fontId="5" fillId="33" borderId="31" applyFont="1" applyFill="1" applyBorder="1"/>
    <xf numFmtId="0" fontId="5" fillId="33" borderId="26" applyFont="1" applyFill="1" applyBorder="1"/>
    <xf numFmtId="0" fontId="5" fillId="33" borderId="27" applyFont="1" applyFill="1" applyBorder="1"/>
    <xf numFmtId="0" fontId="5" fillId="33" borderId="28" applyFont="1" applyFill="1" applyBorder="1"/>
    <xf numFmtId="0" fontId="5" fillId="33" borderId="29" applyFont="1" applyFill="1" applyBorder="1"/>
    <xf numFmtId="0" fontId="83" fillId="0" borderId="0" applyNumberFormat="1" applyFont="1" applyFill="1" applyAlignment="1">
      <alignment horizontal="left" wrapText="1"/>
    </xf>
    <xf numFmtId="0" fontId="88" fillId="0" borderId="0" applyFont="1" applyFill="1" applyAlignment="1">
      <alignment horizontal="right"/>
    </xf>
    <xf numFmtId="49" fontId="42" fillId="36" borderId="34" applyNumberFormat="1" applyFont="1" applyFill="1" applyBorder="1" applyAlignment="1">
      <alignment horizontal="center"/>
    </xf>
    <xf numFmtId="49" fontId="42" fillId="36" borderId="35" applyNumberFormat="1" applyFont="1" applyFill="1" applyBorder="1" applyAlignment="1">
      <alignment horizontal="center"/>
    </xf>
    <xf numFmtId="49" fontId="42" fillId="36" borderId="36" applyNumberFormat="1" applyFont="1" applyFill="1" applyBorder="1" applyAlignment="1">
      <alignment horizontal="center"/>
    </xf>
    <xf numFmtId="0" fontId="43" fillId="0" borderId="0" applyFont="1" applyFill="1" applyBorder="1" applyAlignment="1">
      <alignment horizontal="center" vertical="center" wrapText="1"/>
    </xf>
    <xf numFmtId="0" fontId="88" fillId="0" borderId="19"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0" fontId="20" fillId="0" borderId="25" applyFont="1" applyFill="1" applyBorder="1" applyAlignment="1">
      <alignment horizontal="center"/>
    </xf>
    <xf numFmtId="0" fontId="20" fillId="0" borderId="53" applyFont="1" applyFill="1" applyBorder="1" applyAlignment="1">
      <alignment horizontal="center"/>
    </xf>
    <xf numFmtId="0" fontId="0" fillId="0" borderId="0" applyFont="1" applyFill="1" applyBorder="1" applyAlignment="1">
      <alignment horizontal="left" vertical="center"/>
    </xf>
    <xf numFmtId="170" fontId="0" fillId="0" borderId="0" applyNumberFormat="1" applyFont="1" applyFill="1" applyBorder="1" applyAlignment="1">
      <alignment horizontal="left" vertical="center"/>
    </xf>
    <xf numFmtId="0" fontId="82" fillId="0" borderId="0" applyNumberFormat="1" applyFont="1" applyFill="1" applyAlignment="1">
      <alignment horizontal="left" wrapText="1"/>
    </xf>
    <xf numFmtId="0" fontId="82" fillId="0" borderId="0" applyNumberFormat="1" applyFont="1" applyFill="1" applyAlignment="1">
      <alignment horizontal="left" wrapText="1"/>
    </xf>
    <xf numFmtId="0" fontId="82" fillId="33" borderId="0" applyFont="1" applyFill="1" applyBorder="1" applyAlignment="1">
      <alignment horizontal="center"/>
    </xf>
    <xf numFmtId="0" fontId="82" fillId="0" borderId="28" applyFont="1" applyFill="1" applyBorder="1" applyAlignment="1">
      <alignment horizontal="center"/>
    </xf>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29" applyFont="1" applyFill="1" applyBorder="1" applyAlignment="1">
      <alignment horizontal="center"/>
    </xf>
    <xf numFmtId="0" fontId="82" fillId="0" borderId="29" applyFont="1" applyFill="1" applyBorder="1" applyAlignment="1">
      <alignment horizontal="center"/>
    </xf>
    <xf numFmtId="0" fontId="82" fillId="33" borderId="30" applyFont="1" applyFill="1" applyBorder="1" applyAlignment="1">
      <alignment horizontal="center"/>
    </xf>
    <xf numFmtId="0" fontId="82" fillId="33" borderId="28" applyFont="1" applyFill="1" applyBorder="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39" fillId="0" borderId="0" applyFont="1" applyFill="1" applyAlignment="1">
      <alignment horizontal="center"/>
    </xf>
    <xf numFmtId="0" fontId="29" fillId="0" borderId="0" applyFont="1" applyFill="1" applyBorder="1" applyAlignment="1">
      <alignment horizontal="center"/>
    </xf>
    <xf numFmtId="0" fontId="82" fillId="0" borderId="26" applyFont="1" applyFill="1" applyBorder="1" applyAlignment="1">
      <alignment horizontal="center"/>
    </xf>
    <xf numFmtId="0" fontId="82" fillId="33" borderId="31" applyFont="1" applyFill="1" applyBorder="1" applyAlignment="1">
      <alignment horizontal="center"/>
    </xf>
    <xf numFmtId="0" fontId="0" fillId="0" borderId="0" applyFont="1" applyFill="1"/>
    <xf numFmtId="0" fontId="0" fillId="0" borderId="0" applyFont="1" applyFill="1" applyAlignment="1">
      <alignment horizontal="center"/>
    </xf>
    <xf numFmtId="0" fontId="43" fillId="0" borderId="0" applyFont="1" applyFill="1" applyBorder="1"/>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31" applyFont="1" applyFill="1" applyBorder="1" applyAlignment="1">
      <alignment horizontal="center"/>
    </xf>
    <xf numFmtId="0" fontId="82" fillId="0" borderId="29" applyFont="1" applyFill="1" applyBorder="1" applyAlignment="1">
      <alignment horizontal="center"/>
    </xf>
    <xf numFmtId="0" fontId="82" fillId="33" borderId="28" applyFont="1" applyFill="1" applyBorder="1" applyAlignment="1">
      <alignment horizontal="center"/>
    </xf>
    <xf numFmtId="0" fontId="82" fillId="33" borderId="0" applyFont="1" applyFill="1" applyBorder="1" applyAlignment="1">
      <alignment horizontal="center"/>
    </xf>
    <xf numFmtId="0" fontId="82" fillId="33" borderId="30" applyFont="1" applyFill="1" applyBorder="1" applyAlignment="1">
      <alignment horizontal="center"/>
    </xf>
    <xf numFmtId="0" fontId="82" fillId="0" borderId="28" applyFont="1" applyFill="1" applyBorder="1" applyAlignment="1">
      <alignment horizontal="center"/>
    </xf>
    <xf numFmtId="0" fontId="39" fillId="0" borderId="0" applyFont="1" applyFill="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82" fillId="0" borderId="26" applyFont="1" applyFill="1" applyBorder="1" applyAlignment="1">
      <alignment horizontal="center"/>
    </xf>
    <xf numFmtId="0" fontId="29" fillId="0" borderId="0" applyFont="1" applyFill="1" applyBorder="1" applyAlignment="1">
      <alignment horizontal="center"/>
    </xf>
    <xf numFmtId="0" fontId="82" fillId="33" borderId="29" applyFont="1" applyFill="1" applyBorder="1" applyAlignment="1">
      <alignment horizontal="center"/>
    </xf>
    <xf numFmtId="164" fontId="0" fillId="30" borderId="0" applyNumberFormat="1" applyFont="1" applyFill="1"/>
    <xf numFmtId="0" fontId="0" fillId="30" borderId="0" applyFont="1" applyFill="1"/>
    <xf numFmtId="0" fontId="0" fillId="30" borderId="0" applyFont="1" applyFill="1" applyAlignment="1">
      <alignment horizontal="center"/>
    </xf>
    <xf numFmtId="0" fontId="5" fillId="0" borderId="0" applyFont="1" applyFill="1" applyAlignment="1">
      <alignment horizontal="left" vertical="top" wrapText="1"/>
    </xf>
    <xf numFmtId="0" fontId="83" fillId="30" borderId="0" applyNumberFormat="1" applyFont="1" applyFill="1" applyBorder="1" applyAlignment="1">
      <alignment horizontal="left" wrapText="1"/>
    </xf>
    <xf numFmtId="0" fontId="39" fillId="30" borderId="0" applyFont="1" applyFill="1" applyBorder="1" applyAlignment="1">
      <alignment horizontal="center"/>
    </xf>
    <xf numFmtId="164" fontId="88" fillId="30" borderId="0" applyNumberFormat="1" applyFont="1" applyFill="1" applyBorder="1"/>
    <xf numFmtId="0" fontId="88" fillId="30" borderId="0" applyFont="1" applyFill="1" applyBorder="1" applyAlignment="1">
      <alignment horizontal="left"/>
    </xf>
    <xf numFmtId="49" fontId="52" fillId="36" borderId="34" applyNumberFormat="1" applyFont="1" applyFill="1" applyBorder="1" applyAlignment="1">
      <alignment horizontal="center"/>
    </xf>
    <xf numFmtId="49" fontId="52" fillId="36" borderId="7" applyNumberFormat="1" applyFont="1" applyFill="1" applyBorder="1" applyAlignment="1">
      <alignment horizontal="center"/>
    </xf>
    <xf numFmtId="0" fontId="43" fillId="0" borderId="36" applyFont="1" applyFill="1" applyBorder="1" applyAlignment="1">
      <alignment horizontal="center" vertical="center" wrapText="1"/>
    </xf>
    <xf numFmtId="0" fontId="43" fillId="0" borderId="54" applyFont="1" applyFill="1" applyBorder="1" applyAlignment="1">
      <alignment horizontal="center" vertical="center" wrapText="1"/>
    </xf>
    <xf numFmtId="0" fontId="0" fillId="33" borderId="38" applyFont="1" applyFill="1" applyBorder="1"/>
    <xf numFmtId="0" fontId="48" fillId="36" borderId="37" applyFont="1" applyFill="1" applyBorder="1" applyAlignment="1">
      <alignment horizontal="center" vertical="center"/>
    </xf>
    <xf numFmtId="0" fontId="43" fillId="30" borderId="54" applyFont="1" applyFill="1" applyBorder="1" applyAlignment="1">
      <alignment horizontal="center" vertical="center" wrapText="1"/>
    </xf>
    <xf numFmtId="0" fontId="43" fillId="0" borderId="7" applyFont="1" applyFill="1" applyBorder="1" applyAlignment="1">
      <alignment horizontal="center" vertical="center" wrapText="1"/>
    </xf>
    <xf numFmtId="0" fontId="0" fillId="33" borderId="37" applyFont="1" applyFill="1" applyBorder="1"/>
    <xf numFmtId="0" fontId="88" fillId="33" borderId="39" applyFont="1" applyFill="1" applyBorder="1"/>
    <xf numFmtId="0" fontId="88" fillId="30" borderId="0" applyFont="1" applyFill="1" applyBorder="1" applyAlignment="1">
      <alignment vertical="center"/>
    </xf>
    <xf numFmtId="164" fontId="88" fillId="30" borderId="0" applyNumberFormat="1" applyFont="1" applyFill="1" applyBorder="1" applyAlignment="1">
      <alignment vertical="center"/>
    </xf>
    <xf numFmtId="0" fontId="88" fillId="0" borderId="38" applyFont="1" applyFill="1" applyBorder="1"/>
    <xf numFmtId="0" fontId="88" fillId="33" borderId="38" applyFont="1" applyFill="1" applyBorder="1"/>
    <xf numFmtId="0" fontId="48" fillId="36" borderId="7" applyFont="1" applyFill="1" applyBorder="1" applyAlignment="1">
      <alignment horizontal="center" vertical="center"/>
    </xf>
    <xf numFmtId="0" fontId="43" fillId="30" borderId="36" applyFont="1" applyFill="1" applyBorder="1" applyAlignment="1">
      <alignment horizontal="center" vertical="center" wrapText="1"/>
    </xf>
    <xf numFmtId="0" fontId="41" fillId="0" borderId="37" applyFont="1" applyFill="1" applyBorder="1" applyAlignment="1">
      <alignment horizontal="center" vertical="center"/>
    </xf>
    <xf numFmtId="0" fontId="41" fillId="0" borderId="37" applyFont="1" applyFill="1" applyBorder="1" applyAlignment="1">
      <alignment horizontal="center" vertical="center" wrapText="1"/>
    </xf>
    <xf numFmtId="0" fontId="43" fillId="0" borderId="0" applyFont="1" applyFill="1" applyBorder="1" applyAlignment="1">
      <alignment horizontal="right"/>
    </xf>
    <xf numFmtId="164" fontId="50" fillId="30" borderId="0" applyNumberFormat="1" applyFont="1" applyFill="1" applyBorder="1" applyAlignment="1">
      <alignment horizontal="right"/>
    </xf>
    <xf numFmtId="164" fontId="43" fillId="30" borderId="0" applyNumberFormat="1" applyFont="1" applyFill="1" applyBorder="1" applyAlignment="1">
      <alignment horizontal="right"/>
    </xf>
    <xf numFmtId="0" fontId="41" fillId="0" borderId="38" applyFont="1" applyFill="1" applyBorder="1" applyAlignment="1">
      <alignment horizontal="center" vertical="center"/>
    </xf>
    <xf numFmtId="0" fontId="41" fillId="0" borderId="38" applyFont="1" applyFill="1" applyBorder="1" applyAlignment="1">
      <alignment horizontal="center" vertical="center" wrapText="1"/>
    </xf>
    <xf numFmtId="0" fontId="42" fillId="36" borderId="7" applyFont="1" applyFill="1" applyBorder="1" applyAlignment="1">
      <alignment horizontal="center"/>
    </xf>
    <xf numFmtId="0" fontId="43" fillId="30" borderId="0" applyFont="1" applyFill="1" applyBorder="1" applyAlignment="1">
      <alignment horizontal="right"/>
    </xf>
    <xf numFmtId="0" fontId="48" fillId="36" borderId="7" applyFont="1" applyFill="1" applyBorder="1" applyAlignment="1">
      <alignment horizontal="center"/>
    </xf>
    <xf numFmtId="0" fontId="43" fillId="30" borderId="7" applyFont="1" applyFill="1" applyBorder="1" applyAlignment="1">
      <alignment horizontal="center"/>
    </xf>
    <xf numFmtId="0" fontId="25" fillId="36" borderId="7" applyFont="1" applyFill="1" applyBorder="1" applyAlignment="1">
      <alignment horizontal="center" vertical="center"/>
    </xf>
    <xf numFmtId="0" fontId="0" fillId="0" borderId="7" applyFont="1" applyFill="1" applyBorder="1" applyAlignment="1">
      <alignment horizontal="center"/>
    </xf>
    <xf numFmtId="0" fontId="0" fillId="34" borderId="7" applyFont="1" applyFill="1" applyBorder="1" applyAlignment="1">
      <alignment horizontal="center"/>
    </xf>
    <xf numFmtId="49" fontId="48" fillId="36" borderId="34" applyNumberFormat="1" applyFont="1" applyFill="1" applyBorder="1" applyAlignment="1">
      <alignment horizontal="center" vertical="center"/>
    </xf>
    <xf numFmtId="49" fontId="48" fillId="36" borderId="7" applyNumberFormat="1" applyFont="1" applyFill="1" applyBorder="1" applyAlignment="1">
      <alignment horizontal="center" vertical="center"/>
    </xf>
    <xf numFmtId="0" fontId="48" fillId="36" borderId="34" applyFont="1" applyFill="1" applyBorder="1" applyAlignment="1">
      <alignment horizontal="center" vertical="center"/>
    </xf>
    <xf numFmtId="1" fontId="83" fillId="0" borderId="0" applyNumberFormat="1" applyFont="1" applyFill="1" applyBorder="1" applyAlignment="1">
      <alignment horizontal="left" wrapText="1"/>
    </xf>
    <xf numFmtId="166" fontId="52" fillId="36" borderId="7" applyNumberFormat="1" applyFont="1" applyFill="1" applyBorder="1" applyAlignment="1">
      <alignment horizontal="center"/>
    </xf>
    <xf numFmtId="0" fontId="51" fillId="36" borderId="7" applyFont="1" applyFill="1" applyBorder="1"/>
    <xf numFmtId="0" fontId="51" fillId="36" borderId="7" applyFont="1" applyFill="1" applyBorder="1" applyAlignment="1">
      <alignment horizontal="left"/>
    </xf>
    <xf numFmtId="164" fontId="88" fillId="30" borderId="0" applyNumberFormat="1" applyFont="1" applyFill="1" applyBorder="1" applyAlignment="1">
      <alignment horizontal="right"/>
    </xf>
    <xf numFmtId="166" fontId="52" fillId="36" borderId="37" applyNumberFormat="1" applyFont="1" applyFill="1" applyBorder="1" applyAlignment="1">
      <alignment horizontal="center"/>
    </xf>
    <xf numFmtId="0" fontId="51" fillId="36" borderId="37" applyFont="1" applyFill="1" applyBorder="1" applyAlignment="1">
      <alignment horizontal="left"/>
    </xf>
    <xf numFmtId="0" fontId="51" fillId="36" borderId="37" applyFont="1" applyFill="1" applyBorder="1"/>
    <xf numFmtId="49" fontId="42" fillId="36" borderId="7" applyNumberFormat="1" applyFont="1" applyFill="1" applyBorder="1" applyAlignment="1">
      <alignment horizontal="center"/>
    </xf>
    <xf numFmtId="0" fontId="43" fillId="0" borderId="19" applyFont="1" applyFill="1" applyBorder="1" applyAlignment="1">
      <alignment horizontal="center" vertical="center" wrapText="1"/>
    </xf>
    <xf numFmtId="0" fontId="5" fillId="33" borderId="37" applyFont="1" applyFill="1" applyBorder="1"/>
    <xf numFmtId="0" fontId="5" fillId="0" borderId="38" applyFont="1" applyFill="1" applyBorder="1"/>
    <xf numFmtId="0" fontId="5" fillId="0" borderId="7" applyFont="1" applyFill="1" applyBorder="1"/>
    <xf numFmtId="0" fontId="5" fillId="33" borderId="38" applyFont="1" applyFill="1" applyBorder="1"/>
    <xf numFmtId="0" fontId="5" fillId="33" borderId="39" applyFont="1" applyFill="1" applyBorder="1"/>
    <xf numFmtId="0" fontId="5" fillId="0" borderId="37" applyFont="1" applyFill="1" applyBorder="1"/>
    <xf numFmtId="0" fontId="5" fillId="0" borderId="39" applyFont="1" applyFill="1" applyBorder="1"/>
    <xf numFmtId="0" fontId="39" fillId="0" borderId="0" applyFont="1" applyFill="1" applyBorder="1" applyAlignment="1">
      <alignment horizontal="center"/>
    </xf>
    <xf numFmtId="0" fontId="82" fillId="0" borderId="0" applyNumberFormat="1" applyFont="1" applyFill="1" applyBorder="1" applyAlignment="1">
      <alignment horizontal="left" wrapText="1"/>
    </xf>
    <xf numFmtId="164" fontId="0" fillId="30" borderId="0" applyNumberFormat="1" applyFont="1" applyFill="1" applyBorder="1"/>
    <xf numFmtId="0" fontId="5" fillId="0" borderId="0" applyFont="1" applyFill="1" applyBorder="1" applyAlignment="1">
      <alignment horizontal="left" vertical="top" wrapText="1"/>
    </xf>
    <xf numFmtId="0" borderId="0"/>
    <xf numFmtId="0" fontId="103" fillId="36" borderId="55" applyFont="1" applyFill="1" applyBorder="1" applyAlignment="1">
      <alignment horizontal="center" vertical="bottom"/>
    </xf>
    <xf numFmtId="0" fontId="103" fillId="36" borderId="56" applyFont="1" applyFill="1" applyBorder="1" applyAlignment="1">
      <alignment horizontal="center" vertical="bottom"/>
    </xf>
    <xf numFmtId="0" fontId="103" fillId="36" borderId="57" applyFont="1" applyFill="1" applyBorder="1" applyAlignment="1">
      <alignment horizontal="center" vertical="bottom"/>
    </xf>
    <xf numFmtId="0" fontId="103" fillId="36" borderId="58" applyFont="1" applyFill="1" applyBorder="1" applyAlignment="1">
      <alignment horizontal="center" vertical="bottom"/>
    </xf>
    <xf numFmtId="0" fontId="0" fillId="0" borderId="59" applyFont="1" applyFill="1" applyBorder="1" applyAlignment="1">
      <alignment horizontal="left" vertical="center"/>
    </xf>
    <xf numFmtId="0" fontId="104" fillId="38" borderId="60" applyFont="1" applyFill="1" applyBorder="1" applyAlignment="1">
      <alignment horizontal="right" vertical="center"/>
    </xf>
    <xf numFmtId="0" fontId="43" fillId="0" borderId="59" applyFont="1" applyFill="1" applyBorder="1" applyAlignment="1">
      <alignment horizontal="right"/>
    </xf>
    <xf numFmtId="164" fontId="88" fillId="30" borderId="59" applyNumberFormat="1" applyFont="1" applyFill="1" applyBorder="1"/>
    <xf numFmtId="164" fontId="50" fillId="30" borderId="59" applyNumberFormat="1" applyFont="1" applyFill="1" applyBorder="1" applyAlignment="1">
      <alignment horizontal="right"/>
    </xf>
    <xf numFmtId="0" fontId="44" fillId="0" borderId="59" applyFont="1" applyFill="1" applyBorder="1" applyAlignment="1">
      <alignment horizontal="center"/>
    </xf>
    <xf numFmtId="0" fontId="105" fillId="0" borderId="61" applyFont="1" applyFill="1" applyBorder="1" applyAlignment="1">
      <alignment horizontal="center" vertical="center"/>
    </xf>
    <xf numFmtId="0" fontId="41" fillId="0" borderId="62" applyFont="1" applyFill="1" applyBorder="1" applyAlignment="1">
      <alignment horizontal="center" vertical="center"/>
    </xf>
    <xf numFmtId="0" fontId="41" fillId="0" borderId="62" applyFont="1" applyFill="1" applyBorder="1" applyAlignment="1">
      <alignment horizontal="center" vertical="center" wrapText="1"/>
    </xf>
    <xf numFmtId="0" fontId="41" fillId="0" borderId="63" applyFont="1" applyFill="1" applyBorder="1" applyAlignment="1">
      <alignment horizontal="center"/>
    </xf>
    <xf numFmtId="166" fontId="88" fillId="30" borderId="64" applyNumberFormat="1" applyFont="1" applyFill="1" applyBorder="1" applyAlignment="1">
      <alignment horizontal="center"/>
    </xf>
    <xf numFmtId="166" fontId="88" fillId="33" borderId="65" applyNumberFormat="1" applyFont="1" applyFill="1" applyBorder="1" applyAlignment="1">
      <alignment horizontal="center"/>
    </xf>
    <xf numFmtId="166" fontId="88" fillId="30" borderId="65" applyNumberFormat="1" applyFont="1" applyFill="1" applyBorder="1" applyAlignment="1">
      <alignment horizontal="center"/>
    </xf>
    <xf numFmtId="166" fontId="88" fillId="33" borderId="63" applyNumberFormat="1" applyFont="1" applyFill="1" applyBorder="1" applyAlignment="1">
      <alignment horizontal="center"/>
    </xf>
    <xf numFmtId="2" fontId="88" fillId="30" borderId="64" applyNumberFormat="1" applyFont="1" applyFill="1" applyBorder="1" applyAlignment="1">
      <alignment horizontal="center"/>
    </xf>
    <xf numFmtId="2" fontId="88" fillId="33" borderId="65" applyNumberFormat="1" applyFont="1" applyFill="1" applyBorder="1" applyAlignment="1">
      <alignment horizontal="center"/>
    </xf>
    <xf numFmtId="0" fontId="106" fillId="38" borderId="66" applyFont="1" applyFill="1" applyBorder="1"/>
    <xf numFmtId="0" fontId="87" fillId="0" borderId="59" applyNumberFormat="1" applyFont="1" applyFill="1" applyBorder="1" applyAlignment="1">
      <alignment horizontal="left" wrapText="1"/>
    </xf>
    <xf numFmtId="0" fontId="107" fillId="39" borderId="0" applyFont="1" applyFill="1"/>
    <xf numFmtId="49" fontId="55" fillId="36" borderId="67" applyNumberFormat="1" applyFont="1" applyFill="1" applyBorder="1" applyAlignment="1">
      <alignment textRotation="90" wrapText="1"/>
    </xf>
    <xf numFmtId="0" fontId="108" fillId="38" borderId="60" applyFont="1" applyFill="1" applyBorder="1" applyAlignment="1">
      <alignment horizontal="left" vertical="center"/>
    </xf>
    <xf numFmtId="171" fontId="108" fillId="38" borderId="60" applyNumberFormat="1" applyFont="1" applyFill="1" applyBorder="1" applyAlignment="1">
      <alignment horizontal="left" vertical="center"/>
    </xf>
    <xf numFmtId="0" fontId="108" fillId="38" borderId="60" applyFont="1" applyFill="1" applyBorder="1" applyAlignment="1">
      <alignment horizontal="right" vertical="center"/>
    </xf>
    <xf numFmtId="0" fontId="109" fillId="38" borderId="68" applyFont="1" applyFill="1" applyBorder="1" applyAlignment="1">
      <alignment horizontal="center" vertical="center"/>
    </xf>
    <xf numFmtId="0" fontId="109" fillId="38" borderId="69" applyFont="1" applyFill="1" applyBorder="1" applyAlignment="1">
      <alignment horizontal="center" vertical="center"/>
    </xf>
    <xf numFmtId="0" fontId="109" fillId="38" borderId="70" applyFont="1" applyFill="1" applyBorder="1" applyAlignment="1">
      <alignment horizontal="center" vertical="center"/>
    </xf>
    <xf numFmtId="0" fontId="108" fillId="40" borderId="60" applyFont="1" applyFill="1" applyBorder="1" applyAlignment="1">
      <alignment horizontal="left" vertical="center"/>
    </xf>
    <xf numFmtId="171" fontId="108" fillId="40" borderId="60" applyNumberFormat="1" applyFont="1" applyFill="1" applyBorder="1" applyAlignment="1">
      <alignment horizontal="left" vertical="center"/>
    </xf>
    <xf numFmtId="0" fontId="108" fillId="40" borderId="60" applyFont="1" applyFill="1" applyBorder="1" applyAlignment="1">
      <alignment horizontal="right" vertical="center"/>
    </xf>
    <xf numFmtId="0" fontId="109" fillId="40" borderId="68" applyFont="1" applyFill="1" applyBorder="1" applyAlignment="1">
      <alignment horizontal="center" vertical="center"/>
    </xf>
    <xf numFmtId="0" fontId="109" fillId="40" borderId="69" applyFont="1" applyFill="1" applyBorder="1" applyAlignment="1">
      <alignment horizontal="center" vertical="center"/>
    </xf>
    <xf numFmtId="0" fontId="109" fillId="40" borderId="70" applyFont="1" applyFill="1" applyBorder="1" applyAlignment="1">
      <alignment horizontal="center" vertical="center"/>
    </xf>
    <xf numFmtId="0" fontId="110" fillId="0" borderId="0" applyFont="1" applyFill="1" applyBorder="1" applyAlignment="1">
      <alignment horizontal="left" vertical="center"/>
    </xf>
    <xf numFmtId="0" fontId="49" fillId="0" borderId="0" applyFont="1" applyFill="1" applyBorder="1" applyAlignment="1">
      <alignment horizontal="center" vertical="bottom"/>
    </xf>
    <xf numFmtId="0" fontId="88" fillId="30" borderId="59" applyFont="1" applyFill="1" applyBorder="1"/>
    <xf numFmtId="49" fontId="51" fillId="36" borderId="7" applyNumberFormat="1" applyFont="1" applyFill="1" applyBorder="1" applyAlignment="1">
      <alignment horizontal="center" vertical="center"/>
    </xf>
    <xf numFmtId="0" fontId="39" fillId="30" borderId="59" applyFont="1" applyFill="1" applyBorder="1" applyAlignment="1">
      <alignment horizontal="center"/>
    </xf>
    <xf numFmtId="0" fontId="51" fillId="36" borderId="7" applyFont="1" applyFill="1" applyBorder="1" applyAlignment="1">
      <alignment horizontal="center" vertical="center"/>
    </xf>
    <xf numFmtId="0" fontId="83" fillId="30" borderId="59" applyNumberFormat="1" applyFont="1" applyFill="1" applyBorder="1" applyAlignment="1">
      <alignment horizontal="left" wrapText="1"/>
    </xf>
    <xf numFmtId="164" fontId="88" fillId="30" borderId="59" applyNumberFormat="1" applyFont="1" applyFill="1" applyBorder="1" applyAlignment="1">
      <alignment horizontal="right"/>
    </xf>
    <xf numFmtId="1" fontId="83" fillId="0" borderId="59" applyNumberFormat="1" applyFont="1" applyFill="1" applyBorder="1" applyAlignment="1">
      <alignment horizontal="left" wrapText="1"/>
    </xf>
    <xf numFmtId="0" fontId="51" fillId="36" borderId="62" applyFont="1" applyFill="1" applyBorder="1" applyAlignment="1">
      <alignment horizontal="left"/>
    </xf>
    <xf numFmtId="166" fontId="52" fillId="36" borderId="62" applyNumberFormat="1" applyFont="1" applyFill="1" applyBorder="1" applyAlignment="1">
      <alignment horizontal="center"/>
    </xf>
    <xf numFmtId="0" fontId="51" fillId="36" borderId="62" applyFont="1" applyFill="1" applyBorder="1"/>
    <xf numFmtId="0" fontId="88" fillId="0" borderId="59" applyFont="1" applyFill="1" applyBorder="1" applyAlignment="1">
      <alignment horizontal="right"/>
    </xf>
    <xf numFmtId="0" fontId="43" fillId="0" borderId="71" applyFont="1" applyFill="1" applyBorder="1" applyAlignment="1">
      <alignment horizontal="center" vertical="center" wrapText="1"/>
    </xf>
    <xf numFmtId="0" fontId="5" fillId="0" borderId="62" applyFont="1" applyFill="1" applyBorder="1"/>
    <xf numFmtId="0" fontId="5" fillId="0" borderId="72" applyFont="1" applyFill="1" applyBorder="1"/>
    <xf numFmtId="0" fontId="5" fillId="0" borderId="73" applyFont="1" applyFill="1" applyBorder="1"/>
    <xf numFmtId="0" fontId="5" fillId="33" borderId="62" applyFont="1" applyFill="1" applyBorder="1"/>
    <xf numFmtId="0" fontId="5" fillId="33" borderId="72" applyFont="1" applyFill="1" applyBorder="1"/>
    <xf numFmtId="0" fontId="5" fillId="33" borderId="73" applyFont="1" applyFill="1" applyBorder="1"/>
    <xf numFmtId="0" fontId="83" fillId="0" borderId="59" applyNumberFormat="1" applyFont="1" applyFill="1" applyBorder="1" applyAlignment="1">
      <alignment horizontal="left" wrapText="1"/>
    </xf>
    <xf numFmtId="0" fontId="0" fillId="0" borderId="59" applyFont="1" applyFill="1" applyBorder="1"/>
    <xf numFmtId="0" fontId="39" fillId="0" borderId="59" applyFont="1" applyFill="1" applyBorder="1" applyAlignment="1">
      <alignment horizontal="center"/>
    </xf>
    <xf numFmtId="0" fontId="29" fillId="0" borderId="59" applyFont="1" applyFill="1" applyBorder="1" applyAlignment="1">
      <alignment horizontal="center"/>
    </xf>
    <xf numFmtId="0" fontId="82" fillId="0" borderId="74" applyFont="1" applyFill="1" applyBorder="1" applyAlignment="1">
      <alignment horizontal="center"/>
    </xf>
    <xf numFmtId="0" fontId="82" fillId="0" borderId="75" applyFont="1" applyFill="1" applyBorder="1" applyAlignment="1">
      <alignment horizontal="center"/>
    </xf>
    <xf numFmtId="0" fontId="82" fillId="0" borderId="76" applyFont="1" applyFill="1" applyBorder="1" applyAlignment="1">
      <alignment horizontal="center"/>
    </xf>
    <xf numFmtId="0" fontId="82" fillId="33" borderId="77" applyFont="1" applyFill="1" applyBorder="1" applyAlignment="1">
      <alignment horizontal="center"/>
    </xf>
    <xf numFmtId="0" fontId="82" fillId="33" borderId="59" applyFont="1" applyFill="1" applyBorder="1" applyAlignment="1">
      <alignment horizontal="center"/>
    </xf>
    <xf numFmtId="0" fontId="82" fillId="33" borderId="78" applyFont="1" applyFill="1" applyBorder="1" applyAlignment="1">
      <alignment horizontal="center"/>
    </xf>
    <xf numFmtId="0" fontId="82" fillId="0" borderId="77" applyFont="1" applyFill="1" applyBorder="1" applyAlignment="1">
      <alignment horizontal="center"/>
    </xf>
    <xf numFmtId="0" fontId="82" fillId="0" borderId="59" applyFont="1" applyFill="1" applyBorder="1" applyAlignment="1">
      <alignment horizontal="center"/>
    </xf>
    <xf numFmtId="0" fontId="82" fillId="0" borderId="78" applyFont="1" applyFill="1" applyBorder="1" applyAlignment="1">
      <alignment horizontal="center"/>
    </xf>
    <xf numFmtId="0" fontId="82" fillId="33" borderId="79" applyFont="1" applyFill="1" applyBorder="1" applyAlignment="1">
      <alignment horizontal="center"/>
    </xf>
    <xf numFmtId="0" fontId="82" fillId="33" borderId="80" applyFont="1" applyFill="1" applyBorder="1" applyAlignment="1">
      <alignment horizontal="center"/>
    </xf>
    <xf numFmtId="0" fontId="82" fillId="33" borderId="81" applyFont="1" applyFill="1" applyBorder="1" applyAlignment="1">
      <alignment horizontal="center"/>
    </xf>
    <xf numFmtId="0" fontId="0" fillId="0" borderId="59" applyFont="1" applyFill="1" applyBorder="1" applyAlignment="1">
      <alignment horizontal="center"/>
    </xf>
    <xf numFmtId="0" fontId="43" fillId="0" borderId="59" applyFont="1" applyFill="1" applyBorder="1"/>
    <xf numFmtId="0" fontId="111" fillId="38" borderId="68" applyFont="1" applyFill="1" applyBorder="1" applyAlignment="1">
      <alignment horizontal="center" vertical="center"/>
    </xf>
    <xf numFmtId="0" fontId="111" fillId="38" borderId="69" applyFont="1" applyFill="1" applyBorder="1" applyAlignment="1">
      <alignment horizontal="center" vertical="center"/>
    </xf>
    <xf numFmtId="0" fontId="111" fillId="38" borderId="70" applyFont="1" applyFill="1" applyBorder="1" applyAlignment="1">
      <alignment horizontal="center" vertical="center"/>
    </xf>
    <xf numFmtId="0" fontId="111" fillId="40" borderId="68" applyFont="1" applyFill="1" applyBorder="1" applyAlignment="1">
      <alignment horizontal="center" vertical="center"/>
    </xf>
    <xf numFmtId="0" fontId="111" fillId="40" borderId="69" applyFont="1" applyFill="1" applyBorder="1" applyAlignment="1">
      <alignment horizontal="center" vertical="center"/>
    </xf>
    <xf numFmtId="0" fontId="111" fillId="40" borderId="70" applyFont="1" applyFill="1" applyBorder="1" applyAlignment="1">
      <alignment horizontal="center" vertical="center"/>
    </xf>
    <xf numFmtId="170" fontId="0" fillId="0" borderId="59" applyNumberFormat="1" applyFont="1" applyFill="1" applyBorder="1" applyAlignment="1">
      <alignment horizontal="left" vertical="center"/>
    </xf>
    <xf numFmtId="0" fontId="88" fillId="0" borderId="0" applyFont="1" applyFill="1" applyBorder="1" applyAlignment="1">
      <alignment horizontal="center" vertical="bottom"/>
    </xf>
    <xf numFmtId="0" fontId="88" fillId="0" borderId="0" applyFont="1" applyFill="1" applyBorder="1" applyAlignment="1">
      <alignment horizontal="right" vertical="bottom"/>
    </xf>
    <xf numFmtId="0" fontId="82" fillId="0" borderId="59" applyNumberFormat="1" applyFont="1" applyFill="1" applyBorder="1" applyAlignment="1">
      <alignment horizontal="left" wrapText="1"/>
    </xf>
  </cellXfs>
  <cellStyles count="788">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_Hyatt DBM Sample" xfId="57"/>
    <cellStyle name="Currency" xfId="58" builtinId="4"/>
    <cellStyle name="Currency 2" xfId="59"/>
    <cellStyle name="Explanatory Text" xfId="60" builtinId="53" customBuiltin="1"/>
    <cellStyle name="Explanatory Text 2" xfId="61"/>
    <cellStyle name="ExtStyle 0" xfId="62"/>
    <cellStyle name="ExtStyle 0 2" xfId="63"/>
    <cellStyle name="ExtStyle 0 3" xfId="64"/>
    <cellStyle name="ExtStyle 0 4" xfId="65"/>
    <cellStyle name="ExtStyle 16" xfId="66"/>
    <cellStyle name="ExtStyle 16 2" xfId="67"/>
    <cellStyle name="ExtStyle 16 3" xfId="68"/>
    <cellStyle name="ExtStyle 16 4" xfId="69"/>
    <cellStyle name="ExtStyle 17" xfId="70"/>
    <cellStyle name="ExtStyle 17 2" xfId="71"/>
    <cellStyle name="ExtStyle 17 3" xfId="72"/>
    <cellStyle name="ExtStyle 17 4" xfId="73"/>
    <cellStyle name="ExtStyle 18" xfId="74"/>
    <cellStyle name="ExtStyle 18 2" xfId="75"/>
    <cellStyle name="ExtStyle 18 3" xfId="76"/>
    <cellStyle name="ExtStyle 18 4" xfId="77"/>
    <cellStyle name="ExtStyle 19" xfId="78"/>
    <cellStyle name="ExtStyle 19 2" xfId="79"/>
    <cellStyle name="ExtStyle 19 3" xfId="80"/>
    <cellStyle name="ExtStyle 19 4" xfId="81"/>
    <cellStyle name="ExtStyle 20" xfId="82"/>
    <cellStyle name="ExtStyle 20 2" xfId="83"/>
    <cellStyle name="ExtStyle 21" xfId="84"/>
    <cellStyle name="ExtStyle 21 2" xfId="85"/>
    <cellStyle name="ExtStyle 22" xfId="86"/>
    <cellStyle name="ExtStyle 22 2" xfId="87"/>
    <cellStyle name="ExtStyle 22 3" xfId="88"/>
    <cellStyle name="ExtStyle 22 4" xfId="89"/>
    <cellStyle name="ExtStyle 28" xfId="90"/>
    <cellStyle name="ExtStyle 28 2" xfId="91"/>
    <cellStyle name="ExtStyle 29" xfId="92"/>
    <cellStyle name="ExtStyle 29 2" xfId="93"/>
    <cellStyle name="ExtStyle 30" xfId="94"/>
    <cellStyle name="ExtStyle 30 2" xfId="95"/>
    <cellStyle name="ExtStyle 30 3" xfId="96"/>
    <cellStyle name="ExtStyle 30 4" xfId="97"/>
    <cellStyle name="ExtStyle 31" xfId="98"/>
    <cellStyle name="ExtStyle 31 2" xfId="99"/>
    <cellStyle name="ExtStyle 32" xfId="100"/>
    <cellStyle name="ExtStyle 32 2" xfId="101"/>
    <cellStyle name="ExtStyle 33" xfId="102"/>
    <cellStyle name="ExtStyle 33 2" xfId="103"/>
    <cellStyle name="ExtStyle 33 3" xfId="104"/>
    <cellStyle name="ExtStyle 33 4" xfId="105"/>
    <cellStyle name="ExtStyle 34" xfId="106"/>
    <cellStyle name="ExtStyle 34 2" xfId="107"/>
    <cellStyle name="ExtStyle 35" xfId="108"/>
    <cellStyle name="ExtStyle 35 2" xfId="109"/>
    <cellStyle name="ExtStyle 36" xfId="110"/>
    <cellStyle name="ExtStyle 36 2" xfId="111"/>
    <cellStyle name="ExtStyle 36 3" xfId="112"/>
    <cellStyle name="ExtStyle 36 4" xfId="113"/>
    <cellStyle name="ExtStyle 37" xfId="114"/>
    <cellStyle name="ExtStyle 37 2" xfId="115"/>
    <cellStyle name="ExtStyle 38" xfId="116"/>
    <cellStyle name="ExtStyle 38 2" xfId="117"/>
    <cellStyle name="ExtStyle 39" xfId="118"/>
    <cellStyle name="ExtStyle 39 2" xfId="119"/>
    <cellStyle name="ExtStyle 39 3" xfId="120"/>
    <cellStyle name="ExtStyle 39 4" xfId="121"/>
    <cellStyle name="ExtStyle 43" xfId="122"/>
    <cellStyle name="ExtStyle 44" xfId="123"/>
    <cellStyle name="ExtStyle 46" xfId="124"/>
    <cellStyle name="ExtStyle 47" xfId="125"/>
    <cellStyle name="ExtStyle 69" xfId="126"/>
    <cellStyle name="ExtStyle 75" xfId="127"/>
    <cellStyle name="ExtStyle 82" xfId="128"/>
    <cellStyle name="Good" xfId="129" builtinId="26" customBuiltin="1"/>
    <cellStyle name="Good 2" xfId="130"/>
    <cellStyle name="Heading 1" xfId="131" builtinId="16" customBuiltin="1"/>
    <cellStyle name="Heading 1 2" xfId="132"/>
    <cellStyle name="Heading 2" xfId="133" builtinId="17" customBuiltin="1"/>
    <cellStyle name="Heading 2 2" xfId="134"/>
    <cellStyle name="Heading 3" xfId="135" builtinId="18" customBuiltin="1"/>
    <cellStyle name="Heading 3 2" xfId="136"/>
    <cellStyle name="Heading 4" xfId="137" builtinId="19" customBuiltin="1"/>
    <cellStyle name="Heading 4 2" xfId="138"/>
    <cellStyle name="Hyperlink 2" xfId="139"/>
    <cellStyle name="Input" xfId="140" builtinId="20" customBuiltin="1"/>
    <cellStyle name="Input 2" xfId="141"/>
    <cellStyle name="Linked Cell" xfId="142" builtinId="24" customBuiltin="1"/>
    <cellStyle name="Linked Cell 2" xfId="143"/>
    <cellStyle name="Neutral" xfId="144" builtinId="28" customBuiltin="1"/>
    <cellStyle name="Neutral 2" xfId="145"/>
    <cellStyle name="Normal" xfId="0" builtinId="0"/>
    <cellStyle name="Normal 2" xfId="146"/>
    <cellStyle name="Normal 3" xfId="147"/>
    <cellStyle name="Note" xfId="148" builtinId="10" customBuiltin="1"/>
    <cellStyle name="Note 2" xfId="149"/>
    <cellStyle name="Note 3" xfId="150"/>
    <cellStyle name="Note 4" xfId="151"/>
    <cellStyle name="Output" xfId="152" builtinId="21" customBuiltin="1"/>
    <cellStyle name="Output 2" xfId="153"/>
    <cellStyle name="Percent" xfId="154" builtinId="5"/>
    <cellStyle name="Percent 2" xfId="155"/>
    <cellStyle name="Style 1025" xfId="156"/>
    <cellStyle name="Style 1025 2" xfId="157"/>
    <cellStyle name="Style 1101" xfId="158"/>
    <cellStyle name="Style 1101 2" xfId="159"/>
    <cellStyle name="Style 1103" xfId="160"/>
    <cellStyle name="Style 1103 2" xfId="161"/>
    <cellStyle name="Style 1103 3" xfId="162"/>
    <cellStyle name="Style 1103 4" xfId="163"/>
    <cellStyle name="Style 1104" xfId="164"/>
    <cellStyle name="Style 1104 2" xfId="165"/>
    <cellStyle name="Style 1104 3" xfId="166"/>
    <cellStyle name="Style 1104 4" xfId="167"/>
    <cellStyle name="Style 1105" xfId="168"/>
    <cellStyle name="Style 1105 2" xfId="169"/>
    <cellStyle name="Style 1105 3" xfId="170"/>
    <cellStyle name="Style 1105 4" xfId="171"/>
    <cellStyle name="Style 1106" xfId="172"/>
    <cellStyle name="Style 1106 2" xfId="173"/>
    <cellStyle name="Style 1106 3" xfId="174"/>
    <cellStyle name="Style 1106 4" xfId="175"/>
    <cellStyle name="Style 1107" xfId="176"/>
    <cellStyle name="Style 1107 2" xfId="177"/>
    <cellStyle name="Style 1107 3" xfId="178"/>
    <cellStyle name="Style 1107 4" xfId="179"/>
    <cellStyle name="Style 1108" xfId="180"/>
    <cellStyle name="Style 1108 2" xfId="181"/>
    <cellStyle name="Style 1108 3" xfId="182"/>
    <cellStyle name="Style 1108 4" xfId="183"/>
    <cellStyle name="Style 1109" xfId="184"/>
    <cellStyle name="Style 1109 2" xfId="185"/>
    <cellStyle name="Style 1109 3" xfId="186"/>
    <cellStyle name="Style 1109 4" xfId="187"/>
    <cellStyle name="Style 1110" xfId="188"/>
    <cellStyle name="Style 1110 2" xfId="189"/>
    <cellStyle name="Style 1110 3" xfId="190"/>
    <cellStyle name="Style 1110 4" xfId="191"/>
    <cellStyle name="Style 1111" xfId="192"/>
    <cellStyle name="Style 1111 2" xfId="193"/>
    <cellStyle name="Style 1111 3" xfId="194"/>
    <cellStyle name="Style 1111 4" xfId="195"/>
    <cellStyle name="Style 1112" xfId="196"/>
    <cellStyle name="Style 1112 2" xfId="197"/>
    <cellStyle name="Style 1112 3" xfId="198"/>
    <cellStyle name="Style 1112 4" xfId="199"/>
    <cellStyle name="Style 1113" xfId="200"/>
    <cellStyle name="Style 1113 2" xfId="201"/>
    <cellStyle name="Style 1113 3" xfId="202"/>
    <cellStyle name="Style 1113 4" xfId="203"/>
    <cellStyle name="Style 1114" xfId="204"/>
    <cellStyle name="Style 1114 2" xfId="205"/>
    <cellStyle name="Style 1114 3" xfId="206"/>
    <cellStyle name="Style 1114 4" xfId="207"/>
    <cellStyle name="Style 1115" xfId="208"/>
    <cellStyle name="Style 1115 2" xfId="209"/>
    <cellStyle name="Style 1115 3" xfId="210"/>
    <cellStyle name="Style 1115 4" xfId="211"/>
    <cellStyle name="Style 1177" xfId="212"/>
    <cellStyle name="Style 1177 2" xfId="213"/>
    <cellStyle name="Style 1177 3" xfId="214"/>
    <cellStyle name="Style 1177 4" xfId="215"/>
    <cellStyle name="Style 1178" xfId="216"/>
    <cellStyle name="Style 1178 2" xfId="217"/>
    <cellStyle name="Style 1178 3" xfId="218"/>
    <cellStyle name="Style 1178 4" xfId="219"/>
    <cellStyle name="Style 1179" xfId="220"/>
    <cellStyle name="Style 1179 2" xfId="221"/>
    <cellStyle name="Style 1179 3" xfId="222"/>
    <cellStyle name="Style 1179 4" xfId="223"/>
    <cellStyle name="Style 1180" xfId="224"/>
    <cellStyle name="Style 1180 2" xfId="225"/>
    <cellStyle name="Style 1180 3" xfId="226"/>
    <cellStyle name="Style 1180 4" xfId="227"/>
    <cellStyle name="Style 1181" xfId="228"/>
    <cellStyle name="Style 1181 2" xfId="229"/>
    <cellStyle name="Style 1181 3" xfId="230"/>
    <cellStyle name="Style 1181 4" xfId="231"/>
    <cellStyle name="Style 1182" xfId="232"/>
    <cellStyle name="Style 1182 2" xfId="233"/>
    <cellStyle name="Style 1182 3" xfId="234"/>
    <cellStyle name="Style 1182 4" xfId="235"/>
    <cellStyle name="Style 1183" xfId="236"/>
    <cellStyle name="Style 1183 2" xfId="237"/>
    <cellStyle name="Style 1183 3" xfId="238"/>
    <cellStyle name="Style 1183 4" xfId="239"/>
    <cellStyle name="Style 1184" xfId="240"/>
    <cellStyle name="Style 1184 2" xfId="241"/>
    <cellStyle name="Style 1184 3" xfId="242"/>
    <cellStyle name="Style 1184 4" xfId="243"/>
    <cellStyle name="Style 1185" xfId="244"/>
    <cellStyle name="Style 1185 2" xfId="245"/>
    <cellStyle name="Style 1185 3" xfId="246"/>
    <cellStyle name="Style 1185 4" xfId="247"/>
    <cellStyle name="Style 1196" xfId="248"/>
    <cellStyle name="Style 1299" xfId="249"/>
    <cellStyle name="Style 1299 2" xfId="250"/>
    <cellStyle name="Style 1309" xfId="251"/>
    <cellStyle name="Style 1311" xfId="252"/>
    <cellStyle name="Style 1313" xfId="253"/>
    <cellStyle name="Style 1314" xfId="254"/>
    <cellStyle name="Style 1315" xfId="255"/>
    <cellStyle name="Style 1316" xfId="256"/>
    <cellStyle name="Style 1317" xfId="257"/>
    <cellStyle name="Style 1318" xfId="258"/>
    <cellStyle name="Style 1319" xfId="259"/>
    <cellStyle name="Style 1320" xfId="260"/>
    <cellStyle name="Style 1321" xfId="261"/>
    <cellStyle name="Style 1322" xfId="262"/>
    <cellStyle name="Style 1331" xfId="263"/>
    <cellStyle name="Style 1331 2" xfId="264"/>
    <cellStyle name="Style 1331 3" xfId="265"/>
    <cellStyle name="Style 1331 4" xfId="266"/>
    <cellStyle name="Style 1332" xfId="267"/>
    <cellStyle name="Style 1332 2" xfId="268"/>
    <cellStyle name="Style 1332 3" xfId="269"/>
    <cellStyle name="Style 1332 4" xfId="270"/>
    <cellStyle name="Style 1333" xfId="271"/>
    <cellStyle name="Style 1333 2" xfId="272"/>
    <cellStyle name="Style 1333 3" xfId="273"/>
    <cellStyle name="Style 1333 4" xfId="274"/>
    <cellStyle name="Style 1334" xfId="275"/>
    <cellStyle name="Style 1334 2" xfId="276"/>
    <cellStyle name="Style 1334 3" xfId="277"/>
    <cellStyle name="Style 1334 4" xfId="278"/>
    <cellStyle name="Style 1335" xfId="279"/>
    <cellStyle name="Style 1335 2" xfId="280"/>
    <cellStyle name="Style 1335 3" xfId="281"/>
    <cellStyle name="Style 1335 4" xfId="282"/>
    <cellStyle name="Style 1336" xfId="283"/>
    <cellStyle name="Style 1336 2" xfId="284"/>
    <cellStyle name="Style 1336 3" xfId="285"/>
    <cellStyle name="Style 1336 4" xfId="286"/>
    <cellStyle name="Style 1337" xfId="287"/>
    <cellStyle name="Style 1337 2" xfId="288"/>
    <cellStyle name="Style 1337 3" xfId="289"/>
    <cellStyle name="Style 1337 4" xfId="290"/>
    <cellStyle name="Style 1338" xfId="291"/>
    <cellStyle name="Style 1338 2" xfId="292"/>
    <cellStyle name="Style 1338 3" xfId="293"/>
    <cellStyle name="Style 1338 4" xfId="294"/>
    <cellStyle name="Style 1339" xfId="295"/>
    <cellStyle name="Style 1339 2" xfId="296"/>
    <cellStyle name="Style 1339 3" xfId="297"/>
    <cellStyle name="Style 1339 4" xfId="298"/>
    <cellStyle name="Style 1376" xfId="299"/>
    <cellStyle name="Style 1376 2" xfId="300"/>
    <cellStyle name="Style 1376 3" xfId="301"/>
    <cellStyle name="Style 1376 4" xfId="302"/>
    <cellStyle name="Style 1377" xfId="303"/>
    <cellStyle name="Style 1377 2" xfId="304"/>
    <cellStyle name="Style 1377 3" xfId="305"/>
    <cellStyle name="Style 1377 4" xfId="306"/>
    <cellStyle name="Style 1378" xfId="307"/>
    <cellStyle name="Style 1378 2" xfId="308"/>
    <cellStyle name="Style 1378 3" xfId="309"/>
    <cellStyle name="Style 1378 4" xfId="310"/>
    <cellStyle name="Style 1379" xfId="311"/>
    <cellStyle name="Style 1379 2" xfId="312"/>
    <cellStyle name="Style 1379 3" xfId="313"/>
    <cellStyle name="Style 1379 4" xfId="314"/>
    <cellStyle name="Style 1380" xfId="315"/>
    <cellStyle name="Style 1380 2" xfId="316"/>
    <cellStyle name="Style 1380 3" xfId="317"/>
    <cellStyle name="Style 1380 4" xfId="318"/>
    <cellStyle name="Style 1381" xfId="319"/>
    <cellStyle name="Style 1381 2" xfId="320"/>
    <cellStyle name="Style 1381 3" xfId="321"/>
    <cellStyle name="Style 1381 4" xfId="322"/>
    <cellStyle name="Style 1382" xfId="323"/>
    <cellStyle name="Style 1382 2" xfId="324"/>
    <cellStyle name="Style 1382 3" xfId="325"/>
    <cellStyle name="Style 1382 4" xfId="326"/>
    <cellStyle name="Style 1383" xfId="327"/>
    <cellStyle name="Style 1383 2" xfId="328"/>
    <cellStyle name="Style 1383 3" xfId="329"/>
    <cellStyle name="Style 1383 4" xfId="330"/>
    <cellStyle name="Style 1384" xfId="331"/>
    <cellStyle name="Style 1384 2" xfId="332"/>
    <cellStyle name="Style 1384 3" xfId="333"/>
    <cellStyle name="Style 1384 4" xfId="334"/>
    <cellStyle name="Style 1385" xfId="335"/>
    <cellStyle name="Style 1385 2" xfId="336"/>
    <cellStyle name="Style 1385 3" xfId="337"/>
    <cellStyle name="Style 1385 4" xfId="338"/>
    <cellStyle name="Style 1386" xfId="339"/>
    <cellStyle name="Style 1386 2" xfId="340"/>
    <cellStyle name="Style 1386 3" xfId="341"/>
    <cellStyle name="Style 1386 4" xfId="342"/>
    <cellStyle name="Style 1535" xfId="343"/>
    <cellStyle name="Style 1536" xfId="344"/>
    <cellStyle name="Style 1537" xfId="345"/>
    <cellStyle name="Style 1538" xfId="346"/>
    <cellStyle name="Style 1539" xfId="347"/>
    <cellStyle name="Style 1540" xfId="348"/>
    <cellStyle name="Style 1541" xfId="349"/>
    <cellStyle name="Style 1542" xfId="350"/>
    <cellStyle name="Style 1543" xfId="351"/>
    <cellStyle name="Style 1544" xfId="352"/>
    <cellStyle name="Style 1556" xfId="353"/>
    <cellStyle name="Style 1556 2" xfId="354"/>
    <cellStyle name="Style 1663" xfId="355"/>
    <cellStyle name="Style 1663 2" xfId="356"/>
    <cellStyle name="Style 1665" xfId="357"/>
    <cellStyle name="Style 1665 2" xfId="358"/>
    <cellStyle name="Style 1665 3" xfId="359"/>
    <cellStyle name="Style 1665 4" xfId="360"/>
    <cellStyle name="Style 1666" xfId="361"/>
    <cellStyle name="Style 1666 2" xfId="362"/>
    <cellStyle name="Style 1666 3" xfId="363"/>
    <cellStyle name="Style 1666 4" xfId="364"/>
    <cellStyle name="Style 1667" xfId="365"/>
    <cellStyle name="Style 1667 2" xfId="366"/>
    <cellStyle name="Style 1667 3" xfId="367"/>
    <cellStyle name="Style 1667 4" xfId="368"/>
    <cellStyle name="Style 1668" xfId="369"/>
    <cellStyle name="Style 1668 2" xfId="370"/>
    <cellStyle name="Style 1668 3" xfId="371"/>
    <cellStyle name="Style 1668 4" xfId="372"/>
    <cellStyle name="Style 1669" xfId="373"/>
    <cellStyle name="Style 1669 2" xfId="374"/>
    <cellStyle name="Style 1669 3" xfId="375"/>
    <cellStyle name="Style 1669 4" xfId="376"/>
    <cellStyle name="Style 1670" xfId="377"/>
    <cellStyle name="Style 1670 2" xfId="378"/>
    <cellStyle name="Style 1670 3" xfId="379"/>
    <cellStyle name="Style 1670 4" xfId="380"/>
    <cellStyle name="Style 1671" xfId="381"/>
    <cellStyle name="Style 1671 2" xfId="382"/>
    <cellStyle name="Style 1671 3" xfId="383"/>
    <cellStyle name="Style 1671 4" xfId="384"/>
    <cellStyle name="Style 1672" xfId="385"/>
    <cellStyle name="Style 1672 2" xfId="386"/>
    <cellStyle name="Style 1672 3" xfId="387"/>
    <cellStyle name="Style 1672 4" xfId="388"/>
    <cellStyle name="Style 1673" xfId="389"/>
    <cellStyle name="Style 1673 2" xfId="390"/>
    <cellStyle name="Style 1673 3" xfId="391"/>
    <cellStyle name="Style 1673 4" xfId="392"/>
    <cellStyle name="Style 1699" xfId="393"/>
    <cellStyle name="Style 1703" xfId="394"/>
    <cellStyle name="Style 1705" xfId="395"/>
    <cellStyle name="Style 1706" xfId="396"/>
    <cellStyle name="Style 1707" xfId="397"/>
    <cellStyle name="Style 1708" xfId="398"/>
    <cellStyle name="Style 1709" xfId="399"/>
    <cellStyle name="Style 1710" xfId="400"/>
    <cellStyle name="Style 1711" xfId="401"/>
    <cellStyle name="Style 1712" xfId="402"/>
    <cellStyle name="Style 1713" xfId="403"/>
    <cellStyle name="Style 1714" xfId="404"/>
    <cellStyle name="Style 1759" xfId="405"/>
    <cellStyle name="Style 1872" xfId="406"/>
    <cellStyle name="Style 1874" xfId="407"/>
    <cellStyle name="Style 1876" xfId="408"/>
    <cellStyle name="Style 1877" xfId="409"/>
    <cellStyle name="Style 1878" xfId="410"/>
    <cellStyle name="Style 1879" xfId="411"/>
    <cellStyle name="Style 1880" xfId="412"/>
    <cellStyle name="Style 1881" xfId="413"/>
    <cellStyle name="Style 1882" xfId="414"/>
    <cellStyle name="Style 1883" xfId="415"/>
    <cellStyle name="Style 1884" xfId="416"/>
    <cellStyle name="Style 1885" xfId="417"/>
    <cellStyle name="Style 1887" xfId="418"/>
    <cellStyle name="Style 1887 2" xfId="419"/>
    <cellStyle name="Style 1887 3" xfId="420"/>
    <cellStyle name="Style 1887 4" xfId="421"/>
    <cellStyle name="Style 1888" xfId="422"/>
    <cellStyle name="Style 1888 2" xfId="423"/>
    <cellStyle name="Style 1888 3" xfId="424"/>
    <cellStyle name="Style 1888 4" xfId="425"/>
    <cellStyle name="Style 1889" xfId="426"/>
    <cellStyle name="Style 1889 2" xfId="427"/>
    <cellStyle name="Style 1889 3" xfId="428"/>
    <cellStyle name="Style 1889 4" xfId="429"/>
    <cellStyle name="Style 1890" xfId="430"/>
    <cellStyle name="Style 1890 2" xfId="431"/>
    <cellStyle name="Style 1890 3" xfId="432"/>
    <cellStyle name="Style 1890 4" xfId="433"/>
    <cellStyle name="Style 1891" xfId="434"/>
    <cellStyle name="Style 1891 2" xfId="435"/>
    <cellStyle name="Style 1891 3" xfId="436"/>
    <cellStyle name="Style 1891 4" xfId="437"/>
    <cellStyle name="Style 1892" xfId="438"/>
    <cellStyle name="Style 1892 2" xfId="439"/>
    <cellStyle name="Style 1892 3" xfId="440"/>
    <cellStyle name="Style 1892 4" xfId="441"/>
    <cellStyle name="Style 1893" xfId="442"/>
    <cellStyle name="Style 1893 2" xfId="443"/>
    <cellStyle name="Style 1893 3" xfId="444"/>
    <cellStyle name="Style 1893 4" xfId="445"/>
    <cellStyle name="Style 1894" xfId="446"/>
    <cellStyle name="Style 1894 2" xfId="447"/>
    <cellStyle name="Style 1894 3" xfId="448"/>
    <cellStyle name="Style 1894 4" xfId="449"/>
    <cellStyle name="Style 1895" xfId="450"/>
    <cellStyle name="Style 1895 2" xfId="451"/>
    <cellStyle name="Style 1895 3" xfId="452"/>
    <cellStyle name="Style 1895 4" xfId="453"/>
    <cellStyle name="Style 2066" xfId="454"/>
    <cellStyle name="Style 2067" xfId="455"/>
    <cellStyle name="Style 2068" xfId="456"/>
    <cellStyle name="Style 2069" xfId="457"/>
    <cellStyle name="Style 2070" xfId="458"/>
    <cellStyle name="Style 2071" xfId="459"/>
    <cellStyle name="Style 2072" xfId="460"/>
    <cellStyle name="Style 2073" xfId="461"/>
    <cellStyle name="Style 2074" xfId="462"/>
    <cellStyle name="Style 2075" xfId="463"/>
    <cellStyle name="Style 2089" xfId="464"/>
    <cellStyle name="Style 2202" xfId="465"/>
    <cellStyle name="Style 2204" xfId="466"/>
    <cellStyle name="Style 2206" xfId="467"/>
    <cellStyle name="Style 2207" xfId="468"/>
    <cellStyle name="Style 2208" xfId="469"/>
    <cellStyle name="Style 2209" xfId="470"/>
    <cellStyle name="Style 2210" xfId="471"/>
    <cellStyle name="Style 2211" xfId="472"/>
    <cellStyle name="Style 2212" xfId="473"/>
    <cellStyle name="Style 2213" xfId="474"/>
    <cellStyle name="Style 2214" xfId="475"/>
    <cellStyle name="Style 2215" xfId="476"/>
    <cellStyle name="Style 2464" xfId="477"/>
    <cellStyle name="Style 2468" xfId="478"/>
    <cellStyle name="Style 2470" xfId="479"/>
    <cellStyle name="Style 2471" xfId="480"/>
    <cellStyle name="Style 2472" xfId="481"/>
    <cellStyle name="Style 2473" xfId="482"/>
    <cellStyle name="Style 2474" xfId="483"/>
    <cellStyle name="Style 2475" xfId="484"/>
    <cellStyle name="Style 2476" xfId="485"/>
    <cellStyle name="Style 2477" xfId="486"/>
    <cellStyle name="Style 2478" xfId="487"/>
    <cellStyle name="Style 2479" xfId="488"/>
    <cellStyle name="Style 297" xfId="489"/>
    <cellStyle name="Style 297 2" xfId="490"/>
    <cellStyle name="Style 300" xfId="491"/>
    <cellStyle name="Style 300 2" xfId="492"/>
    <cellStyle name="Style 528" xfId="493"/>
    <cellStyle name="Style 528 2" xfId="494"/>
    <cellStyle name="Style 561" xfId="495"/>
    <cellStyle name="Style 561 2" xfId="496"/>
    <cellStyle name="Style 669" xfId="497"/>
    <cellStyle name="Style 669 2" xfId="498"/>
    <cellStyle name="Style 670" xfId="499"/>
    <cellStyle name="Style 670 2" xfId="500"/>
    <cellStyle name="Style 671" xfId="501"/>
    <cellStyle name="Style 671 2" xfId="502"/>
    <cellStyle name="Style 672" xfId="503"/>
    <cellStyle name="Style 672 2" xfId="504"/>
    <cellStyle name="Style 673" xfId="505"/>
    <cellStyle name="Style 673 2" xfId="506"/>
    <cellStyle name="Style 674" xfId="507"/>
    <cellStyle name="Style 674 2" xfId="508"/>
    <cellStyle name="Style 675" xfId="509"/>
    <cellStyle name="Style 675 2" xfId="510"/>
    <cellStyle name="Style 676" xfId="511"/>
    <cellStyle name="Style 676 2" xfId="512"/>
    <cellStyle name="Style 707" xfId="513"/>
    <cellStyle name="Style 707 2" xfId="514"/>
    <cellStyle name="Style 707 3" xfId="515"/>
    <cellStyle name="Style 707 4" xfId="516"/>
    <cellStyle name="Style 708" xfId="517"/>
    <cellStyle name="Style 708 2" xfId="518"/>
    <cellStyle name="Style 708 3" xfId="519"/>
    <cellStyle name="Style 708 4" xfId="520"/>
    <cellStyle name="Style 709" xfId="521"/>
    <cellStyle name="Style 709 2" xfId="522"/>
    <cellStyle name="Style 709 3" xfId="523"/>
    <cellStyle name="Style 709 4" xfId="524"/>
    <cellStyle name="Style 710" xfId="525"/>
    <cellStyle name="Style 710 2" xfId="526"/>
    <cellStyle name="Style 710 3" xfId="527"/>
    <cellStyle name="Style 710 4" xfId="528"/>
    <cellStyle name="Style 711" xfId="529"/>
    <cellStyle name="Style 711 2" xfId="530"/>
    <cellStyle name="Style 711 3" xfId="531"/>
    <cellStyle name="Style 711 4" xfId="532"/>
    <cellStyle name="Style 712" xfId="533"/>
    <cellStyle name="Style 712 2" xfId="534"/>
    <cellStyle name="Style 712 3" xfId="535"/>
    <cellStyle name="Style 712 4" xfId="536"/>
    <cellStyle name="Style 713" xfId="537"/>
    <cellStyle name="Style 713 2" xfId="538"/>
    <cellStyle name="Style 713 3" xfId="539"/>
    <cellStyle name="Style 713 4" xfId="540"/>
    <cellStyle name="Style 714" xfId="541"/>
    <cellStyle name="Style 714 2" xfId="542"/>
    <cellStyle name="Style 714 3" xfId="543"/>
    <cellStyle name="Style 714 4" xfId="544"/>
    <cellStyle name="Style 723" xfId="545"/>
    <cellStyle name="Style 723 2" xfId="546"/>
    <cellStyle name="Style 740" xfId="547"/>
    <cellStyle name="Style 740 2" xfId="548"/>
    <cellStyle name="Style 740 3" xfId="549"/>
    <cellStyle name="Style 740 4" xfId="550"/>
    <cellStyle name="Style 741" xfId="551"/>
    <cellStyle name="Style 741 2" xfId="552"/>
    <cellStyle name="Style 741 3" xfId="553"/>
    <cellStyle name="Style 741 4" xfId="554"/>
    <cellStyle name="Style 742" xfId="555"/>
    <cellStyle name="Style 742 2" xfId="556"/>
    <cellStyle name="Style 742 3" xfId="557"/>
    <cellStyle name="Style 742 4" xfId="558"/>
    <cellStyle name="Style 743" xfId="559"/>
    <cellStyle name="Style 743 2" xfId="560"/>
    <cellStyle name="Style 743 3" xfId="561"/>
    <cellStyle name="Style 743 4" xfId="562"/>
    <cellStyle name="Style 744" xfId="563"/>
    <cellStyle name="Style 744 2" xfId="564"/>
    <cellStyle name="Style 744 3" xfId="565"/>
    <cellStyle name="Style 744 4" xfId="566"/>
    <cellStyle name="Style 745" xfId="567"/>
    <cellStyle name="Style 745 2" xfId="568"/>
    <cellStyle name="Style 745 3" xfId="569"/>
    <cellStyle name="Style 745 4" xfId="570"/>
    <cellStyle name="Style 746" xfId="571"/>
    <cellStyle name="Style 746 2" xfId="572"/>
    <cellStyle name="Style 746 3" xfId="573"/>
    <cellStyle name="Style 746 4" xfId="574"/>
    <cellStyle name="Style 747" xfId="575"/>
    <cellStyle name="Style 747 2" xfId="576"/>
    <cellStyle name="Style 747 3" xfId="577"/>
    <cellStyle name="Style 747 4" xfId="578"/>
    <cellStyle name="Style 868" xfId="579"/>
    <cellStyle name="Style 868 2" xfId="580"/>
    <cellStyle name="Style 902" xfId="581"/>
    <cellStyle name="Style 902 2" xfId="582"/>
    <cellStyle name="Style 902 3" xfId="583"/>
    <cellStyle name="Style 902 4" xfId="584"/>
    <cellStyle name="Style 903" xfId="585"/>
    <cellStyle name="Style 903 2" xfId="586"/>
    <cellStyle name="Style 903 3" xfId="587"/>
    <cellStyle name="Style 903 4" xfId="588"/>
    <cellStyle name="Style 904" xfId="589"/>
    <cellStyle name="Style 904 2" xfId="590"/>
    <cellStyle name="Style 904 3" xfId="591"/>
    <cellStyle name="Style 904 4" xfId="592"/>
    <cellStyle name="Style 905" xfId="593"/>
    <cellStyle name="Style 905 2" xfId="594"/>
    <cellStyle name="Style 905 3" xfId="595"/>
    <cellStyle name="Style 905 4" xfId="596"/>
    <cellStyle name="Style 910" xfId="597"/>
    <cellStyle name="Style 910 2" xfId="598"/>
    <cellStyle name="Style 910 3" xfId="599"/>
    <cellStyle name="Style 910 4" xfId="600"/>
    <cellStyle name="Style 911" xfId="601"/>
    <cellStyle name="Style 911 2" xfId="602"/>
    <cellStyle name="Style 911 3" xfId="603"/>
    <cellStyle name="Style 911 4" xfId="604"/>
    <cellStyle name="Style 912" xfId="605"/>
    <cellStyle name="Style 912 2" xfId="606"/>
    <cellStyle name="Style 912 3" xfId="607"/>
    <cellStyle name="Style 912 4" xfId="608"/>
    <cellStyle name="Style 913" xfId="609"/>
    <cellStyle name="Style 913 2" xfId="610"/>
    <cellStyle name="Style 913 3" xfId="611"/>
    <cellStyle name="Style 913 4" xfId="612"/>
    <cellStyle name="Style 918" xfId="613"/>
    <cellStyle name="Style 918 2" xfId="614"/>
    <cellStyle name="Style 918 3" xfId="615"/>
    <cellStyle name="Style 918 4" xfId="616"/>
    <cellStyle name="Style 919" xfId="617"/>
    <cellStyle name="Style 919 2" xfId="618"/>
    <cellStyle name="Style 919 3" xfId="619"/>
    <cellStyle name="Style 919 4" xfId="620"/>
    <cellStyle name="Style 920" xfId="621"/>
    <cellStyle name="Style 920 2" xfId="622"/>
    <cellStyle name="Style 920 3" xfId="623"/>
    <cellStyle name="Style 920 4" xfId="624"/>
    <cellStyle name="Style 921" xfId="625"/>
    <cellStyle name="Style 921 2" xfId="626"/>
    <cellStyle name="Style 921 3" xfId="627"/>
    <cellStyle name="Style 921 4" xfId="628"/>
    <cellStyle name="Style 926" xfId="629"/>
    <cellStyle name="Style 926 2" xfId="630"/>
    <cellStyle name="Style 926 3" xfId="631"/>
    <cellStyle name="Style 926 4" xfId="632"/>
    <cellStyle name="Style 927" xfId="633"/>
    <cellStyle name="Style 927 2" xfId="634"/>
    <cellStyle name="Style 927 3" xfId="635"/>
    <cellStyle name="Style 927 4" xfId="636"/>
    <cellStyle name="Style 928" xfId="637"/>
    <cellStyle name="Style 928 2" xfId="638"/>
    <cellStyle name="Style 928 3" xfId="639"/>
    <cellStyle name="Style 928 4" xfId="640"/>
    <cellStyle name="Style 929" xfId="641"/>
    <cellStyle name="Style 929 2" xfId="642"/>
    <cellStyle name="Style 929 3" xfId="643"/>
    <cellStyle name="Style 929 4" xfId="644"/>
    <cellStyle name="Style 934" xfId="645"/>
    <cellStyle name="Style 934 2" xfId="646"/>
    <cellStyle name="Style 934 3" xfId="647"/>
    <cellStyle name="Style 934 4" xfId="648"/>
    <cellStyle name="Style 935" xfId="649"/>
    <cellStyle name="Style 935 2" xfId="650"/>
    <cellStyle name="Style 935 3" xfId="651"/>
    <cellStyle name="Style 935 4" xfId="652"/>
    <cellStyle name="Style 936" xfId="653"/>
    <cellStyle name="Style 936 2" xfId="654"/>
    <cellStyle name="Style 936 3" xfId="655"/>
    <cellStyle name="Style 936 4" xfId="656"/>
    <cellStyle name="Style 937" xfId="657"/>
    <cellStyle name="Style 937 2" xfId="658"/>
    <cellStyle name="Style 937 3" xfId="659"/>
    <cellStyle name="Style 937 4" xfId="660"/>
    <cellStyle name="Style 942" xfId="661"/>
    <cellStyle name="Style 942 2" xfId="662"/>
    <cellStyle name="Style 942 3" xfId="663"/>
    <cellStyle name="Style 942 4" xfId="664"/>
    <cellStyle name="Style 943" xfId="665"/>
    <cellStyle name="Style 943 2" xfId="666"/>
    <cellStyle name="Style 943 3" xfId="667"/>
    <cellStyle name="Style 943 4" xfId="668"/>
    <cellStyle name="Style 944" xfId="669"/>
    <cellStyle name="Style 944 2" xfId="670"/>
    <cellStyle name="Style 944 3" xfId="671"/>
    <cellStyle name="Style 944 4" xfId="672"/>
    <cellStyle name="Style 945" xfId="673"/>
    <cellStyle name="Style 945 2" xfId="674"/>
    <cellStyle name="Style 945 3" xfId="675"/>
    <cellStyle name="Style 945 4" xfId="676"/>
    <cellStyle name="Style 950" xfId="677"/>
    <cellStyle name="Style 950 2" xfId="678"/>
    <cellStyle name="Style 950 3" xfId="679"/>
    <cellStyle name="Style 950 4" xfId="680"/>
    <cellStyle name="Style 951" xfId="681"/>
    <cellStyle name="Style 951 2" xfId="682"/>
    <cellStyle name="Style 951 3" xfId="683"/>
    <cellStyle name="Style 951 4" xfId="684"/>
    <cellStyle name="Style 952" xfId="685"/>
    <cellStyle name="Style 952 2" xfId="686"/>
    <cellStyle name="Style 952 3" xfId="687"/>
    <cellStyle name="Style 952 4" xfId="688"/>
    <cellStyle name="Style 953" xfId="689"/>
    <cellStyle name="Style 953 2" xfId="690"/>
    <cellStyle name="Style 953 3" xfId="691"/>
    <cellStyle name="Style 953 4" xfId="692"/>
    <cellStyle name="Style 958" xfId="693"/>
    <cellStyle name="Style 958 2" xfId="694"/>
    <cellStyle name="Style 958 3" xfId="695"/>
    <cellStyle name="Style 958 4" xfId="696"/>
    <cellStyle name="Style 959" xfId="697"/>
    <cellStyle name="Style 959 2" xfId="698"/>
    <cellStyle name="Style 959 3" xfId="699"/>
    <cellStyle name="Style 959 4" xfId="700"/>
    <cellStyle name="Style 960" xfId="701"/>
    <cellStyle name="Style 960 2" xfId="702"/>
    <cellStyle name="Style 960 3" xfId="703"/>
    <cellStyle name="Style 960 4" xfId="704"/>
    <cellStyle name="Style 961" xfId="705"/>
    <cellStyle name="Style 961 2" xfId="706"/>
    <cellStyle name="Style 961 3" xfId="707"/>
    <cellStyle name="Style 961 4" xfId="708"/>
    <cellStyle name="Style 966" xfId="709"/>
    <cellStyle name="Style 966 2" xfId="710"/>
    <cellStyle name="Style 966 3" xfId="711"/>
    <cellStyle name="Style 966 4" xfId="712"/>
    <cellStyle name="Style 967" xfId="713"/>
    <cellStyle name="Style 967 2" xfId="714"/>
    <cellStyle name="Style 967 3" xfId="715"/>
    <cellStyle name="Style 967 4" xfId="716"/>
    <cellStyle name="Style 968" xfId="717"/>
    <cellStyle name="Style 968 2" xfId="718"/>
    <cellStyle name="Style 968 3" xfId="719"/>
    <cellStyle name="Style 968 4" xfId="720"/>
    <cellStyle name="Style 969" xfId="721"/>
    <cellStyle name="Style 969 2" xfId="722"/>
    <cellStyle name="Style 969 3" xfId="723"/>
    <cellStyle name="Style 969 4" xfId="724"/>
    <cellStyle name="Style 974" xfId="725"/>
    <cellStyle name="Style 974 2" xfId="726"/>
    <cellStyle name="Style 974 3" xfId="727"/>
    <cellStyle name="Style 974 4" xfId="728"/>
    <cellStyle name="Style 975" xfId="729"/>
    <cellStyle name="Style 975 2" xfId="730"/>
    <cellStyle name="Style 975 3" xfId="731"/>
    <cellStyle name="Style 975 4" xfId="732"/>
    <cellStyle name="Style 976" xfId="733"/>
    <cellStyle name="Style 976 2" xfId="734"/>
    <cellStyle name="Style 976 3" xfId="735"/>
    <cellStyle name="Style 976 4" xfId="736"/>
    <cellStyle name="Style 977" xfId="737"/>
    <cellStyle name="Style 977 2" xfId="738"/>
    <cellStyle name="Style 977 3" xfId="739"/>
    <cellStyle name="Style 977 4" xfId="740"/>
    <cellStyle name="Style 979" xfId="741"/>
    <cellStyle name="Style 979 2" xfId="742"/>
    <cellStyle name="Style 981" xfId="743"/>
    <cellStyle name="Style 981 2" xfId="744"/>
    <cellStyle name="Style 981 3" xfId="745"/>
    <cellStyle name="Style 981 4" xfId="746"/>
    <cellStyle name="Style 982" xfId="747"/>
    <cellStyle name="Style 982 2" xfId="748"/>
    <cellStyle name="Style 982 3" xfId="749"/>
    <cellStyle name="Style 982 4" xfId="750"/>
    <cellStyle name="Style 983" xfId="751"/>
    <cellStyle name="Style 983 2" xfId="752"/>
    <cellStyle name="Style 983 3" xfId="753"/>
    <cellStyle name="Style 983 4" xfId="754"/>
    <cellStyle name="Style 984" xfId="755"/>
    <cellStyle name="Style 984 2" xfId="756"/>
    <cellStyle name="Style 984 3" xfId="757"/>
    <cellStyle name="Style 984 4" xfId="758"/>
    <cellStyle name="Style 985" xfId="759"/>
    <cellStyle name="Style 985 2" xfId="760"/>
    <cellStyle name="Style 985 3" xfId="761"/>
    <cellStyle name="Style 985 4" xfId="762"/>
    <cellStyle name="Style 986" xfId="763"/>
    <cellStyle name="Style 986 2" xfId="764"/>
    <cellStyle name="Style 986 3" xfId="765"/>
    <cellStyle name="Style 986 4" xfId="766"/>
    <cellStyle name="Style 987" xfId="767"/>
    <cellStyle name="Style 987 2" xfId="768"/>
    <cellStyle name="Style 987 3" xfId="769"/>
    <cellStyle name="Style 987 4" xfId="770"/>
    <cellStyle name="Style 988" xfId="771"/>
    <cellStyle name="Style 988 2" xfId="772"/>
    <cellStyle name="Style 988 3" xfId="773"/>
    <cellStyle name="Style 988 4" xfId="774"/>
    <cellStyle name="Style 989" xfId="775"/>
    <cellStyle name="Style 989 2" xfId="776"/>
    <cellStyle name="Style 989 3" xfId="777"/>
    <cellStyle name="Style 989 4" xfId="778"/>
    <cellStyle name="Style 991" xfId="779"/>
    <cellStyle name="Style 991 2" xfId="780"/>
    <cellStyle name="Title" xfId="781" builtinId="15" customBuiltin="1"/>
    <cellStyle name="Title 2" xfId="782"/>
    <cellStyle name="Total" xfId="783" builtinId="25" customBuiltin="1"/>
    <cellStyle name="Total 2" xfId="784"/>
    <cellStyle name="Warning Text" xfId="785" builtinId="11" customBuiltin="1"/>
    <cellStyle name="Warning Text 2" xfId="786"/>
    <cellStyle name="Hyperlink" xfId="787"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21" Type="http://schemas.openxmlformats.org/officeDocument/2006/relationships/worksheet" Target="worksheets/sheet26.xml" />
<Relationship Id="rId15" Type="http://schemas.openxmlformats.org/officeDocument/2006/relationships/worksheet" Target="worksheets/sheet3.xml" />
<Relationship Id="rId19" Type="http://schemas.openxmlformats.org/officeDocument/2006/relationships/worksheet" Target="worksheets/sheet21.xml" />
<Relationship Id="rId16" Type="http://schemas.openxmlformats.org/officeDocument/2006/relationships/worksheet" Target="worksheets/sheet7.xml" />
<Relationship Id="rId14" Type="http://schemas.openxmlformats.org/officeDocument/2006/relationships/worksheet" Target="worksheets/sheet2.xml" />
<Relationship Id="rId18" Type="http://schemas.openxmlformats.org/officeDocument/2006/relationships/worksheet" Target="worksheets/sheet20.xml" />
<Relationship Id="rId22" Type="http://schemas.openxmlformats.org/officeDocument/2006/relationships/sharedStrings" Target="/xl/sharedStrings.xml" />
<Relationship Id="rId13" Type="http://schemas.openxmlformats.org/officeDocument/2006/relationships/worksheet" Target="worksheets/sheet1.xml" />
<Relationship Id="rId20" Type="http://schemas.openxmlformats.org/officeDocument/2006/relationships/worksheet" Target="worksheets/sheet23.xml" />
<Relationship Id="rId23" Type="http://schemas.openxmlformats.org/officeDocument/2006/relationships/styles" Target="/xl/styles.xml" />
<Relationship Id="rId17" Type="http://schemas.openxmlformats.org/officeDocument/2006/relationships/worksheet" Target="worksheets/sheet9.xml" />
<Relationship Id="rId24" Type="http://schemas.openxmlformats.org/officeDocument/2006/relationships/theme" Target="/xl/theme/theme1.xml" />
<Relationship Id="rId12" Type="http://schemas.openxmlformats.org/officeDocument/2006/relationships/worksheet" Target="worksheets/sheet28.xml" />
<Relationship Id="rId11" Type="http://schemas.openxmlformats.org/officeDocument/2006/relationships/worksheet" Target="worksheets/sheet32.xml" />
<Relationship Id="rId10" Type="http://schemas.openxmlformats.org/officeDocument/2006/relationships/worksheet" Target="worksheets/sheet36.xml" />
<Relationship Id="rId9" Type="http://schemas.openxmlformats.org/officeDocument/2006/relationships/worksheet" Target="worksheets/sheet40.xml" />
<Relationship Id="rId8" Type="http://schemas.openxmlformats.org/officeDocument/2006/relationships/worksheet" Target="worksheets/sheet44.xml" />
<Relationship Id="rId7" Type="http://schemas.openxmlformats.org/officeDocument/2006/relationships/worksheet" Target="worksheets/sheet48.xml" />
<Relationship Id="rId6" Type="http://schemas.openxmlformats.org/officeDocument/2006/relationships/worksheet" Target="worksheets/sheet52.xml" />
<Relationship Id="rId5" Type="http://schemas.openxmlformats.org/officeDocument/2006/relationships/worksheet" Target="worksheets/sheet56.xml" />
<Relationship Id="rId4" Type="http://schemas.openxmlformats.org/officeDocument/2006/relationships/worksheet" Target="worksheets/sheet59.xml" />
<Relationship Id="rId3" Type="http://schemas.openxmlformats.org/officeDocument/2006/relationships/worksheet" Target="worksheets/sheet62.xml" />
<Relationship Id="rId2" Type="http://schemas.openxmlformats.org/officeDocument/2006/relationships/worksheet" Target="worksheets/sheet65.xml" />
<Relationship Id="rId1" Type="http://schemas.openxmlformats.org/officeDocument/2006/relationships/worksheet" Target="worksheets/sheet69.xml" />
</Relationships>
</file>

<file path=xl/charts/chart7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Comp!$C$23:$T$23</f>
              <numCache>
                <formatCode>General</formatCode>
                <ptCount val="18"/>
                <pt idx="0">
                  <v>107.605525051578</v>
                </pt>
                <pt idx="0">
                  <v>100.135259289478</v>
                </pt>
                <pt idx="0">
                  <v>84.3865643165186</v>
                </pt>
                <pt idx="0">
                  <v>72.7874495833984</v>
                </pt>
                <pt idx="0">
                  <v>83.8815426491533</v>
                </pt>
                <pt idx="0">
                  <v>91.7876943233633</v>
                </pt>
                <pt idx="0">
                  <v>136.015649951961</v>
                </pt>
                <pt idx="0">
                  <v>89.3496044778865</v>
                </pt>
                <pt idx="0">
                  <v>72.3752601093583</v>
                </pt>
                <pt idx="0">
                  <v>60.5690517279785</v>
                </pt>
                <pt idx="0">
                  <v>62.8175159732525</v>
                </pt>
                <pt idx="0">
                  <v>74.3392727032282</v>
                </pt>
                <pt idx="0">
                  <v>81.4032902366263</v>
                </pt>
                <pt idx="0">
                  <v>67.7284640067193</v>
                </pt>
                <pt idx="0">
                  <v>75.6810885185093</v>
                </pt>
                <pt idx="0">
                  <v>72.269140246498</v>
                </pt>
                <pt idx="0">
                  <v>68.7294272547973</v>
                </pt>
                <pt idx="0">
                  <v>66.6296817492653</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Comp!$C$35:$T$35</f>
              <numCache>
                <formatCode>General</formatCode>
                <ptCount val="18"/>
                <pt idx="0">
                  <v>103.527319100408</v>
                </pt>
                <pt idx="0">
                  <v>106.300875531008</v>
                </pt>
                <pt idx="0">
                  <v>106.116697610698</v>
                </pt>
                <pt idx="0">
                  <v>100.39440539878</v>
                </pt>
                <pt idx="0">
                  <v>99.6285410271127</v>
                </pt>
                <pt idx="0">
                  <v>104.409228943259</v>
                </pt>
                <pt idx="0">
                  <v>107.876784722599</v>
                </pt>
                <pt idx="0">
                  <v>104.463963456125</v>
                </pt>
                <pt idx="0">
                  <v>114.114059196003</v>
                </pt>
                <pt idx="0">
                  <v>116.223707344931</v>
                </pt>
                <pt idx="0">
                  <v>111.525215717273</v>
                </pt>
                <pt idx="0">
                  <v>110.119503210627</v>
                </pt>
                <pt idx="0">
                  <v>116.639645388057</v>
                </pt>
                <pt idx="0">
                  <v>107.932739854626</v>
                </pt>
                <pt idx="0">
                  <v>105.857988763945</v>
                </pt>
                <pt idx="0">
                  <v>96.3401236759763</v>
                </pt>
                <pt idx="0">
                  <v>95.5089092258817</v>
                </pt>
                <pt idx="0">
                  <v>107.93686123141</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Comp!$C$47:$T$47</f>
              <numCache>
                <formatCode>General</formatCode>
                <ptCount val="18"/>
                <pt idx="0">
                  <v>111.401115289594</v>
                </pt>
                <pt idx="0">
                  <v>106.444657340051</v>
                </pt>
                <pt idx="0">
                  <v>89.548235279681</v>
                </pt>
                <pt idx="0">
                  <v>73.0745272141454</v>
                </pt>
                <pt idx="0">
                  <v>83.569957132365</v>
                </pt>
                <pt idx="0">
                  <v>95.834823907735</v>
                </pt>
                <pt idx="0">
                  <v>146.729309887938</v>
                </pt>
                <pt idx="0">
                  <v>93.3381381698284</v>
                </pt>
                <pt idx="0">
                  <v>82.590347164391</v>
                </pt>
                <pt idx="0">
                  <v>70.3955974218843</v>
                </pt>
                <pt idx="0">
                  <v>70.0573701973747</v>
                </pt>
                <pt idx="0">
                  <v>81.8620377912199</v>
                </pt>
                <pt idx="0">
                  <v>94.9485090662947</v>
                </pt>
                <pt idx="0">
                  <v>73.1011868638231</v>
                </pt>
                <pt idx="0">
                  <v>80.1144781803208</v>
                </pt>
                <pt idx="0">
                  <v>69.624179093028</v>
                </pt>
                <pt idx="0">
                  <v>65.6427262881604</v>
                </pt>
                <pt idx="0">
                  <v>71.917987128624</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52"/>
          <min val="56"/>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7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Comp!$X$50,Comp!$AB$50,Comp!$AF$50</f>
              <numCache>
                <formatCode>General</formatCode>
                <ptCount val="3"/>
                <pt idx="0">
                  <v>-6.02458677669831</v>
                </pt>
                <pt idx="0">
                  <v>3.6703081915241</v>
                </pt>
                <pt idx="0">
                  <v>-10.4872629935857</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Comp!$X$51,Comp!$AB$51,Comp!$AF$51</f>
              <numCache>
                <formatCode>General</formatCode>
                <ptCount val="3"/>
                <pt idx="0">
                  <v>16.8697799860451</v>
                </pt>
                <pt idx="0">
                  <v>24.7391916673266</v>
                </pt>
                <pt idx="0">
                  <v>12.1152137452573</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30"/>
          <min val="-1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7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69"/>
          <min val="24"/>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76.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17"/>
          <min val="83"/>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78.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August</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65.2455311279842</v>
                </pt>
                <pt idx="0">
                  <v>99.1838321025777</v>
                </pt>
                <pt idx="0">
                  <v>47.9150275373307</v>
                </pt>
                <pt idx="0">
                  <v>48.8685604237347</v>
                </pt>
                <pt idx="0">
                  <v>78.2329431915286</v>
                </pt>
                <pt idx="0">
                  <v>93.9604945289492</v>
                </pt>
                <pt idx="0">
                  <v>79.0909090909688</v>
                </pt>
                <pt idx="0">
                  <v>148.180645161332</v>
                </pt>
                <pt idx="0">
                  <v>94.8549288160405</v>
                </pt>
                <pt idx="0">
                  <v>42.5219941349257</v>
                </pt>
                <pt idx="0">
                  <v>59.0831918506036</v>
                </pt>
                <pt idx="0">
                  <v>56.4221342541737</v>
                </pt>
                <pt idx="0">
                  <v>49.6975806451644</v>
                </pt>
                <pt idx="0">
                  <v>66.8202764976481</v>
                </pt>
                <pt idx="0">
                  <v>68.22313313138</v>
                </pt>
                <pt idx="0">
                  <v>79.6320981071227</v>
                </pt>
                <pt idx="0">
                  <v>45.8849503249901</v>
                </pt>
                <pt idx="0">
                  <v>47.6246334310833</v>
                </pt>
                <pt idx="0">
                  <v>51.942612725028</v>
                </pt>
                <pt idx="0">
                  <v>50.2532657957571</v>
                </pt>
                <pt idx="0">
                  <v>51.8389151427819</v>
                </pt>
                <pt idx="0">
                  <v>69.4930875576116</v>
                </pt>
                <pt idx="0">
                  <v>75.1404786680245</v>
                </pt>
                <pt idx="0">
                  <v>35.6752323674523</v>
                </pt>
                <pt idx="0">
                  <v>49.9134011690527</v>
                </pt>
                <pt idx="0">
                  <v>37.9463880054794</v>
                </pt>
                <pt idx="0">
                  <v>49.2208436724308</v>
                </pt>
                <pt idx="0">
                  <v>53.3742331288288</v>
                </pt>
                <pt idx="0">
                  <v>81.2182271928925</v>
                </pt>
                <pt idx="0">
                  <v>93.0636804278245</v>
                </pt>
                <pt idx="0">
                  <v>106.097560975687</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Month'!$C$38:$AG$38</f>
              <numCache>
                <formatCode>General</formatCode>
                <ptCount val="31"/>
                <pt idx="0">
                  <v>90.1205875200639</v>
                </pt>
                <pt idx="0">
                  <v>95.5768388490416</v>
                </pt>
                <pt idx="0">
                  <v>96.9939229071361</v>
                </pt>
                <pt idx="0">
                  <v>105.724993203601</v>
                </pt>
                <pt idx="0">
                  <v>95.1504158293923</v>
                </pt>
                <pt idx="0">
                  <v>92.4313247976028</v>
                </pt>
                <pt idx="0">
                  <v>100.61853557479</v>
                </pt>
                <pt idx="0">
                  <v>103.388050913921</v>
                </pt>
                <pt idx="0">
                  <v>116.085218280129</v>
                </pt>
                <pt idx="0">
                  <v>103.89003423387</v>
                </pt>
                <pt idx="0">
                  <v>108.71695704471</v>
                </pt>
                <pt idx="0">
                  <v>103.180695771452</v>
                </pt>
                <pt idx="0">
                  <v>100.777239955004</v>
                </pt>
                <pt idx="0">
                  <v>96.2961173195283</v>
                </pt>
                <pt idx="0">
                  <v>104.698571507097</v>
                </pt>
                <pt idx="0">
                  <v>101.106676801208</v>
                </pt>
                <pt idx="0">
                  <v>101.176210305709</v>
                </pt>
                <pt idx="0">
                  <v>100.9237558882</v>
                </pt>
                <pt idx="0">
                  <v>98.7548995956925</v>
                </pt>
                <pt idx="0">
                  <v>93.9936962614835</v>
                </pt>
                <pt idx="0">
                  <v>104.739465295132</v>
                </pt>
                <pt idx="0">
                  <v>104.403442246232</v>
                </pt>
                <pt idx="0">
                  <v>119.435722119942</v>
                </pt>
                <pt idx="0">
                  <v>122.208735430935</v>
                </pt>
                <pt idx="0">
                  <v>99.2473257112387</v>
                </pt>
                <pt idx="0">
                  <v>100.107517948033</v>
                </pt>
                <pt idx="0">
                  <v>102.248954408866</v>
                </pt>
                <pt idx="0">
                  <v>86.8119667236295</v>
                </pt>
                <pt idx="0">
                  <v>138.489546760328</v>
                </pt>
                <pt idx="0">
                  <v>145.372747137517</v>
                </pt>
                <pt idx="0">
                  <v>128.293602343748</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Month'!$C$48:$AG$48</f>
              <numCache>
                <formatCode>General</formatCode>
                <ptCount val="31"/>
                <pt idx="0">
                  <v>58.7996559830984</v>
                </pt>
                <pt idx="0">
                  <v>94.7967713730155</v>
                </pt>
                <pt idx="0">
                  <v>46.4746648705877</v>
                </pt>
                <pt idx="0">
                  <v>51.6662821866174</v>
                </pt>
                <pt idx="0">
                  <v>74.4389707622572</v>
                </pt>
                <pt idx="0">
                  <v>86.8489298793606</v>
                </pt>
                <pt idx="0">
                  <v>79.5801144999656</v>
                </pt>
                <pt idx="0">
                  <v>153.201080864077</v>
                </pt>
                <pt idx="0">
                  <v>110.112551165494</v>
                </pt>
                <pt idx="0">
                  <v>44.1761142636864</v>
                </pt>
                <pt idx="0">
                  <v>64.2334483049218</v>
                </pt>
                <pt idx="0">
                  <v>58.2167506925385</v>
                </pt>
                <pt idx="0">
                  <v>50.0838500985917</v>
                </pt>
                <pt idx="0">
                  <v>64.3453318494292</v>
                </pt>
                <pt idx="0">
                  <v>71.428645825949</v>
                </pt>
                <pt idx="0">
                  <v>80.513368063164</v>
                </pt>
                <pt idx="0">
                  <v>46.4246538395606</v>
                </pt>
                <pt idx="0">
                  <v>48.0645687866276</v>
                </pt>
                <pt idx="0">
                  <v>51.2958750440009</v>
                </pt>
                <pt idx="0">
                  <v>47.2349020135536</v>
                </pt>
                <pt idx="0">
                  <v>54.29580253538</v>
                </pt>
                <pt idx="0">
                  <v>72.55317553334</v>
                </pt>
                <pt idx="0">
                  <v>89.7445733015979</v>
                </pt>
                <pt idx="0">
                  <v>43.5982503382719</v>
                </pt>
                <pt idx="0">
                  <v>49.5377158317863</v>
                </pt>
                <pt idx="0">
                  <v>37.9871871831985</v>
                </pt>
                <pt idx="0">
                  <v>50.3277980063466</v>
                </pt>
                <pt idx="0">
                  <v>46.3352215027947</v>
                </pt>
                <pt idx="0">
                  <v>112.478754726181</v>
                </pt>
                <pt idx="0">
                  <v>135.289228825219</v>
                </pt>
                <pt idx="0">
                  <v>136.116382974516</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Month'!$C$60:$AG$60</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58"/>
          <min val="3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0.xml.rels><?xml version="1.0" encoding="utf-8" standalone="yes" ?>
<Relationships xmlns="http://schemas.openxmlformats.org/package/2006/relationships">
<Relationship Id="rId76" Type="http://schemas.openxmlformats.org/officeDocument/2006/relationships/chart" Target="/xl/charts/chart72.xml" />
<Relationship Id="rId77" Type="http://schemas.openxmlformats.org/officeDocument/2006/relationships/chart" Target="/xl/charts/chart73.xml" />
</Relationships>
</file>

<file path=xl/drawings/_rels/drawing74.xml.rels><?xml version="1.0" encoding="utf-8" standalone="yes" ?>
<Relationships xmlns="http://schemas.openxmlformats.org/package/2006/relationships">
<Relationship Id="rId79" Type="http://schemas.openxmlformats.org/officeDocument/2006/relationships/chart" Target="/xl/charts/chart75.xml" />
<Relationship Id="rId80" Type="http://schemas.openxmlformats.org/officeDocument/2006/relationships/chart" Target="/xl/charts/chart76.xml" />
</Relationships>
</file>

<file path=xl/drawings/_rels/drawing77.xml.rels><?xml version="1.0" encoding="utf-8" standalone="yes" ?>
<Relationships xmlns="http://schemas.openxmlformats.org/package/2006/relationships">
<Relationship Id="rId82" Type="http://schemas.openxmlformats.org/officeDocument/2006/relationships/chart" Target="/xl/charts/chart78.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19050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20225" y="581025"/>
          <a:ext cx="1038225" cy="10382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1895475</xdr:colOff>
      <xdr:row>1</xdr:row>
      <xdr:rowOff>838200</xdr:rowOff>
    </xdr:to>
    <xdr:pic>
      <xdr:nvPicPr>
        <xdr:cNvPr id="7185" name="Picture 1">
          <a:extLst>
            <a:ext uri="{FF2B5EF4-FFF2-40B4-BE49-F238E27FC236}">
              <a16:creationId xmlns:a16="http://schemas.microsoft.com/office/drawing/2014/main" id="{00000000-0008-0000-1900-0000111C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57900"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76"/>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77"/>
        </a:graphicData>
      </a:graphic>
    </xdr:graphicFrame>
    <xdr:clientData/>
  </xdr:oneCellAnchor>
</xdr:wsDr>
</file>

<file path=xl/drawings/drawing3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79"/>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80"/>
        </a:graphicData>
      </a:graphic>
    </xdr:graphicFrame>
    <xdr:clientData/>
  </xdr:twoCellAnchor>
</xdr:wsDr>
</file>

<file path=xl/drawings/drawing7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33</xdr:col>
      <xdr:colOff>130175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82"/>
        </a:graphicData>
      </a:graphic>
    </xdr:graphicFrame>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1" Type="http://schemas.openxmlformats.org/officeDocument/2006/relationships/printerSettings" Target="../printerSettings/printerSettings3.bin" />
</Relationships>
</file>

<file path=xl/worksheets/_rels/sheet7.xml.rels><?xml version="1.0" encoding="utf-8" standalone="yes" ?>
<Relationships xmlns="http://schemas.openxmlformats.org/package/2006/relationships">
<Relationship Id="rId1" Type="http://schemas.openxmlformats.org/officeDocument/2006/relationships/printerSettings" Target="../printerSettings/printerSettings7.bin" />
<Relationship Id="rId78" Type="http://schemas.openxmlformats.org/officeDocument/2006/relationships/drawing" Target="../drawings/drawing74.xml" />
</Relationships>
</file>

<file path=xl/worksheets/_rels/sheet9.xml.rels><?xml version="1.0" encoding="utf-8" standalone="yes" ?>
<Relationships xmlns="http://schemas.openxmlformats.org/package/2006/relationships">
<Relationship Id="rId1" Type="http://schemas.openxmlformats.org/officeDocument/2006/relationships/printerSettings" Target="../printerSettings/printerSettings9.bin" />
<Relationship Id="rId81" Type="http://schemas.openxmlformats.org/officeDocument/2006/relationships/drawing" Target="../drawings/drawing77.xml" />
</Relationships>
</file>

<file path=xl/worksheets/_rels/sheet20.xml.rels><?xml version="1.0" encoding="utf-8" standalone="yes" ?>
<Relationships xmlns="http://schemas.openxmlformats.org/package/2006/relationships">
<Relationship Id="rId1" Type="http://schemas.openxmlformats.org/officeDocument/2006/relationships/printerSettings" Target="../printerSettings/printerSettings20.bin" />
</Relationships>
</file>

<file path=xl/worksheets/_rels/sheet21.xml.rels><?xml version="1.0" encoding="utf-8" standalone="yes" ?>
<Relationships xmlns="http://schemas.openxmlformats.org/package/2006/relationships">
<Relationship Id="rId1" Type="http://schemas.openxmlformats.org/officeDocument/2006/relationships/printerSettings" Target="../printerSettings/printerSettings21.bin" />
</Relationships>
</file>

<file path=xl/worksheets/_rels/sheet23.xml.rels><?xml version="1.0" encoding="utf-8" standalone="yes" ?>
<Relationships xmlns="http://schemas.openxmlformats.org/package/2006/relationships">
<Relationship Id="rId1" Type="http://schemas.openxmlformats.org/officeDocument/2006/relationships/printerSettings" Target="../printerSettings/printerSettings23.bin" />
</Relationships>
</file>

<file path=xl/worksheets/_rels/sheet2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26.bin" />
<Relationship Id="rId83" Type="http://schemas.openxmlformats.org/officeDocument/2006/relationships/hyperlink" Target="http://www.str.com/data-insights/resources/glossary" TargetMode="External" />
<Relationship Id="rId84" Type="http://schemas.openxmlformats.org/officeDocument/2006/relationships/hyperlink" Target="http://www.hotelnewsnow.com/" TargetMode="External" />
<Relationship Id="rId85" Type="http://schemas.openxmlformats.org/officeDocument/2006/relationships/hyperlink" Target="http://www.hoteldataconference.com/" TargetMode="External" />
<Relationship Id="rId86" Type="http://schemas.openxmlformats.org/officeDocument/2006/relationships/hyperlink" Target="http://www.str.com/data-insights/resources/FAQ" TargetMode="External" />
<Relationship Id="rId87" Type="http://schemas.openxmlformats.org/officeDocument/2006/relationships/hyperlink" Target="https://str.com/contact" TargetMode="External" />
</Relationships>
</file>

<file path=xl/worksheets/_rels/sheet28.xml.rels><?xml version="1.0" encoding="utf-8" standalone="yes" ?>
<Relationships xmlns="http://schemas.openxmlformats.org/package/2006/relationships">
<Relationship Id="rId1" Type="http://schemas.openxmlformats.org/officeDocument/2006/relationships/printerSettings" Target="../printerSettings/printerSettings29.bin" />
<Relationship Id="rId31" Type="http://schemas.openxmlformats.org/officeDocument/2006/relationships/drawing" Target="../drawings/drawing30.xml" />
</Relationships>
</file>

<file path=xl/worksheets/_rels/sheet32.xml.rels><?xml version="1.0" encoding="utf-8" standalone="yes" ?>
<Relationships xmlns="http://schemas.openxmlformats.org/package/2006/relationships">
<Relationship Id="rId1" Type="http://schemas.openxmlformats.org/officeDocument/2006/relationships/printerSettings" Target="../printerSettings/printerSettings33.bin" />
<Relationship Id="rId35" Type="http://schemas.openxmlformats.org/officeDocument/2006/relationships/drawing" Target="../drawings/drawing34.xml" />
</Relationships>
</file>

<file path=xl/worksheets/_rels/sheet36.xml.rels><?xml version="1.0" encoding="utf-8" standalone="yes" ?>
<Relationships xmlns="http://schemas.openxmlformats.org/package/2006/relationships">
<Relationship Id="rId1" Type="http://schemas.openxmlformats.org/officeDocument/2006/relationships/printerSettings" Target="../printerSettings/printerSettings37.bin" />
<Relationship Id="rId39" Type="http://schemas.openxmlformats.org/officeDocument/2006/relationships/drawing" Target="../drawings/drawing38.xml" />
</Relationships>
</file>

<file path=xl/worksheets/_rels/sheet40.xml.rels><?xml version="1.0" encoding="utf-8" standalone="yes" ?>
<Relationships xmlns="http://schemas.openxmlformats.org/package/2006/relationships">
<Relationship Id="rId1" Type="http://schemas.openxmlformats.org/officeDocument/2006/relationships/printerSettings" Target="../printerSettings/printerSettings41.bin" />
<Relationship Id="rId43" Type="http://schemas.openxmlformats.org/officeDocument/2006/relationships/drawing" Target="../drawings/drawing42.xml" />
</Relationships>
</file>

<file path=xl/worksheets/_rels/sheet44.xml.rels><?xml version="1.0" encoding="utf-8" standalone="yes" ?>
<Relationships xmlns="http://schemas.openxmlformats.org/package/2006/relationships">
<Relationship Id="rId1" Type="http://schemas.openxmlformats.org/officeDocument/2006/relationships/printerSettings" Target="../printerSettings/printerSettings45.bin" />
<Relationship Id="rId47" Type="http://schemas.openxmlformats.org/officeDocument/2006/relationships/drawing" Target="../drawings/drawing46.xml" />
</Relationships>
</file>

<file path=xl/worksheets/_rels/sheet48.xml.rels><?xml version="1.0" encoding="utf-8" standalone="yes" ?>
<Relationships xmlns="http://schemas.openxmlformats.org/package/2006/relationships">
<Relationship Id="rId1" Type="http://schemas.openxmlformats.org/officeDocument/2006/relationships/printerSettings" Target="../printerSettings/printerSettings49.bin" />
<Relationship Id="rId51" Type="http://schemas.openxmlformats.org/officeDocument/2006/relationships/drawing" Target="../drawings/drawing50.xml" />
</Relationships>
</file>

<file path=xl/worksheets/_rels/sheet52.xml.rels><?xml version="1.0" encoding="utf-8" standalone="yes" ?>
<Relationships xmlns="http://schemas.openxmlformats.org/package/2006/relationships">
<Relationship Id="rId1" Type="http://schemas.openxmlformats.org/officeDocument/2006/relationships/printerSettings" Target="../printerSettings/printerSettings53.bin" />
<Relationship Id="rId55" Type="http://schemas.openxmlformats.org/officeDocument/2006/relationships/drawing" Target="../drawings/drawing54.xml" />
</Relationships>
</file>

<file path=xl/worksheets/_rels/sheet56.xml.rels><?xml version="1.0" encoding="utf-8" standalone="yes" ?>
<Relationships xmlns="http://schemas.openxmlformats.org/package/2006/relationships">
<Relationship Id="rId1" Type="http://schemas.openxmlformats.org/officeDocument/2006/relationships/printerSettings" Target="../printerSettings/printerSettings57.bin" />
<Relationship Id="rId59" Type="http://schemas.openxmlformats.org/officeDocument/2006/relationships/drawing" Target="../drawings/drawing58.xml" />
</Relationships>
</file>

<file path=xl/worksheets/_rels/sheet59.xml.rels><?xml version="1.0" encoding="utf-8" standalone="yes" ?>
<Relationships xmlns="http://schemas.openxmlformats.org/package/2006/relationships">
<Relationship Id="rId1" Type="http://schemas.openxmlformats.org/officeDocument/2006/relationships/printerSettings" Target="../printerSettings/printerSettings60.bin" />
<Relationship Id="rId59" Type="http://schemas.openxmlformats.org/officeDocument/2006/relationships/drawing" Target="../drawings/drawing61.xml" />
</Relationships>
</file>

<file path=xl/worksheets/_rels/sheet62.xml.rels><?xml version="1.0" encoding="utf-8" standalone="yes" ?>
<Relationships xmlns="http://schemas.openxmlformats.org/package/2006/relationships">
<Relationship Id="rId1" Type="http://schemas.openxmlformats.org/officeDocument/2006/relationships/printerSettings" Target="../printerSettings/printerSettings63.bin" />
<Relationship Id="rId59" Type="http://schemas.openxmlformats.org/officeDocument/2006/relationships/drawing" Target="../drawings/drawing64.xml" />
</Relationships>
</file>

<file path=xl/worksheets/_rels/sheet65.xml.rels><?xml version="1.0" encoding="utf-8" standalone="yes" ?>
<Relationships xmlns="http://schemas.openxmlformats.org/package/2006/relationships">
<Relationship Id="rId1" Type="http://schemas.openxmlformats.org/officeDocument/2006/relationships/printerSettings" Target="../printerSettings/printerSettings66.bin" />
<Relationship Id="rId59" Type="http://schemas.openxmlformats.org/officeDocument/2006/relationships/drawing" Target="../drawings/drawing67.xml" />
</Relationships>
</file>

<file path=xl/worksheets/_rels/sheet69.xml.rels><?xml version="1.0" encoding="utf-8" standalone="yes" ?>
<Relationships xmlns="http://schemas.openxmlformats.org/package/2006/relationships">
<Relationship Id="rId1" Type="http://schemas.openxmlformats.org/officeDocument/2006/relationships/printerSettings" Target="../printerSettings/printerSettings70.bin" />
<Relationship Id="rId72" Type="http://schemas.openxmlformats.org/officeDocument/2006/relationships/drawing" Target="../drawings/drawing71.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AA153"/>
  <sheetViews>
    <sheetView showGridLines="0" tabSelected="1" zoomScaleNormal="100" workbookViewId="0"/>
  </sheetViews>
  <sheetFormatPr defaultRowHeight="12.75"/>
  <cols>
    <col min="1" max="1" width="13.42578125" style="4" customWidth="1"/>
    <col min="2" max="2" width="57.5703125" style="4" customWidth="1"/>
    <col min="3" max="3" width="5.42578125" style="4" customWidth="1"/>
    <col min="4" max="4" width="1.85546875" style="234" customWidth="1"/>
    <col min="5" max="5" width="57.5703125" style="4" customWidth="1"/>
    <col min="6" max="6" width="5.42578125" style="4" customWidth="1"/>
    <col min="7" max="7" width="15.5703125" style="4" customWidth="1"/>
    <col min="8" max="8" width="4.140625" style="4" customWidth="1"/>
    <col min="9" max="13" width="7.140625" style="235" customWidth="1"/>
    <col min="14" max="14" width="1.42578125" style="235" customWidth="1"/>
    <col min="15" max="15" width="7.42578125" style="235" customWidth="1"/>
    <col min="16" max="27" width="9.140625" style="235" customWidth="1"/>
    <col min="28" max="16384" width="9.140625" style="4" customWidth="1"/>
  </cols>
  <sheetData>
    <row r="1" ht="45.75" customHeight="1">
      <c r="A1" s="594"/>
      <c r="B1" s="595"/>
      <c r="C1" s="595"/>
      <c r="D1" s="596"/>
      <c r="E1" s="595"/>
      <c r="F1" s="595"/>
      <c r="G1" s="595"/>
      <c r="H1" s="597"/>
      <c r="O1" s="235"/>
    </row>
    <row r="2" ht="24.75" customHeight="1">
      <c r="A2" s="595"/>
      <c r="B2" s="637" t="s">
        <v>167</v>
      </c>
      <c r="C2" s="605"/>
      <c r="D2" s="604"/>
      <c r="E2" s="604"/>
      <c r="F2" s="605"/>
      <c r="G2" s="598"/>
      <c r="H2" s="599"/>
    </row>
    <row r="3" ht="25.5" customHeight="1">
      <c r="A3" s="595"/>
      <c r="B3" s="638" t="s">
        <v>166</v>
      </c>
      <c r="C3" s="607"/>
      <c r="D3" s="606"/>
      <c r="E3" s="606"/>
      <c r="F3" s="607"/>
      <c r="G3" s="598"/>
      <c r="H3" s="599"/>
    </row>
    <row r="4" ht="15" customHeight="1">
      <c r="A4" s="595"/>
      <c r="B4" s="695" t="s">
        <v>168</v>
      </c>
      <c r="C4" s="695"/>
      <c r="D4" s="695"/>
      <c r="E4" s="695"/>
      <c r="F4" s="608"/>
      <c r="G4" s="598"/>
      <c r="H4" s="599"/>
    </row>
    <row r="5" ht="15" customHeight="1">
      <c r="A5" s="595"/>
      <c r="B5" s="695" t="s">
        <v>169</v>
      </c>
      <c r="C5" s="695"/>
      <c r="D5" s="695"/>
      <c r="E5" s="695"/>
      <c r="F5" s="608"/>
      <c r="G5" s="598"/>
      <c r="H5" s="599"/>
    </row>
    <row r="6" ht="15" customHeight="1">
      <c r="A6" s="595"/>
      <c r="B6" s="609"/>
      <c r="C6" s="610"/>
      <c r="D6" s="609"/>
      <c r="E6" s="609"/>
      <c r="F6" s="610"/>
      <c r="G6" s="598"/>
      <c r="H6" s="599"/>
    </row>
    <row r="7" ht="15.75" customHeight="1">
      <c r="A7" s="595"/>
      <c r="B7" s="639" t="s">
        <v>108</v>
      </c>
      <c r="C7" s="605">
        <v>1</v>
      </c>
      <c r="D7" s="639"/>
      <c r="E7" s="639"/>
      <c r="F7" s="605"/>
      <c r="G7" s="598"/>
      <c r="H7" s="599"/>
    </row>
    <row r="8" ht="15.75" customHeight="1">
      <c r="A8" s="595"/>
      <c r="B8" s="639" t="str">
        <f>HYPERLINK("#'Glance'!A1", "Monthly Performance at a Glance")</f>
      </c>
      <c r="C8" s="605" t="str">
        <f>HYPERLINK("#'Glance'!A1", "2")</f>
      </c>
      <c r="D8" s="639"/>
      <c r="E8" s="639"/>
      <c r="F8" s="605"/>
      <c r="G8" s="598"/>
      <c r="H8" s="599"/>
    </row>
    <row r="9" ht="15.75" customHeight="1">
      <c r="A9" s="595"/>
      <c r="B9" s="639" t="str">
        <f>HYPERLINK("#'Summary'!A1", "STAR Summary")</f>
      </c>
      <c r="C9" s="605" t="str">
        <f>HYPERLINK("#'Summary'!A1", "3")</f>
      </c>
      <c r="D9" s="639"/>
      <c r="E9" s="639"/>
      <c r="F9" s="605"/>
      <c r="G9" s="595"/>
      <c r="H9" s="595"/>
    </row>
    <row r="10" ht="15.75" customHeight="1">
      <c r="A10" s="595"/>
      <c r="B10" s="639" t="str">
        <f>HYPERLINK("#'Comp'!A1", "Competitive Set Report")</f>
      </c>
      <c r="C10" s="605" t="str">
        <f>HYPERLINK("#'Comp'!A1", "4")</f>
      </c>
      <c r="D10" s="639"/>
      <c r="E10" s="639"/>
      <c r="F10" s="605"/>
      <c r="G10" s="595"/>
      <c r="H10" s="595"/>
    </row>
    <row r="11" ht="15.75" customHeight="1">
      <c r="A11" s="600"/>
      <c r="B11" s="639" t="str">
        <f>HYPERLINK("#'Response'!A1", "Response Report")</f>
      </c>
      <c r="C11" s="605" t="str">
        <f>HYPERLINK("#'Response'!A1", "5")</f>
      </c>
      <c r="D11" s="639"/>
      <c r="E11" s="639"/>
      <c r="F11" s="605"/>
      <c r="G11" s="595"/>
      <c r="H11" s="595"/>
    </row>
    <row r="12" ht="15.75" customHeight="1">
      <c r="A12" s="595"/>
      <c r="B12" s="639" t="str">
        <f>HYPERLINK("#'Day of Week'!A1", "Day of Week &amp; Weekday/Weekend")</f>
      </c>
      <c r="C12" s="605" t="str">
        <f>HYPERLINK("#'Day of Week'!A1", "6")</f>
      </c>
      <c r="D12" s="639"/>
      <c r="E12" s="639"/>
      <c r="F12" s="605"/>
      <c r="G12" s="595"/>
      <c r="H12" s="595"/>
    </row>
    <row r="13" ht="15.75" customHeight="1">
      <c r="A13" s="595"/>
      <c r="B13" s="639" t="str">
        <f>HYPERLINK("#'Daily by Month'!A1", "Daily Data for the Month")</f>
      </c>
      <c r="C13" s="605" t="str">
        <f>HYPERLINK("#'Daily by Month'!A1", "7")</f>
      </c>
      <c r="D13" s="639"/>
      <c r="E13" s="639"/>
      <c r="F13" s="605"/>
      <c r="G13" s="595"/>
      <c r="H13" s="595"/>
    </row>
    <row r="14" ht="15.75" customHeight="1">
      <c r="A14" s="595"/>
      <c r="B14" s="639" t="str">
        <f>HYPERLINK("#'Segmentation Glance'!A1", "Segmentation at a Glance")</f>
      </c>
      <c r="C14" s="605" t="str">
        <f>HYPERLINK("#'Segmentation Glance'!A1", "8")</f>
      </c>
      <c r="D14" s="639"/>
      <c r="E14" s="639"/>
      <c r="F14" s="605"/>
      <c r="G14" s="595"/>
      <c r="H14" s="595"/>
    </row>
    <row r="15" ht="15.75" customHeight="1">
      <c r="A15" s="595"/>
      <c r="B15" s="639" t="str">
        <f>HYPERLINK("#'Segmentation Occ'!A1", "Segmentation Occupancy Analysis")</f>
      </c>
      <c r="C15" s="605" t="str">
        <f>HYPERLINK("#'Segmentation Occ'!A1", "9")</f>
      </c>
      <c r="D15" s="639"/>
      <c r="E15" s="639"/>
      <c r="F15" s="605"/>
      <c r="G15" s="595"/>
      <c r="H15" s="595"/>
    </row>
    <row r="16" ht="15.75" customHeight="1">
      <c r="A16" s="595"/>
      <c r="B16" s="639" t="str">
        <f>HYPERLINK("#'Segmentation ADR'!A1", "Segmentation ADR Analysis")</f>
      </c>
      <c r="C16" s="605" t="str">
        <f>HYPERLINK("#'Segmentation ADR'!A1", "10")</f>
      </c>
      <c r="D16" s="639"/>
      <c r="E16" s="639"/>
      <c r="F16" s="605"/>
      <c r="G16" s="595"/>
      <c r="H16" s="595"/>
    </row>
    <row r="17" ht="15.75" customHeight="1">
      <c r="A17" s="595"/>
      <c r="B17" s="639" t="str">
        <f>HYPERLINK("#'Segmentation RevPAR'!A1", "Segmentation RevPAR Analysis")</f>
      </c>
      <c r="C17" s="605" t="str">
        <f>HYPERLINK("#'Segmentation RevPAR'!A1", "11")</f>
      </c>
      <c r="D17" s="639"/>
      <c r="E17" s="639"/>
      <c r="F17" s="605"/>
      <c r="G17" s="595"/>
      <c r="H17" s="595"/>
    </row>
    <row r="18" ht="15.75" customHeight="1">
      <c r="A18" s="595"/>
      <c r="B18" s="639" t="str">
        <f>HYPERLINK("#'Segmentation Indexes'!A1", "Segmentation Index Analysis")</f>
      </c>
      <c r="C18" s="605" t="str">
        <f>HYPERLINK("#'Segmentation Indexes'!A1", "12")</f>
      </c>
      <c r="D18" s="639"/>
      <c r="E18" s="639"/>
      <c r="F18" s="605"/>
      <c r="G18" s="595"/>
      <c r="H18" s="595"/>
    </row>
    <row r="19" ht="15.75" customHeight="1">
      <c r="A19" s="595"/>
      <c r="B19" s="639" t="str">
        <f>HYPERLINK("#'Segmentation Ranking'!A1", "Segmentation Ranking Analysis")</f>
      </c>
      <c r="C19" s="605" t="str">
        <f>HYPERLINK("#'Segmentation Ranking'!A1", "13")</f>
      </c>
      <c r="D19" s="639"/>
      <c r="E19" s="639"/>
      <c r="F19" s="605"/>
      <c r="G19" s="595"/>
      <c r="H19" s="595"/>
    </row>
    <row r="20" ht="15.75" customHeight="1">
      <c r="A20" s="595"/>
      <c r="B20" s="639" t="str">
        <f>HYPERLINK("#'Segmentation DOW Month'!A1", "Segmentation Day Of Week - Current Month")</f>
      </c>
      <c r="C20" s="605" t="str">
        <f>HYPERLINK("#'Segmentation DOW Month'!A1", "14")</f>
      </c>
      <c r="D20" s="639"/>
      <c r="E20" s="639"/>
      <c r="F20" s="605"/>
      <c r="G20" s="595"/>
      <c r="H20" s="595"/>
    </row>
    <row r="21" ht="15.75" customHeight="1">
      <c r="A21" s="595"/>
      <c r="B21" s="639" t="str">
        <f>HYPERLINK("#'Segmentation DOW YTD'!A1", "Segmentation Day Of Week - Year to Date")</f>
      </c>
      <c r="C21" s="605" t="str">
        <f>HYPERLINK("#'Segmentation DOW YTD'!A1", "15")</f>
      </c>
      <c r="D21" s="639"/>
      <c r="E21" s="639"/>
      <c r="F21" s="605"/>
      <c r="G21" s="595"/>
      <c r="H21" s="595"/>
    </row>
    <row r="22" ht="15.75" customHeight="1">
      <c r="A22" s="595"/>
      <c r="B22" s="639" t="str">
        <f>HYPERLINK("#'Segmentation DOW Run 3'!A1", "Segmentation Day Of Week - Running 3 Month")</f>
      </c>
      <c r="C22" s="605" t="str">
        <f>HYPERLINK("#'Segmentation DOW Run 3'!A1", "16")</f>
      </c>
      <c r="D22" s="639"/>
      <c r="E22" s="639"/>
      <c r="F22" s="605"/>
      <c r="G22" s="595"/>
      <c r="H22" s="595"/>
    </row>
    <row r="23" ht="15.75" customHeight="1">
      <c r="A23" s="595"/>
      <c r="B23" s="639" t="str">
        <f>HYPERLINK("#'Segmentation DOW Run 12'!A1", "Segmentation Day Of Week - Running 12 Month")</f>
      </c>
      <c r="C23" s="605" t="str">
        <f>HYPERLINK("#'Segmentation DOW Run 12'!A1", "17")</f>
      </c>
      <c r="D23" s="639"/>
      <c r="E23" s="639"/>
      <c r="F23" s="605"/>
      <c r="G23" s="595"/>
      <c r="H23" s="595"/>
    </row>
    <row r="24" ht="15.75" customHeight="1">
      <c r="A24" s="595"/>
      <c r="B24" s="639" t="str">
        <f>HYPERLINK("#'Add Rev ADR'!A1", "Additional Revenue ADR Analysis (TrevPOR)")</f>
      </c>
      <c r="C24" s="605" t="str">
        <f>HYPERLINK("#'Add Rev ADR'!A1", "18")</f>
      </c>
      <c r="D24" s="639"/>
      <c r="E24" s="639"/>
      <c r="F24" s="605"/>
      <c r="G24" s="595"/>
      <c r="H24" s="595"/>
    </row>
    <row r="25" ht="15.75" customHeight="1">
      <c r="A25" s="595"/>
      <c r="B25" s="639" t="str">
        <f>HYPERLINK("#'Add Rev RevPAR'!A1", "Additional Revenue RevPAR Analysis (TrevPAR)")</f>
      </c>
      <c r="C25" s="605" t="str">
        <f>HYPERLINK("#'Add Rev RevPAR'!A1", "19")</f>
      </c>
      <c r="D25" s="639"/>
      <c r="E25" s="639"/>
      <c r="F25" s="605"/>
      <c r="G25" s="595"/>
      <c r="H25" s="595"/>
    </row>
    <row r="26" ht="15.75" customHeight="1">
      <c r="A26" s="595"/>
      <c r="B26" s="639" t="str">
        <f>HYPERLINK("#'Segmentation Response'!A1", "Segmentation Response Report")</f>
      </c>
      <c r="C26" s="605" t="str">
        <f>HYPERLINK("#'Segmentation Response'!A1", "20")</f>
      </c>
      <c r="D26" s="639"/>
      <c r="E26" s="639"/>
      <c r="F26" s="605"/>
      <c r="G26" s="595"/>
      <c r="H26" s="595"/>
    </row>
    <row r="27" ht="15.75" customHeight="1">
      <c r="A27" s="595"/>
      <c r="B27" s="639" t="str">
        <f>HYPERLINK("#'Help'!A1", "Help")</f>
      </c>
      <c r="C27" s="605" t="str">
        <f>HYPERLINK("#'Help'!A1", "21")</f>
      </c>
      <c r="D27" s="639"/>
      <c r="E27" s="639"/>
      <c r="F27" s="605"/>
      <c r="G27" s="595"/>
      <c r="H27" s="595"/>
    </row>
    <row r="28" ht="15.75" customHeight="1">
      <c r="A28" s="595"/>
      <c r="B28" s="639"/>
      <c r="C28" s="605"/>
      <c r="D28" s="639"/>
      <c r="E28" s="639"/>
      <c r="F28" s="605"/>
      <c r="G28" s="595"/>
      <c r="H28" s="595"/>
    </row>
    <row r="29" ht="15.75" customHeight="1">
      <c r="A29" s="595"/>
      <c r="B29" s="639"/>
      <c r="C29" s="605"/>
      <c r="D29" s="639"/>
      <c r="E29" s="639"/>
      <c r="F29" s="605"/>
      <c r="G29" s="595"/>
      <c r="H29" s="595"/>
    </row>
    <row r="30" ht="0" hidden="1" customHeight="1">
      <c r="A30" s="595"/>
      <c r="B30" s="639"/>
      <c r="C30" s="605"/>
      <c r="D30" s="639"/>
      <c r="E30" s="639"/>
      <c r="F30" s="605"/>
      <c r="G30" s="595"/>
      <c r="H30" s="595"/>
    </row>
    <row r="31" ht="0" hidden="1" customHeight="1">
      <c r="A31" s="595"/>
      <c r="B31" s="639"/>
      <c r="C31" s="605"/>
      <c r="D31" s="639"/>
      <c r="E31" s="639"/>
      <c r="F31" s="605"/>
      <c r="G31" s="595"/>
      <c r="H31" s="595"/>
    </row>
    <row r="32" ht="0" hidden="1" customHeight="1">
      <c r="A32" s="595"/>
      <c r="B32" s="639"/>
      <c r="C32" s="605"/>
      <c r="D32" s="639"/>
      <c r="E32" s="639"/>
      <c r="F32" s="605"/>
      <c r="G32" s="595"/>
      <c r="H32" s="595"/>
    </row>
    <row r="33" ht="0" hidden="1" customHeight="1">
      <c r="A33" s="595"/>
      <c r="B33" s="639"/>
      <c r="C33" s="605"/>
      <c r="D33" s="639"/>
      <c r="E33" s="639"/>
      <c r="F33" s="605"/>
      <c r="G33" s="595"/>
      <c r="H33" s="595"/>
    </row>
    <row r="34" ht="0" hidden="1" customHeight="1">
      <c r="A34" s="595"/>
      <c r="B34" s="639"/>
      <c r="C34" s="605"/>
      <c r="D34" s="639"/>
      <c r="E34" s="639"/>
      <c r="F34" s="605"/>
      <c r="G34" s="595"/>
      <c r="H34" s="595"/>
    </row>
    <row r="35" ht="0" hidden="1" customHeight="1">
      <c r="A35" s="595"/>
      <c r="B35" s="639"/>
      <c r="C35" s="605"/>
      <c r="D35" s="639"/>
      <c r="E35" s="639"/>
      <c r="F35" s="605"/>
      <c r="G35" s="595"/>
      <c r="H35" s="595"/>
    </row>
    <row r="36" ht="0" hidden="1" customHeight="1">
      <c r="A36" s="595"/>
      <c r="B36" s="639"/>
      <c r="C36" s="605"/>
      <c r="D36" s="639"/>
      <c r="E36" s="639"/>
      <c r="F36" s="605"/>
      <c r="G36" s="595"/>
      <c r="H36" s="595"/>
    </row>
    <row r="37" ht="0" hidden="1" customHeight="1">
      <c r="A37" s="595"/>
      <c r="B37" s="639"/>
      <c r="C37" s="605"/>
      <c r="D37" s="639"/>
      <c r="E37" s="639"/>
      <c r="F37" s="605"/>
      <c r="G37" s="595"/>
      <c r="H37" s="595"/>
    </row>
    <row r="38" ht="0" hidden="1" customHeight="1">
      <c r="A38" s="595"/>
      <c r="B38" s="639"/>
      <c r="C38" s="605"/>
      <c r="D38" s="639"/>
      <c r="E38" s="639"/>
      <c r="F38" s="605"/>
      <c r="G38" s="595"/>
      <c r="H38" s="595"/>
    </row>
    <row r="39" ht="0" hidden="1" customHeight="1">
      <c r="A39" s="595"/>
      <c r="B39" s="639"/>
      <c r="C39" s="605"/>
      <c r="D39" s="639"/>
      <c r="E39" s="639"/>
      <c r="F39" s="605"/>
      <c r="G39" s="595"/>
      <c r="H39" s="595"/>
    </row>
    <row r="40" ht="0" hidden="1" customHeight="1">
      <c r="A40" s="595"/>
      <c r="B40" s="639"/>
      <c r="C40" s="605"/>
      <c r="D40" s="639"/>
      <c r="E40" s="639"/>
      <c r="F40" s="605"/>
      <c r="G40" s="595"/>
      <c r="H40" s="595"/>
    </row>
    <row r="41" ht="0" hidden="1" customHeight="1">
      <c r="A41" s="595"/>
      <c r="B41" s="639"/>
      <c r="C41" s="605"/>
      <c r="D41" s="639"/>
      <c r="E41" s="639"/>
      <c r="F41" s="605"/>
      <c r="G41" s="595"/>
      <c r="H41" s="595"/>
    </row>
    <row r="42" ht="0" hidden="1" customHeight="1">
      <c r="A42" s="595"/>
      <c r="B42" s="639"/>
      <c r="C42" s="605"/>
      <c r="D42" s="639"/>
      <c r="E42" s="639"/>
      <c r="F42" s="605"/>
      <c r="G42" s="595"/>
      <c r="H42" s="595"/>
    </row>
    <row r="43" ht="0" hidden="1" customHeight="1">
      <c r="A43" s="595"/>
      <c r="B43" s="639"/>
      <c r="C43" s="605"/>
      <c r="D43" s="639"/>
      <c r="E43" s="639"/>
      <c r="F43" s="605"/>
      <c r="G43" s="595"/>
      <c r="H43" s="595"/>
    </row>
    <row r="44" ht="0" hidden="1" customHeight="1">
      <c r="A44" s="595"/>
      <c r="B44" s="639"/>
      <c r="C44" s="605"/>
      <c r="D44" s="639"/>
      <c r="E44" s="639"/>
      <c r="F44" s="605"/>
      <c r="G44" s="595"/>
      <c r="H44" s="595"/>
    </row>
    <row r="45" ht="0" hidden="1" customHeight="1">
      <c r="A45" s="595"/>
      <c r="B45" s="639"/>
      <c r="C45" s="605"/>
      <c r="D45" s="639"/>
      <c r="E45" s="639"/>
      <c r="F45" s="605"/>
      <c r="G45" s="595"/>
      <c r="H45" s="595"/>
    </row>
    <row r="46" ht="0" hidden="1" customHeight="1">
      <c r="A46" s="595"/>
      <c r="B46" s="639"/>
      <c r="C46" s="605"/>
      <c r="D46" s="639"/>
      <c r="E46" s="639"/>
      <c r="F46" s="605"/>
      <c r="G46" s="595"/>
      <c r="H46" s="595"/>
    </row>
    <row r="47" ht="0" hidden="1" customHeight="1">
      <c r="A47" s="595"/>
      <c r="B47" s="639"/>
      <c r="C47" s="605"/>
      <c r="D47" s="639"/>
      <c r="E47" s="639"/>
      <c r="F47" s="605"/>
      <c r="G47" s="595"/>
      <c r="H47" s="595"/>
    </row>
    <row r="48" ht="0" hidden="1" customHeight="1">
      <c r="A48" s="595"/>
      <c r="B48" s="639"/>
      <c r="C48" s="605"/>
      <c r="D48" s="639"/>
      <c r="E48" s="639"/>
      <c r="F48" s="605"/>
      <c r="G48" s="595"/>
      <c r="H48" s="595"/>
    </row>
    <row r="49" ht="0" hidden="1" customHeight="1">
      <c r="A49" s="595"/>
      <c r="B49" s="639"/>
      <c r="C49" s="605"/>
      <c r="D49" s="639"/>
      <c r="E49" s="639"/>
      <c r="F49" s="605"/>
      <c r="G49" s="595"/>
      <c r="H49" s="595"/>
    </row>
    <row r="50" ht="15.75" customHeight="1">
      <c r="A50" s="595"/>
      <c r="B50" s="639"/>
      <c r="C50" s="605"/>
      <c r="D50" s="639"/>
      <c r="E50" s="639"/>
      <c r="F50" s="605"/>
      <c r="G50" s="595"/>
      <c r="H50" s="595"/>
    </row>
    <row r="51" ht="15.75" customHeight="1">
      <c r="A51" s="595"/>
      <c r="B51" s="639"/>
      <c r="C51" s="605"/>
      <c r="D51" s="639"/>
      <c r="E51" s="639"/>
      <c r="F51" s="605"/>
      <c r="G51" s="595"/>
      <c r="H51" s="595"/>
    </row>
    <row r="52" ht="15.75" customHeight="1">
      <c r="A52" s="595"/>
      <c r="B52" s="639"/>
      <c r="C52" s="605"/>
      <c r="D52" s="639"/>
      <c r="E52" s="639"/>
      <c r="F52" s="605"/>
      <c r="G52" s="595"/>
      <c r="H52" s="595"/>
    </row>
    <row r="53" ht="15.75" customHeight="1">
      <c r="A53" s="595"/>
      <c r="B53" s="639"/>
      <c r="C53" s="605"/>
      <c r="D53" s="639"/>
      <c r="E53" s="639"/>
      <c r="F53" s="605"/>
      <c r="G53" s="595"/>
      <c r="H53" s="595"/>
    </row>
    <row r="54" ht="15.75" customHeight="1">
      <c r="A54" s="595"/>
      <c r="B54" s="639"/>
      <c r="C54" s="605"/>
      <c r="D54" s="639"/>
      <c r="E54" s="639"/>
      <c r="F54" s="605"/>
      <c r="G54" s="595"/>
      <c r="H54" s="595"/>
    </row>
    <row r="55" ht="15.75" customHeight="1">
      <c r="A55" s="595"/>
      <c r="B55" s="639"/>
      <c r="C55" s="605"/>
      <c r="D55" s="639"/>
      <c r="E55" s="639"/>
      <c r="F55" s="605"/>
      <c r="G55" s="595"/>
      <c r="H55" s="595"/>
    </row>
    <row r="56" ht="15.75" customHeight="1">
      <c r="A56" s="595"/>
      <c r="B56" s="639"/>
      <c r="C56" s="605"/>
      <c r="D56" s="639"/>
      <c r="E56" s="639"/>
      <c r="F56" s="605"/>
      <c r="G56" s="595"/>
      <c r="H56" s="595"/>
    </row>
    <row r="57" ht="10.5" customHeight="1">
      <c r="A57" s="595"/>
      <c r="B57" s="639"/>
      <c r="C57" s="639"/>
      <c r="D57" s="639"/>
      <c r="E57" s="639"/>
      <c r="F57" s="639"/>
      <c r="G57" s="595"/>
      <c r="H57" s="595"/>
    </row>
    <row r="58" ht="10.5" customHeight="1">
      <c r="A58" s="595"/>
      <c r="B58" s="602" t="s">
        <v>118</v>
      </c>
      <c r="C58" s="602"/>
      <c r="D58" s="603"/>
      <c r="E58" s="602" t="s">
        <v>119</v>
      </c>
      <c r="F58" s="602"/>
      <c r="G58" s="595"/>
      <c r="H58" s="595"/>
    </row>
    <row r="59" ht="10.5" customHeight="1">
      <c r="A59" s="595"/>
      <c r="B59" s="602" t="s">
        <v>124</v>
      </c>
      <c r="C59" s="602"/>
      <c r="D59" s="603"/>
      <c r="E59" s="602" t="s">
        <v>120</v>
      </c>
      <c r="F59" s="602"/>
      <c r="G59" s="595"/>
      <c r="H59" s="595"/>
    </row>
    <row r="60" ht="10.5" customHeight="1">
      <c r="A60" s="595"/>
      <c r="B60" s="602" t="s">
        <v>112</v>
      </c>
      <c r="C60" s="602"/>
      <c r="D60" s="603"/>
      <c r="E60" s="602" t="s">
        <v>125</v>
      </c>
      <c r="F60" s="602"/>
      <c r="G60" s="595"/>
      <c r="H60" s="595"/>
    </row>
    <row r="61" ht="20.1" customHeight="1">
      <c r="A61" s="595"/>
      <c r="B61" s="602"/>
      <c r="C61" s="602"/>
      <c r="D61" s="603"/>
      <c r="E61" s="602"/>
      <c r="F61" s="602"/>
      <c r="G61" s="595"/>
      <c r="H61" s="595"/>
    </row>
    <row r="62" ht="48" customHeight="1">
      <c r="A62" s="595"/>
      <c r="B62" s="694" t="s">
        <v>126</v>
      </c>
      <c r="C62" s="694"/>
      <c r="D62" s="694"/>
      <c r="E62" s="694"/>
      <c r="F62" s="694"/>
      <c r="G62" s="595"/>
      <c r="H62" s="595"/>
    </row>
    <row r="63" ht="8.1" customHeight="1">
      <c r="A63" s="595"/>
      <c r="B63" s="594"/>
      <c r="C63" s="595"/>
      <c r="D63" s="601"/>
      <c r="E63" s="595"/>
      <c r="F63" s="595"/>
      <c r="G63" s="595"/>
      <c r="H63" s="595"/>
    </row>
    <row r="64" ht="15.75" customHeight="1">
      <c r="A64" s="235"/>
      <c r="B64" s="235"/>
      <c r="C64" s="235"/>
      <c r="D64" s="235"/>
      <c r="E64" s="235"/>
      <c r="F64" s="235"/>
      <c r="G64" s="235"/>
      <c r="H64" s="235"/>
    </row>
    <row r="65" ht="15.75" customHeight="1">
      <c r="A65" s="235"/>
      <c r="B65" s="235"/>
      <c r="C65" s="235"/>
      <c r="D65" s="235"/>
      <c r="E65" s="235"/>
      <c r="F65" s="235"/>
      <c r="G65" s="235"/>
      <c r="H65" s="235"/>
    </row>
    <row r="66" ht="15.75" customHeight="1">
      <c r="A66" s="235"/>
      <c r="B66" s="235"/>
      <c r="C66" s="235"/>
      <c r="D66" s="235"/>
      <c r="E66" s="235"/>
      <c r="F66" s="235"/>
      <c r="G66" s="235"/>
      <c r="H66" s="235"/>
    </row>
    <row r="67" ht="15.75" customHeight="1">
      <c r="A67" s="235"/>
      <c r="B67" s="235"/>
      <c r="C67" s="235"/>
      <c r="D67" s="235"/>
      <c r="E67" s="235"/>
      <c r="F67" s="235"/>
      <c r="G67" s="235"/>
      <c r="H67" s="235"/>
    </row>
    <row r="68" ht="15.75" customHeight="1">
      <c r="A68" s="235"/>
      <c r="B68" s="235"/>
      <c r="C68" s="235"/>
      <c r="D68" s="235"/>
      <c r="E68" s="235"/>
      <c r="F68" s="235"/>
      <c r="G68" s="235"/>
      <c r="H68" s="235"/>
    </row>
    <row r="69" ht="15.75" customHeight="1">
      <c r="A69" s="235"/>
      <c r="B69" s="235"/>
      <c r="C69" s="235"/>
      <c r="D69" s="235"/>
      <c r="E69" s="235"/>
      <c r="F69" s="235"/>
      <c r="G69" s="235"/>
      <c r="H69" s="235"/>
    </row>
    <row r="70" ht="15.75" customHeight="1">
      <c r="A70" s="235"/>
      <c r="B70" s="235"/>
      <c r="C70" s="235"/>
      <c r="D70" s="235"/>
      <c r="E70" s="235"/>
      <c r="F70" s="235"/>
      <c r="G70" s="235"/>
      <c r="H70" s="235"/>
    </row>
    <row r="71" ht="15.75" customHeight="1">
      <c r="A71" s="235"/>
      <c r="B71" s="235"/>
      <c r="C71" s="235"/>
      <c r="D71" s="235"/>
      <c r="E71" s="235"/>
      <c r="F71" s="235"/>
      <c r="G71" s="235"/>
      <c r="H71" s="235"/>
    </row>
    <row r="72" ht="15.75" customHeight="1">
      <c r="A72" s="235"/>
      <c r="B72" s="235"/>
      <c r="C72" s="235"/>
      <c r="D72" s="235"/>
      <c r="E72" s="235"/>
      <c r="F72" s="235"/>
      <c r="G72" s="235"/>
      <c r="H72" s="235"/>
    </row>
    <row r="73" ht="15.75" customHeight="1">
      <c r="A73" s="235"/>
      <c r="B73" s="235"/>
      <c r="C73" s="235"/>
      <c r="D73" s="235"/>
      <c r="E73" s="235"/>
      <c r="F73" s="235"/>
      <c r="G73" s="235"/>
      <c r="H73" s="235"/>
    </row>
    <row r="74" ht="15.75" customHeight="1">
      <c r="A74" s="235"/>
      <c r="B74" s="235"/>
      <c r="C74" s="235"/>
      <c r="D74" s="235"/>
      <c r="E74" s="235"/>
      <c r="F74" s="235"/>
      <c r="G74" s="235"/>
      <c r="H74" s="235"/>
    </row>
    <row r="75" ht="15.75" customHeight="1">
      <c r="A75" s="235"/>
      <c r="B75" s="235"/>
      <c r="C75" s="235"/>
      <c r="D75" s="235"/>
      <c r="E75" s="235"/>
      <c r="F75" s="235"/>
      <c r="G75" s="235"/>
      <c r="H75" s="235"/>
    </row>
    <row r="76" ht="15.75" customHeight="1">
      <c r="A76" s="235"/>
      <c r="B76" s="235"/>
      <c r="C76" s="235"/>
      <c r="D76" s="235"/>
      <c r="E76" s="235"/>
      <c r="F76" s="235"/>
      <c r="G76" s="235"/>
      <c r="H76" s="235"/>
    </row>
    <row r="77" ht="15.75" customHeight="1">
      <c r="A77" s="235"/>
      <c r="B77" s="235"/>
      <c r="C77" s="235"/>
      <c r="D77" s="235"/>
      <c r="E77" s="235"/>
      <c r="F77" s="235"/>
      <c r="G77" s="235"/>
      <c r="H77" s="235"/>
    </row>
    <row r="78" ht="15.75" customHeight="1">
      <c r="A78" s="235"/>
      <c r="B78" s="235"/>
      <c r="C78" s="235"/>
      <c r="D78" s="235"/>
      <c r="E78" s="235"/>
      <c r="F78" s="235"/>
      <c r="G78" s="235"/>
      <c r="H78" s="235"/>
    </row>
    <row r="79" ht="15.75" customHeight="1">
      <c r="A79" s="235"/>
      <c r="B79" s="235"/>
      <c r="C79" s="235"/>
      <c r="D79" s="235"/>
      <c r="E79" s="235"/>
      <c r="F79" s="235"/>
      <c r="G79" s="235"/>
      <c r="H79" s="235"/>
    </row>
    <row r="80" ht="15.75" customHeight="1">
      <c r="A80" s="235"/>
      <c r="B80" s="235"/>
      <c r="C80" s="235"/>
      <c r="D80" s="235"/>
      <c r="E80" s="235"/>
      <c r="F80" s="235"/>
      <c r="G80" s="235"/>
      <c r="H80" s="235"/>
    </row>
    <row r="81" ht="15.75" customHeight="1">
      <c r="A81" s="235"/>
      <c r="B81" s="235"/>
      <c r="C81" s="235"/>
      <c r="D81" s="235"/>
      <c r="E81" s="235"/>
      <c r="F81" s="235"/>
      <c r="G81" s="235"/>
      <c r="H81" s="235"/>
    </row>
    <row r="82" ht="15.75" customHeight="1">
      <c r="A82" s="235"/>
      <c r="B82" s="235"/>
      <c r="C82" s="235"/>
      <c r="D82" s="235"/>
      <c r="E82" s="235"/>
      <c r="F82" s="235"/>
      <c r="G82" s="235"/>
      <c r="H82" s="235"/>
    </row>
    <row r="83" ht="15.75" customHeight="1">
      <c r="A83" s="235"/>
      <c r="B83" s="235"/>
      <c r="C83" s="235"/>
      <c r="D83" s="235"/>
      <c r="E83" s="235"/>
      <c r="F83" s="235"/>
      <c r="G83" s="235"/>
      <c r="H83" s="235"/>
    </row>
    <row r="84" ht="15.75" customHeight="1">
      <c r="A84" s="235"/>
      <c r="B84" s="235"/>
      <c r="C84" s="235"/>
      <c r="D84" s="235"/>
      <c r="E84" s="235"/>
      <c r="F84" s="235"/>
      <c r="G84" s="235"/>
      <c r="H84" s="235"/>
    </row>
    <row r="85" ht="15.75" customHeight="1">
      <c r="A85" s="235"/>
      <c r="B85" s="235"/>
      <c r="C85" s="235"/>
      <c r="D85" s="235"/>
      <c r="E85" s="235"/>
      <c r="F85" s="235"/>
      <c r="G85" s="235"/>
      <c r="H85" s="235"/>
    </row>
    <row r="86" ht="15.75" customHeight="1">
      <c r="A86" s="235"/>
      <c r="B86" s="235"/>
      <c r="C86" s="235"/>
      <c r="D86" s="235"/>
      <c r="E86" s="235"/>
      <c r="F86" s="235"/>
      <c r="G86" s="235"/>
      <c r="H86" s="235"/>
    </row>
    <row r="87" s="235" customFormat="1" ht="15.75" customHeight="1"/>
    <row r="88" s="235" customFormat="1" ht="15.75" customHeight="1"/>
    <row r="89" s="235" customFormat="1" ht="15.75" customHeight="1"/>
    <row r="90" s="235" customFormat="1" ht="15.75" customHeight="1"/>
    <row r="91" s="4" customFormat="1" ht="15.75" customHeight="1">
      <c r="B91" s="523"/>
      <c r="D91" s="522"/>
      <c r="I91" s="235"/>
      <c r="J91" s="235"/>
      <c r="K91" s="235"/>
      <c r="L91" s="235"/>
      <c r="M91" s="235"/>
      <c r="N91" s="235"/>
      <c r="O91" s="235"/>
      <c r="P91" s="235"/>
      <c r="Q91" s="235"/>
      <c r="R91" s="235"/>
      <c r="S91" s="235"/>
      <c r="T91" s="235"/>
      <c r="U91" s="235"/>
      <c r="V91" s="235"/>
      <c r="W91" s="235"/>
      <c r="X91" s="235"/>
      <c r="Y91" s="235"/>
      <c r="Z91" s="235"/>
      <c r="AA91" s="235"/>
    </row>
    <row r="92" s="4" customFormat="1" ht="15.75" customHeight="1">
      <c r="B92" s="523"/>
      <c r="D92" s="522"/>
      <c r="I92" s="235"/>
      <c r="J92" s="235"/>
      <c r="K92" s="235"/>
      <c r="L92" s="235"/>
      <c r="M92" s="235"/>
      <c r="N92" s="235"/>
      <c r="O92" s="235"/>
      <c r="P92" s="235"/>
      <c r="Q92" s="235"/>
      <c r="R92" s="235"/>
      <c r="S92" s="235"/>
      <c r="T92" s="235"/>
      <c r="U92" s="235"/>
      <c r="V92" s="235"/>
      <c r="W92" s="235"/>
      <c r="X92" s="235"/>
      <c r="Y92" s="235"/>
      <c r="Z92" s="235"/>
      <c r="AA92" s="235"/>
    </row>
    <row r="93" s="4" customFormat="1" ht="15.75" customHeight="1">
      <c r="B93" s="523"/>
      <c r="D93" s="522"/>
      <c r="I93" s="235"/>
      <c r="J93" s="235"/>
      <c r="K93" s="235"/>
      <c r="L93" s="235"/>
      <c r="M93" s="235"/>
      <c r="N93" s="235"/>
      <c r="O93" s="235"/>
      <c r="P93" s="235"/>
      <c r="Q93" s="235"/>
      <c r="R93" s="235"/>
      <c r="S93" s="235"/>
      <c r="T93" s="235"/>
      <c r="U93" s="235"/>
      <c r="V93" s="235"/>
      <c r="W93" s="235"/>
      <c r="X93" s="235"/>
      <c r="Y93" s="235"/>
      <c r="Z93" s="235"/>
      <c r="AA93" s="235"/>
    </row>
    <row r="94" s="4" customFormat="1" ht="15.75" customHeight="1">
      <c r="B94" s="523"/>
      <c r="D94" s="522"/>
      <c r="I94" s="235"/>
      <c r="J94" s="235"/>
      <c r="K94" s="235"/>
      <c r="L94" s="235"/>
      <c r="M94" s="235"/>
      <c r="N94" s="235"/>
      <c r="O94" s="235"/>
      <c r="P94" s="235"/>
      <c r="Q94" s="235"/>
      <c r="R94" s="235"/>
      <c r="S94" s="235"/>
      <c r="T94" s="235"/>
      <c r="U94" s="235"/>
      <c r="V94" s="235"/>
      <c r="W94" s="235"/>
      <c r="X94" s="235"/>
      <c r="Y94" s="235"/>
      <c r="Z94" s="235"/>
      <c r="AA94" s="235"/>
    </row>
    <row r="95" s="4" customFormat="1" ht="15.75" customHeight="1">
      <c r="B95" s="523"/>
      <c r="D95" s="522"/>
      <c r="I95" s="235"/>
      <c r="J95" s="235"/>
      <c r="K95" s="235"/>
      <c r="L95" s="235"/>
      <c r="M95" s="235"/>
      <c r="N95" s="235"/>
      <c r="O95" s="235"/>
      <c r="P95" s="235"/>
      <c r="Q95" s="235"/>
      <c r="R95" s="235"/>
      <c r="S95" s="235"/>
      <c r="T95" s="235"/>
      <c r="U95" s="235"/>
      <c r="V95" s="235"/>
      <c r="W95" s="235"/>
      <c r="X95" s="235"/>
      <c r="Y95" s="235"/>
      <c r="Z95" s="235"/>
      <c r="AA95" s="235"/>
    </row>
    <row r="96" s="4" customFormat="1" ht="15.75" customHeight="1">
      <c r="B96" s="523"/>
      <c r="D96" s="522"/>
      <c r="I96" s="235"/>
      <c r="J96" s="235"/>
      <c r="K96" s="235"/>
      <c r="L96" s="235"/>
      <c r="M96" s="235"/>
      <c r="N96" s="235"/>
      <c r="O96" s="235"/>
      <c r="P96" s="235"/>
      <c r="Q96" s="235"/>
      <c r="R96" s="235"/>
      <c r="S96" s="235"/>
      <c r="T96" s="235"/>
      <c r="U96" s="235"/>
      <c r="V96" s="235"/>
      <c r="W96" s="235"/>
      <c r="X96" s="235"/>
      <c r="Y96" s="235"/>
      <c r="Z96" s="235"/>
      <c r="AA96" s="235"/>
    </row>
    <row r="97" s="4" customFormat="1" ht="15.75" customHeight="1">
      <c r="B97" s="523"/>
      <c r="D97" s="522"/>
      <c r="I97" s="235"/>
      <c r="J97" s="235"/>
      <c r="K97" s="235"/>
      <c r="L97" s="235"/>
      <c r="M97" s="235"/>
      <c r="N97" s="235"/>
      <c r="O97" s="235"/>
      <c r="P97" s="235"/>
      <c r="Q97" s="235"/>
      <c r="R97" s="235"/>
      <c r="S97" s="235"/>
      <c r="T97" s="235"/>
      <c r="U97" s="235"/>
      <c r="V97" s="235"/>
      <c r="W97" s="235"/>
      <c r="X97" s="235"/>
      <c r="Y97" s="235"/>
      <c r="Z97" s="235"/>
      <c r="AA97" s="235"/>
    </row>
    <row r="98" s="4" customFormat="1" ht="15.75" customHeight="1">
      <c r="B98" s="523"/>
      <c r="D98" s="522"/>
      <c r="I98" s="235"/>
      <c r="J98" s="235"/>
      <c r="K98" s="235"/>
      <c r="L98" s="235"/>
      <c r="M98" s="235"/>
      <c r="N98" s="235"/>
      <c r="O98" s="235"/>
      <c r="P98" s="235"/>
      <c r="Q98" s="235"/>
      <c r="R98" s="235"/>
      <c r="S98" s="235"/>
      <c r="T98" s="235"/>
      <c r="U98" s="235"/>
      <c r="V98" s="235"/>
      <c r="W98" s="235"/>
      <c r="X98" s="235"/>
      <c r="Y98" s="235"/>
      <c r="Z98" s="235"/>
      <c r="AA98" s="235"/>
    </row>
    <row r="99" s="4" customFormat="1" ht="15.75" customHeight="1">
      <c r="B99" s="523"/>
      <c r="D99" s="522"/>
      <c r="I99" s="235"/>
      <c r="J99" s="235"/>
      <c r="K99" s="235"/>
      <c r="L99" s="235"/>
      <c r="M99" s="235"/>
      <c r="N99" s="235"/>
      <c r="O99" s="235"/>
      <c r="P99" s="235"/>
      <c r="Q99" s="235"/>
      <c r="R99" s="235"/>
      <c r="S99" s="235"/>
      <c r="T99" s="235"/>
      <c r="U99" s="235"/>
      <c r="V99" s="235"/>
      <c r="W99" s="235"/>
      <c r="X99" s="235"/>
      <c r="Y99" s="235"/>
      <c r="Z99" s="235"/>
      <c r="AA99" s="235"/>
    </row>
    <row r="100" s="4" customFormat="1" ht="15.75" customHeight="1">
      <c r="B100" s="523"/>
      <c r="D100" s="522"/>
      <c r="I100" s="235"/>
      <c r="J100" s="235"/>
      <c r="K100" s="235"/>
      <c r="L100" s="235"/>
      <c r="M100" s="235"/>
      <c r="N100" s="235"/>
      <c r="O100" s="235"/>
      <c r="P100" s="235"/>
      <c r="Q100" s="235"/>
      <c r="R100" s="235"/>
      <c r="S100" s="235"/>
      <c r="T100" s="235"/>
      <c r="U100" s="235"/>
      <c r="V100" s="235"/>
      <c r="W100" s="235"/>
      <c r="X100" s="235"/>
      <c r="Y100" s="235"/>
      <c r="Z100" s="235"/>
      <c r="AA100" s="235"/>
    </row>
    <row r="101" s="4" customFormat="1" ht="15.75" customHeight="1">
      <c r="B101" s="523"/>
      <c r="D101" s="522"/>
      <c r="I101" s="235"/>
      <c r="J101" s="235"/>
      <c r="K101" s="235"/>
      <c r="L101" s="235"/>
      <c r="M101" s="235"/>
      <c r="N101" s="235"/>
      <c r="O101" s="235"/>
      <c r="P101" s="235"/>
      <c r="Q101" s="235"/>
      <c r="R101" s="235"/>
      <c r="S101" s="235"/>
      <c r="T101" s="235"/>
      <c r="U101" s="235"/>
      <c r="V101" s="235"/>
      <c r="W101" s="235"/>
      <c r="X101" s="235"/>
      <c r="Y101" s="235"/>
      <c r="Z101" s="235"/>
      <c r="AA101" s="235"/>
    </row>
    <row r="102" s="4" customFormat="1">
      <c r="B102" s="523"/>
      <c r="D102" s="522"/>
      <c r="I102" s="235"/>
      <c r="J102" s="235"/>
      <c r="K102" s="235"/>
      <c r="L102" s="235"/>
      <c r="M102" s="235"/>
      <c r="N102" s="235"/>
      <c r="O102" s="235"/>
      <c r="P102" s="235"/>
      <c r="Q102" s="235"/>
      <c r="R102" s="235"/>
      <c r="S102" s="235"/>
      <c r="T102" s="235"/>
      <c r="U102" s="235"/>
      <c r="V102" s="235"/>
      <c r="W102" s="235"/>
      <c r="X102" s="235"/>
      <c r="Y102" s="235"/>
      <c r="Z102" s="235"/>
      <c r="AA102" s="235"/>
    </row>
    <row r="103" s="4" customFormat="1">
      <c r="B103" s="523"/>
      <c r="D103" s="522"/>
      <c r="I103" s="235"/>
      <c r="J103" s="235"/>
      <c r="K103" s="235"/>
      <c r="L103" s="235"/>
      <c r="M103" s="235"/>
      <c r="N103" s="235"/>
      <c r="O103" s="235"/>
      <c r="P103" s="235"/>
      <c r="Q103" s="235"/>
      <c r="R103" s="235"/>
      <c r="S103" s="235"/>
      <c r="T103" s="235"/>
      <c r="U103" s="235"/>
      <c r="V103" s="235"/>
      <c r="W103" s="235"/>
      <c r="X103" s="235"/>
      <c r="Y103" s="235"/>
      <c r="Z103" s="235"/>
      <c r="AA103" s="235"/>
    </row>
    <row r="104" s="4" customFormat="1">
      <c r="B104" s="523"/>
      <c r="D104" s="522"/>
      <c r="I104" s="235"/>
      <c r="J104" s="235"/>
      <c r="K104" s="235"/>
      <c r="L104" s="235"/>
      <c r="M104" s="235"/>
      <c r="N104" s="235"/>
      <c r="O104" s="235"/>
      <c r="P104" s="235"/>
      <c r="Q104" s="235"/>
      <c r="R104" s="235"/>
      <c r="S104" s="235"/>
      <c r="T104" s="235"/>
      <c r="U104" s="235"/>
      <c r="V104" s="235"/>
      <c r="W104" s="235"/>
      <c r="X104" s="235"/>
      <c r="Y104" s="235"/>
      <c r="Z104" s="235"/>
      <c r="AA104" s="235"/>
    </row>
    <row r="105" s="4" customFormat="1">
      <c r="B105" s="523"/>
      <c r="D105" s="522"/>
      <c r="I105" s="235"/>
      <c r="J105" s="235"/>
      <c r="K105" s="235"/>
      <c r="L105" s="235"/>
      <c r="M105" s="235"/>
      <c r="N105" s="235"/>
      <c r="O105" s="235"/>
      <c r="P105" s="235"/>
      <c r="Q105" s="235"/>
      <c r="R105" s="235"/>
      <c r="S105" s="235"/>
      <c r="T105" s="235"/>
      <c r="U105" s="235"/>
      <c r="V105" s="235"/>
      <c r="W105" s="235"/>
      <c r="X105" s="235"/>
      <c r="Y105" s="235"/>
      <c r="Z105" s="235"/>
      <c r="AA105" s="235"/>
    </row>
    <row r="106" s="4" customFormat="1">
      <c r="B106" s="523"/>
      <c r="D106" s="522"/>
      <c r="I106" s="235"/>
      <c r="J106" s="235"/>
      <c r="K106" s="235"/>
      <c r="L106" s="235"/>
      <c r="M106" s="235"/>
      <c r="N106" s="235"/>
      <c r="O106" s="235"/>
      <c r="P106" s="235"/>
      <c r="Q106" s="235"/>
      <c r="R106" s="235"/>
      <c r="S106" s="235"/>
      <c r="T106" s="235"/>
      <c r="U106" s="235"/>
      <c r="V106" s="235"/>
      <c r="W106" s="235"/>
      <c r="X106" s="235"/>
      <c r="Y106" s="235"/>
      <c r="Z106" s="235"/>
      <c r="AA106" s="235"/>
    </row>
    <row r="107" s="4" customFormat="1">
      <c r="B107" s="523"/>
      <c r="D107" s="522"/>
      <c r="I107" s="235"/>
      <c r="J107" s="235"/>
      <c r="K107" s="235"/>
      <c r="L107" s="235"/>
      <c r="M107" s="235"/>
      <c r="N107" s="235"/>
      <c r="O107" s="235"/>
      <c r="P107" s="235"/>
      <c r="Q107" s="235"/>
      <c r="R107" s="235"/>
      <c r="S107" s="235"/>
      <c r="T107" s="235"/>
      <c r="U107" s="235"/>
      <c r="V107" s="235"/>
      <c r="W107" s="235"/>
      <c r="X107" s="235"/>
      <c r="Y107" s="235"/>
      <c r="Z107" s="235"/>
      <c r="AA107" s="235"/>
    </row>
    <row r="108" s="4" customFormat="1">
      <c r="B108" s="523"/>
      <c r="D108" s="522"/>
      <c r="I108" s="235"/>
      <c r="J108" s="235"/>
      <c r="K108" s="235"/>
      <c r="L108" s="235"/>
      <c r="M108" s="235"/>
      <c r="N108" s="235"/>
      <c r="O108" s="235"/>
      <c r="P108" s="235"/>
      <c r="Q108" s="235"/>
      <c r="R108" s="235"/>
      <c r="S108" s="235"/>
      <c r="T108" s="235"/>
      <c r="U108" s="235"/>
      <c r="V108" s="235"/>
      <c r="W108" s="235"/>
      <c r="X108" s="235"/>
      <c r="Y108" s="235"/>
      <c r="Z108" s="235"/>
      <c r="AA108" s="235"/>
    </row>
    <row r="109" s="4" customFormat="1">
      <c r="B109" s="523"/>
      <c r="D109" s="522"/>
      <c r="I109" s="235"/>
      <c r="J109" s="235"/>
      <c r="K109" s="235"/>
      <c r="L109" s="235"/>
      <c r="M109" s="235"/>
      <c r="N109" s="235"/>
      <c r="O109" s="235"/>
      <c r="P109" s="235"/>
      <c r="Q109" s="235"/>
      <c r="R109" s="235"/>
      <c r="S109" s="235"/>
      <c r="T109" s="235"/>
      <c r="U109" s="235"/>
      <c r="V109" s="235"/>
      <c r="W109" s="235"/>
      <c r="X109" s="235"/>
      <c r="Y109" s="235"/>
      <c r="Z109" s="235"/>
      <c r="AA109" s="235"/>
    </row>
    <row r="110" s="4" customFormat="1">
      <c r="B110" s="523"/>
      <c r="D110" s="522"/>
      <c r="I110" s="235"/>
      <c r="J110" s="235"/>
      <c r="K110" s="235"/>
      <c r="L110" s="235"/>
      <c r="M110" s="235"/>
      <c r="N110" s="235"/>
      <c r="O110" s="235"/>
      <c r="P110" s="235"/>
      <c r="Q110" s="235"/>
      <c r="R110" s="235"/>
      <c r="S110" s="235"/>
      <c r="T110" s="235"/>
      <c r="U110" s="235"/>
      <c r="V110" s="235"/>
      <c r="W110" s="235"/>
      <c r="X110" s="235"/>
      <c r="Y110" s="235"/>
      <c r="Z110" s="235"/>
      <c r="AA110" s="235"/>
    </row>
    <row r="111" s="4" customFormat="1">
      <c r="B111" s="523"/>
      <c r="D111" s="522"/>
      <c r="I111" s="235"/>
      <c r="J111" s="235"/>
      <c r="K111" s="235"/>
      <c r="L111" s="235"/>
      <c r="M111" s="235"/>
      <c r="N111" s="235"/>
      <c r="O111" s="235"/>
      <c r="P111" s="235"/>
      <c r="Q111" s="235"/>
      <c r="R111" s="235"/>
      <c r="S111" s="235"/>
      <c r="T111" s="235"/>
      <c r="U111" s="235"/>
      <c r="V111" s="235"/>
      <c r="W111" s="235"/>
      <c r="X111" s="235"/>
      <c r="Y111" s="235"/>
      <c r="Z111" s="235"/>
      <c r="AA111" s="235"/>
    </row>
    <row r="112" s="4" customFormat="1">
      <c r="B112" s="524"/>
      <c r="D112" s="522"/>
      <c r="I112" s="235"/>
      <c r="J112" s="235"/>
      <c r="K112" s="235"/>
      <c r="L112" s="235"/>
      <c r="M112" s="235"/>
      <c r="N112" s="235"/>
      <c r="O112" s="235"/>
      <c r="P112" s="235"/>
      <c r="Q112" s="235"/>
      <c r="R112" s="235"/>
      <c r="S112" s="235"/>
      <c r="T112" s="235"/>
      <c r="U112" s="235"/>
      <c r="V112" s="235"/>
      <c r="W112" s="235"/>
      <c r="X112" s="235"/>
      <c r="Y112" s="235"/>
      <c r="Z112" s="235"/>
      <c r="AA112" s="235"/>
    </row>
    <row r="113" s="4" customFormat="1">
      <c r="B113" s="524"/>
      <c r="D113" s="522"/>
      <c r="I113" s="235"/>
      <c r="J113" s="235"/>
      <c r="K113" s="235"/>
      <c r="L113" s="235"/>
      <c r="M113" s="235"/>
      <c r="N113" s="235"/>
      <c r="O113" s="235"/>
      <c r="P113" s="235"/>
      <c r="Q113" s="235"/>
      <c r="R113" s="235"/>
      <c r="S113" s="235"/>
      <c r="T113" s="235"/>
      <c r="U113" s="235"/>
      <c r="V113" s="235"/>
      <c r="W113" s="235"/>
      <c r="X113" s="235"/>
      <c r="Y113" s="235"/>
      <c r="Z113" s="235"/>
      <c r="AA113" s="235"/>
    </row>
    <row r="114" s="4" customFormat="1">
      <c r="B114" s="524"/>
      <c r="D114" s="522"/>
      <c r="I114" s="235"/>
      <c r="J114" s="235"/>
      <c r="K114" s="235"/>
      <c r="L114" s="235"/>
      <c r="M114" s="235"/>
      <c r="N114" s="235"/>
      <c r="O114" s="235"/>
      <c r="P114" s="235"/>
      <c r="Q114" s="235"/>
      <c r="R114" s="235"/>
      <c r="S114" s="235"/>
      <c r="T114" s="235"/>
      <c r="U114" s="235"/>
      <c r="V114" s="235"/>
      <c r="W114" s="235"/>
      <c r="X114" s="235"/>
      <c r="Y114" s="235"/>
      <c r="Z114" s="235"/>
      <c r="AA114" s="235"/>
    </row>
    <row r="115" s="4" customFormat="1">
      <c r="B115" s="524"/>
      <c r="D115" s="522"/>
      <c r="I115" s="235"/>
      <c r="J115" s="235"/>
      <c r="K115" s="235"/>
      <c r="L115" s="235"/>
      <c r="M115" s="235"/>
      <c r="N115" s="235"/>
      <c r="O115" s="235"/>
      <c r="P115" s="235"/>
      <c r="Q115" s="235"/>
      <c r="R115" s="235"/>
      <c r="S115" s="235"/>
      <c r="T115" s="235"/>
      <c r="U115" s="235"/>
      <c r="V115" s="235"/>
      <c r="W115" s="235"/>
      <c r="X115" s="235"/>
      <c r="Y115" s="235"/>
      <c r="Z115" s="235"/>
      <c r="AA115" s="235"/>
    </row>
    <row r="116" s="4" customFormat="1">
      <c r="B116" s="524"/>
      <c r="D116" s="522"/>
      <c r="I116" s="235"/>
      <c r="J116" s="235"/>
      <c r="K116" s="235"/>
      <c r="L116" s="235"/>
      <c r="M116" s="235"/>
      <c r="N116" s="235"/>
      <c r="O116" s="235"/>
      <c r="P116" s="235"/>
      <c r="Q116" s="235"/>
      <c r="R116" s="235"/>
      <c r="S116" s="235"/>
      <c r="T116" s="235"/>
      <c r="U116" s="235"/>
      <c r="V116" s="235"/>
      <c r="W116" s="235"/>
      <c r="X116" s="235"/>
      <c r="Y116" s="235"/>
      <c r="Z116" s="235"/>
      <c r="AA116" s="235"/>
    </row>
    <row r="117" s="4" customFormat="1">
      <c r="B117" s="524"/>
      <c r="D117" s="520"/>
      <c r="I117" s="235"/>
      <c r="J117" s="235"/>
      <c r="K117" s="235"/>
      <c r="L117" s="235"/>
      <c r="M117" s="235"/>
      <c r="N117" s="235"/>
      <c r="O117" s="235"/>
      <c r="P117" s="235"/>
      <c r="Q117" s="235"/>
      <c r="R117" s="235"/>
      <c r="S117" s="235"/>
      <c r="T117" s="235"/>
      <c r="U117" s="235"/>
      <c r="V117" s="235"/>
      <c r="W117" s="235"/>
      <c r="X117" s="235"/>
      <c r="Y117" s="235"/>
      <c r="Z117" s="235"/>
      <c r="AA117" s="235"/>
    </row>
    <row r="118" s="4" customFormat="1">
      <c r="B118" s="524"/>
      <c r="D118" s="520"/>
      <c r="I118" s="235"/>
      <c r="J118" s="235"/>
      <c r="K118" s="235"/>
      <c r="L118" s="235"/>
      <c r="M118" s="235"/>
      <c r="N118" s="235"/>
      <c r="O118" s="235"/>
      <c r="P118" s="235"/>
      <c r="Q118" s="235"/>
      <c r="R118" s="235"/>
      <c r="S118" s="235"/>
      <c r="T118" s="235"/>
      <c r="U118" s="235"/>
      <c r="V118" s="235"/>
      <c r="W118" s="235"/>
      <c r="X118" s="235"/>
      <c r="Y118" s="235"/>
      <c r="Z118" s="235"/>
      <c r="AA118" s="235"/>
    </row>
    <row r="119" s="4" customFormat="1">
      <c r="B119" s="524"/>
      <c r="D119" s="520"/>
      <c r="I119" s="235"/>
      <c r="J119" s="235"/>
      <c r="K119" s="235"/>
      <c r="L119" s="235"/>
      <c r="M119" s="235"/>
      <c r="N119" s="235"/>
      <c r="O119" s="235"/>
      <c r="P119" s="235"/>
      <c r="Q119" s="235"/>
      <c r="R119" s="235"/>
      <c r="S119" s="235"/>
      <c r="T119" s="235"/>
      <c r="U119" s="235"/>
      <c r="V119" s="235"/>
      <c r="W119" s="235"/>
      <c r="X119" s="235"/>
      <c r="Y119" s="235"/>
      <c r="Z119" s="235"/>
      <c r="AA119" s="235"/>
    </row>
    <row r="120" s="4" customFormat="1">
      <c r="B120" s="524"/>
      <c r="D120" s="520"/>
      <c r="I120" s="235"/>
      <c r="J120" s="235"/>
      <c r="K120" s="235"/>
      <c r="L120" s="235"/>
      <c r="M120" s="235"/>
      <c r="N120" s="235"/>
      <c r="O120" s="235"/>
      <c r="P120" s="235"/>
      <c r="Q120" s="235"/>
      <c r="R120" s="235"/>
      <c r="S120" s="235"/>
      <c r="T120" s="235"/>
      <c r="U120" s="235"/>
      <c r="V120" s="235"/>
      <c r="W120" s="235"/>
      <c r="X120" s="235"/>
      <c r="Y120" s="235"/>
      <c r="Z120" s="235"/>
      <c r="AA120" s="235"/>
    </row>
    <row r="121" s="4" customFormat="1">
      <c r="B121" s="524"/>
      <c r="D121" s="520"/>
      <c r="I121" s="235"/>
      <c r="J121" s="235"/>
      <c r="K121" s="235"/>
      <c r="L121" s="235"/>
      <c r="M121" s="235"/>
      <c r="N121" s="235"/>
      <c r="O121" s="235"/>
      <c r="P121" s="235"/>
      <c r="Q121" s="235"/>
      <c r="R121" s="235"/>
      <c r="S121" s="235"/>
      <c r="T121" s="235"/>
      <c r="U121" s="235"/>
      <c r="V121" s="235"/>
      <c r="W121" s="235"/>
      <c r="X121" s="235"/>
      <c r="Y121" s="235"/>
      <c r="Z121" s="235"/>
      <c r="AA121" s="235"/>
    </row>
    <row r="122" s="4" customFormat="1">
      <c r="B122" s="524"/>
      <c r="D122" s="520"/>
      <c r="I122" s="235"/>
      <c r="J122" s="235"/>
      <c r="K122" s="235"/>
      <c r="L122" s="235"/>
      <c r="M122" s="235"/>
      <c r="N122" s="235"/>
      <c r="O122" s="235"/>
      <c r="P122" s="235"/>
      <c r="Q122" s="235"/>
      <c r="R122" s="235"/>
      <c r="S122" s="235"/>
      <c r="T122" s="235"/>
      <c r="U122" s="235"/>
      <c r="V122" s="235"/>
      <c r="W122" s="235"/>
      <c r="X122" s="235"/>
      <c r="Y122" s="235"/>
      <c r="Z122" s="235"/>
      <c r="AA122" s="235"/>
    </row>
    <row r="123" s="4" customFormat="1">
      <c r="B123" s="524"/>
      <c r="D123" s="520"/>
      <c r="I123" s="235"/>
      <c r="J123" s="235"/>
      <c r="K123" s="235"/>
      <c r="L123" s="235"/>
      <c r="M123" s="235"/>
      <c r="N123" s="235"/>
      <c r="O123" s="235"/>
      <c r="P123" s="235"/>
      <c r="Q123" s="235"/>
      <c r="R123" s="235"/>
      <c r="S123" s="235"/>
      <c r="T123" s="235"/>
      <c r="U123" s="235"/>
      <c r="V123" s="235"/>
      <c r="W123" s="235"/>
      <c r="X123" s="235"/>
      <c r="Y123" s="235"/>
      <c r="Z123" s="235"/>
      <c r="AA123" s="235"/>
    </row>
    <row r="124" s="4" customFormat="1">
      <c r="B124" s="524"/>
      <c r="D124" s="520"/>
      <c r="I124" s="235"/>
      <c r="J124" s="235"/>
      <c r="K124" s="235"/>
      <c r="L124" s="235"/>
      <c r="M124" s="235"/>
      <c r="N124" s="235"/>
      <c r="O124" s="235"/>
      <c r="P124" s="235"/>
      <c r="Q124" s="235"/>
      <c r="R124" s="235"/>
      <c r="S124" s="235"/>
      <c r="T124" s="235"/>
      <c r="U124" s="235"/>
      <c r="V124" s="235"/>
      <c r="W124" s="235"/>
      <c r="X124" s="235"/>
      <c r="Y124" s="235"/>
      <c r="Z124" s="235"/>
      <c r="AA124" s="235"/>
    </row>
    <row r="125" s="4" customFormat="1">
      <c r="B125" s="524"/>
      <c r="D125" s="520"/>
      <c r="I125" s="235"/>
      <c r="J125" s="235"/>
      <c r="K125" s="235"/>
      <c r="L125" s="235"/>
      <c r="M125" s="235"/>
      <c r="N125" s="235"/>
      <c r="O125" s="235"/>
      <c r="P125" s="235"/>
      <c r="Q125" s="235"/>
      <c r="R125" s="235"/>
      <c r="S125" s="235"/>
      <c r="T125" s="235"/>
      <c r="U125" s="235"/>
      <c r="V125" s="235"/>
      <c r="W125" s="235"/>
      <c r="X125" s="235"/>
      <c r="Y125" s="235"/>
      <c r="Z125" s="235"/>
      <c r="AA125" s="235"/>
    </row>
    <row r="126" s="4" customFormat="1">
      <c r="B126" s="524"/>
      <c r="D126" s="520"/>
      <c r="I126" s="235"/>
      <c r="J126" s="235"/>
      <c r="K126" s="235"/>
      <c r="L126" s="235"/>
      <c r="M126" s="235"/>
      <c r="N126" s="235"/>
      <c r="O126" s="235"/>
      <c r="P126" s="235"/>
      <c r="Q126" s="235"/>
      <c r="R126" s="235"/>
      <c r="S126" s="235"/>
      <c r="T126" s="235"/>
      <c r="U126" s="235"/>
      <c r="V126" s="235"/>
      <c r="W126" s="235"/>
      <c r="X126" s="235"/>
      <c r="Y126" s="235"/>
      <c r="Z126" s="235"/>
      <c r="AA126" s="235"/>
    </row>
    <row r="127" s="4" customFormat="1">
      <c r="B127" s="524"/>
      <c r="D127" s="520"/>
      <c r="I127" s="235"/>
      <c r="J127" s="235"/>
      <c r="K127" s="235"/>
      <c r="L127" s="235"/>
      <c r="M127" s="235"/>
      <c r="N127" s="235"/>
      <c r="O127" s="235"/>
      <c r="P127" s="235"/>
      <c r="Q127" s="235"/>
      <c r="R127" s="235"/>
      <c r="S127" s="235"/>
      <c r="T127" s="235"/>
      <c r="U127" s="235"/>
      <c r="V127" s="235"/>
      <c r="W127" s="235"/>
      <c r="X127" s="235"/>
      <c r="Y127" s="235"/>
      <c r="Z127" s="235"/>
      <c r="AA127" s="235"/>
    </row>
    <row r="128" s="4" customFormat="1">
      <c r="B128" s="524"/>
      <c r="D128" s="520"/>
      <c r="I128" s="235"/>
      <c r="J128" s="235"/>
      <c r="K128" s="235"/>
      <c r="L128" s="235"/>
      <c r="M128" s="235"/>
      <c r="N128" s="235"/>
      <c r="O128" s="235"/>
      <c r="P128" s="235"/>
      <c r="Q128" s="235"/>
      <c r="R128" s="235"/>
      <c r="S128" s="235"/>
      <c r="T128" s="235"/>
      <c r="U128" s="235"/>
      <c r="V128" s="235"/>
      <c r="W128" s="235"/>
      <c r="X128" s="235"/>
      <c r="Y128" s="235"/>
      <c r="Z128" s="235"/>
      <c r="AA128" s="235"/>
    </row>
    <row r="129" s="4" customFormat="1">
      <c r="B129" s="524"/>
      <c r="D129" s="520"/>
      <c r="I129" s="235"/>
      <c r="J129" s="235"/>
      <c r="K129" s="235"/>
      <c r="L129" s="235"/>
      <c r="M129" s="235"/>
      <c r="N129" s="235"/>
      <c r="O129" s="235"/>
      <c r="P129" s="235"/>
      <c r="Q129" s="235"/>
      <c r="R129" s="235"/>
      <c r="S129" s="235"/>
      <c r="T129" s="235"/>
      <c r="U129" s="235"/>
      <c r="V129" s="235"/>
      <c r="W129" s="235"/>
      <c r="X129" s="235"/>
      <c r="Y129" s="235"/>
      <c r="Z129" s="235"/>
      <c r="AA129" s="235"/>
    </row>
    <row r="130" s="4" customFormat="1">
      <c r="B130" s="524"/>
      <c r="D130" s="520"/>
      <c r="I130" s="235"/>
      <c r="J130" s="235"/>
      <c r="K130" s="235"/>
      <c r="L130" s="235"/>
      <c r="M130" s="235"/>
      <c r="N130" s="235"/>
      <c r="O130" s="235"/>
      <c r="P130" s="235"/>
      <c r="Q130" s="235"/>
      <c r="R130" s="235"/>
      <c r="S130" s="235"/>
      <c r="T130" s="235"/>
      <c r="U130" s="235"/>
      <c r="V130" s="235"/>
      <c r="W130" s="235"/>
      <c r="X130" s="235"/>
      <c r="Y130" s="235"/>
      <c r="Z130" s="235"/>
      <c r="AA130" s="235"/>
    </row>
    <row r="131">
      <c r="B131" s="525"/>
      <c r="D131" s="521"/>
    </row>
    <row r="132">
      <c r="B132" s="525"/>
    </row>
    <row r="133">
      <c r="B133" s="525"/>
    </row>
    <row r="134">
      <c r="B134" s="525"/>
    </row>
    <row r="135">
      <c r="B135" s="525"/>
    </row>
    <row r="136">
      <c r="B136" s="525"/>
    </row>
    <row r="137">
      <c r="B137" s="525"/>
    </row>
    <row r="138">
      <c r="B138" s="525"/>
    </row>
    <row r="139">
      <c r="B139" s="525"/>
    </row>
    <row r="140">
      <c r="B140" s="525"/>
    </row>
    <row r="141">
      <c r="B141" s="525"/>
    </row>
    <row r="142">
      <c r="B142" s="525"/>
    </row>
    <row r="143">
      <c r="B143" s="525"/>
    </row>
    <row r="144">
      <c r="B144" s="525"/>
    </row>
    <row r="145">
      <c r="B145" s="525"/>
    </row>
    <row r="146">
      <c r="B146" s="525"/>
    </row>
    <row r="147">
      <c r="B147" s="525"/>
    </row>
    <row r="148">
      <c r="B148" s="525"/>
    </row>
    <row r="149">
      <c r="B149" s="525"/>
    </row>
    <row r="150">
      <c r="B150" s="525"/>
    </row>
    <row r="151">
      <c r="B151" s="525"/>
    </row>
    <row r="152">
      <c r="B152" s="525"/>
    </row>
    <row r="153">
      <c r="B153" s="525"/>
    </row>
  </sheetData>
  <sheetProtection sheet="1" objects="1" scenarios="1"/>
  <mergeCells count="3">
    <mergeCell ref="B62:F62"/>
    <mergeCell ref="B5:E5"/>
    <mergeCell ref="B4:E4"/>
  </mergeCells>
  <phoneticPr fontId="0" type="noConversion"/>
  <printOptions horizontalCentered="1" verticalCentered="1"/>
  <pageMargins left="0.25" right="0.25" top="0.25" bottom="0.25" header="0" footer="0"/>
  <pageSetup scale="57" fitToWidth="1" fitToHeight="1" orientation="landscape" r:id="rId1"/>
  <headerFooter alignWithMargins="0">
    <oddHeader/>
    <oddFooter/>
  </headerFooter>
  <rowBreaks count="1" manualBreakCount="1">
    <brk id="38" max="16383" man="1"/>
  </rowBreaks>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20" t="s">
        <v>127</v>
      </c>
      <c r="C1" s="103"/>
      <c r="D1" s="103"/>
      <c r="E1" s="103"/>
      <c r="F1" s="103"/>
      <c r="G1" s="103"/>
      <c r="H1" s="103"/>
      <c r="I1" s="104"/>
      <c r="J1" s="103"/>
      <c r="K1" s="103"/>
      <c r="L1" s="103"/>
      <c r="M1" s="13"/>
      <c r="N1" s="51"/>
      <c r="O1" s="2"/>
      <c r="P1" s="2"/>
      <c r="Q1" s="2"/>
      <c r="R1" s="22"/>
      <c r="S1" s="51"/>
      <c r="T1" s="2"/>
      <c r="U1" s="2"/>
      <c r="V1" s="236"/>
    </row>
    <row r="2" ht="21.75" customHeight="1">
      <c r="B2" s="935" t="s">
        <v>170</v>
      </c>
      <c r="C2" s="935"/>
      <c r="D2" s="935"/>
      <c r="E2" s="935"/>
      <c r="F2" s="935"/>
      <c r="G2" s="935"/>
      <c r="H2" s="935"/>
      <c r="I2" s="935"/>
      <c r="J2" s="935"/>
      <c r="K2" s="935"/>
      <c r="L2" s="935"/>
      <c r="M2" s="935"/>
      <c r="N2" s="935"/>
      <c r="O2" s="935"/>
      <c r="P2" s="935"/>
      <c r="Q2" s="935"/>
      <c r="R2" s="935"/>
      <c r="S2" s="935"/>
      <c r="T2" s="2"/>
      <c r="U2" s="2"/>
    </row>
    <row r="3" ht="19.5" customHeight="1">
      <c r="A3"/>
      <c r="B3" s="115" t="s">
        <v>171</v>
      </c>
      <c r="C3" s="115"/>
      <c r="D3" s="115"/>
      <c r="E3" s="115"/>
      <c r="F3" s="115"/>
      <c r="G3" s="115"/>
      <c r="H3" s="115"/>
      <c r="I3" s="115"/>
      <c r="J3" s="115"/>
      <c r="K3" s="115"/>
      <c r="L3" s="115"/>
      <c r="M3" s="115"/>
      <c r="N3" s="115"/>
      <c r="O3" s="115"/>
      <c r="P3" s="115"/>
      <c r="Q3" s="115"/>
      <c r="R3" s="115"/>
      <c r="S3" s="115"/>
      <c r="T3" s="2"/>
      <c r="U3" s="2"/>
    </row>
    <row r="4" ht="18.75" customHeight="1">
      <c r="A4"/>
      <c r="B4" s="936" t="s">
        <v>172</v>
      </c>
      <c r="C4" s="936"/>
      <c r="D4" s="936"/>
      <c r="E4" s="936"/>
      <c r="F4" s="936"/>
      <c r="G4" s="936"/>
      <c r="H4" s="936"/>
      <c r="I4" s="936"/>
      <c r="J4" s="936"/>
      <c r="K4" s="936"/>
      <c r="L4" s="936"/>
      <c r="M4" s="936"/>
      <c r="N4" s="936"/>
      <c r="O4" s="936"/>
      <c r="P4" s="936"/>
      <c r="Q4" s="200"/>
      <c r="R4" s="203"/>
      <c r="S4" s="200"/>
      <c r="T4" s="222"/>
      <c r="U4" s="2"/>
    </row>
    <row r="5" ht="12" customHeight="1">
      <c r="A5"/>
      <c r="B5" s="129"/>
      <c r="D5" s="13"/>
      <c r="E5" s="13"/>
      <c r="F5" s="2"/>
      <c r="G5" s="2"/>
      <c r="H5" s="2"/>
      <c r="I5" s="2"/>
      <c r="J5" s="2"/>
      <c r="K5" s="2"/>
      <c r="L5" s="2"/>
      <c r="M5" s="2"/>
      <c r="N5" s="9"/>
      <c r="O5" s="2"/>
      <c r="P5" s="2"/>
      <c r="Q5" s="2"/>
      <c r="R5" s="2"/>
      <c r="S5" s="2"/>
      <c r="T5" s="2"/>
      <c r="U5" s="2"/>
    </row>
    <row r="6" ht="17.1" customHeight="1">
      <c r="B6" s="699" t="s">
        <v>173</v>
      </c>
      <c r="C6" s="937"/>
      <c r="D6" s="937"/>
      <c r="E6" s="937"/>
      <c r="F6" s="937"/>
      <c r="G6" s="937"/>
      <c r="H6" s="937"/>
      <c r="I6" s="937"/>
      <c r="J6" s="937"/>
      <c r="K6" s="937"/>
      <c r="L6" s="937"/>
      <c r="M6" s="937"/>
      <c r="N6" s="937"/>
      <c r="O6" s="937"/>
      <c r="P6" s="937"/>
      <c r="Q6" s="937"/>
      <c r="R6" s="937"/>
      <c r="S6" s="937"/>
      <c r="T6" s="938"/>
      <c r="U6" s="2"/>
    </row>
    <row r="7">
      <c r="B7" s="2"/>
      <c r="C7" s="2"/>
      <c r="D7" s="2"/>
      <c r="E7" s="2"/>
      <c r="F7" s="934" t="s">
        <v>22</v>
      </c>
      <c r="G7" s="934"/>
      <c r="H7" s="934"/>
      <c r="I7" s="934"/>
      <c r="J7" s="934"/>
      <c r="K7" s="934" t="s">
        <v>9</v>
      </c>
      <c r="L7" s="934"/>
      <c r="M7" s="934"/>
      <c r="N7" s="934"/>
      <c r="O7" s="934"/>
      <c r="P7" s="934" t="s">
        <v>10</v>
      </c>
      <c r="Q7" s="934"/>
      <c r="R7" s="934"/>
      <c r="S7" s="934"/>
      <c r="T7" s="934"/>
      <c r="U7" s="2"/>
    </row>
    <row r="8" ht="20.1" customHeight="1">
      <c r="B8" s="2"/>
      <c r="C8" s="2"/>
      <c r="D8" s="2"/>
      <c r="E8" s="2"/>
      <c r="F8" s="934"/>
      <c r="G8" s="934"/>
      <c r="H8" s="934"/>
      <c r="I8" s="934"/>
      <c r="J8" s="934"/>
      <c r="K8" s="934"/>
      <c r="L8" s="934"/>
      <c r="M8" s="934"/>
      <c r="N8" s="934"/>
      <c r="O8" s="934"/>
      <c r="P8" s="934"/>
      <c r="Q8" s="934"/>
      <c r="R8" s="934"/>
      <c r="S8" s="934"/>
      <c r="T8" s="934"/>
      <c r="U8" s="2"/>
    </row>
    <row r="9" ht="20.1" customHeight="1">
      <c r="B9" s="2"/>
      <c r="C9" s="2"/>
      <c r="D9" s="2"/>
      <c r="E9" s="2"/>
      <c r="F9" s="2"/>
      <c r="G9" s="22" t="s">
        <v>25</v>
      </c>
      <c r="H9" s="22" t="s">
        <v>15</v>
      </c>
      <c r="I9" s="593" t="s">
        <v>97</v>
      </c>
      <c r="J9" s="3"/>
      <c r="K9" s="3"/>
      <c r="L9" s="22" t="s">
        <v>25</v>
      </c>
      <c r="M9" s="22" t="s">
        <v>15</v>
      </c>
      <c r="N9" s="593" t="s">
        <v>98</v>
      </c>
      <c r="O9" s="2"/>
      <c r="P9" s="2"/>
      <c r="Q9" s="22" t="s">
        <v>25</v>
      </c>
      <c r="R9" s="22" t="s">
        <v>15</v>
      </c>
      <c r="S9" s="593" t="s">
        <v>99</v>
      </c>
      <c r="T9" s="2"/>
      <c r="U9" s="2"/>
    </row>
    <row r="10" ht="15" customHeight="1">
      <c r="B10" s="2"/>
      <c r="C10" s="109"/>
      <c r="D10" s="109"/>
      <c r="E10" s="109"/>
      <c r="F10" s="165"/>
      <c r="G10" s="185"/>
      <c r="H10" s="166"/>
      <c r="I10" s="176"/>
      <c r="J10" s="167"/>
      <c r="K10" s="165"/>
      <c r="L10" s="185"/>
      <c r="M10" s="168"/>
      <c r="N10" s="176"/>
      <c r="O10" s="167"/>
      <c r="P10" s="142"/>
      <c r="Q10" s="187"/>
      <c r="R10" s="168"/>
      <c r="S10" s="176"/>
      <c r="T10" s="167"/>
      <c r="U10" s="2"/>
    </row>
    <row r="11" ht="20.1" customHeight="1">
      <c r="B11" s="2"/>
      <c r="C11" s="180"/>
      <c r="D11" s="105" t="s">
        <v>42</v>
      </c>
      <c r="E11" s="180"/>
      <c r="F11" s="164"/>
      <c r="G11" s="193">
        <v>39.264654873395768296912937910</v>
      </c>
      <c r="H11" s="193">
        <v>58.929674947472500308985292300</v>
      </c>
      <c r="I11" s="193">
        <v>66.629681749265291578949342570</v>
      </c>
      <c r="J11" s="194"/>
      <c r="K11" s="194"/>
      <c r="L11" s="195">
        <v>101.51461572438162544169611307</v>
      </c>
      <c r="M11" s="195">
        <v>94.04999790268456375838926174</v>
      </c>
      <c r="N11" s="193">
        <v>107.93686123141033072627855331</v>
      </c>
      <c r="O11" s="194"/>
      <c r="P11" s="193"/>
      <c r="Q11" s="195">
        <v>39.859363510232396808879639265</v>
      </c>
      <c r="R11" s="195">
        <v>55.423358052156717340254603881</v>
      </c>
      <c r="S11" s="193">
        <v>71.917987128624013593218051080</v>
      </c>
      <c r="T11" s="141"/>
      <c r="U11" s="2"/>
    </row>
    <row r="12" ht="15" customHeight="1">
      <c r="B12" s="2"/>
      <c r="C12" s="109"/>
      <c r="D12" s="109"/>
      <c r="E12" s="109"/>
      <c r="F12" s="165"/>
      <c r="G12" s="193"/>
      <c r="H12" s="193"/>
      <c r="I12" s="193"/>
      <c r="J12" s="194"/>
      <c r="K12" s="194"/>
      <c r="L12" s="195"/>
      <c r="M12" s="195"/>
      <c r="N12" s="193"/>
      <c r="O12" s="194"/>
      <c r="P12" s="193"/>
      <c r="Q12" s="195"/>
      <c r="R12" s="195"/>
      <c r="S12" s="193"/>
      <c r="T12" s="167"/>
      <c r="U12" s="2"/>
    </row>
    <row r="13" ht="20.1" customHeight="1">
      <c r="B13" s="111"/>
      <c r="C13" s="188"/>
      <c r="D13" s="189" t="s">
        <v>58</v>
      </c>
      <c r="E13" s="188"/>
      <c r="F13" s="169"/>
      <c r="G13" s="196">
        <v>37.999469003053232443913447500</v>
      </c>
      <c r="H13" s="196">
        <v>53.196789808113775759582485850</v>
      </c>
      <c r="I13" s="196">
        <v>71.431883653376486014932337390</v>
      </c>
      <c r="J13" s="197"/>
      <c r="K13" s="197"/>
      <c r="L13" s="198">
        <v>108.52796855895196506550218341</v>
      </c>
      <c r="M13" s="198">
        <v>101.97502326684252645306618453</v>
      </c>
      <c r="N13" s="196">
        <v>106.42602971024318160592459478</v>
      </c>
      <c r="O13" s="197"/>
      <c r="P13" s="196"/>
      <c r="Q13" s="198">
        <v>41.240051772202309836718438869</v>
      </c>
      <c r="R13" s="198">
        <v>54.247438784037336612900682718</v>
      </c>
      <c r="S13" s="196">
        <v>76.022117719529735055147334400</v>
      </c>
      <c r="T13" s="170"/>
      <c r="U13" s="2"/>
    </row>
    <row r="14" ht="15" customHeight="1">
      <c r="B14" s="2"/>
      <c r="C14" s="180"/>
      <c r="D14" s="105"/>
      <c r="E14" s="105"/>
      <c r="F14" s="137"/>
      <c r="G14" s="193"/>
      <c r="H14" s="193"/>
      <c r="I14" s="193"/>
      <c r="J14" s="194"/>
      <c r="K14" s="194"/>
      <c r="L14" s="195"/>
      <c r="M14" s="195"/>
      <c r="N14" s="193"/>
      <c r="O14" s="194"/>
      <c r="P14" s="193"/>
      <c r="Q14" s="195"/>
      <c r="R14" s="195"/>
      <c r="S14" s="193"/>
      <c r="T14" s="167"/>
      <c r="U14" s="2"/>
    </row>
    <row r="15" ht="20.1" customHeight="1">
      <c r="B15" s="2"/>
      <c r="C15" s="180"/>
      <c r="D15" s="105" t="s">
        <v>44</v>
      </c>
      <c r="E15" s="180"/>
      <c r="F15" s="137"/>
      <c r="G15" s="193">
        <v>38.896680691912108461898083220</v>
      </c>
      <c r="H15" s="193">
        <v>56.251041146093619856738297520</v>
      </c>
      <c r="I15" s="193">
        <v>69.148374677877220187835216290</v>
      </c>
      <c r="J15" s="194"/>
      <c r="K15" s="194"/>
      <c r="L15" s="195">
        <v>101.89845552884615384615384615</v>
      </c>
      <c r="M15" s="195">
        <v>102.02068705115865847338417117</v>
      </c>
      <c r="N15" s="193">
        <v>99.88018947344228022670676455</v>
      </c>
      <c r="O15" s="194"/>
      <c r="P15" s="193"/>
      <c r="Q15" s="195">
        <v>39.635116877045348293595137915</v>
      </c>
      <c r="R15" s="195">
        <v>57.387698650674662668665667166</v>
      </c>
      <c r="S15" s="193">
        <v>69.065527646074878104687011640</v>
      </c>
      <c r="T15" s="141"/>
      <c r="U15" s="2"/>
    </row>
    <row r="16" ht="15" customHeight="1">
      <c r="B16" s="2"/>
      <c r="C16" s="180"/>
      <c r="D16" s="105"/>
      <c r="E16" s="180"/>
      <c r="F16" s="137"/>
      <c r="G16" s="193"/>
      <c r="H16" s="193"/>
      <c r="I16" s="193"/>
      <c r="J16" s="194"/>
      <c r="K16" s="194"/>
      <c r="L16" s="195"/>
      <c r="M16" s="195"/>
      <c r="N16" s="193"/>
      <c r="O16" s="194"/>
      <c r="P16" s="193"/>
      <c r="Q16" s="195"/>
      <c r="R16" s="195"/>
      <c r="S16" s="193"/>
      <c r="T16" s="167"/>
      <c r="U16" s="2"/>
    </row>
    <row r="17" ht="20.1" customHeight="1">
      <c r="B17" s="111"/>
      <c r="C17" s="188"/>
      <c r="D17" s="189" t="s">
        <v>45</v>
      </c>
      <c r="E17" s="188"/>
      <c r="F17" s="169"/>
      <c r="G17" s="196">
        <v>38.014435115628222124024156720</v>
      </c>
      <c r="H17" s="196">
        <v>49.810003673962105705138298430</v>
      </c>
      <c r="I17" s="196">
        <v>76.318876353488666727264688140</v>
      </c>
      <c r="J17" s="197"/>
      <c r="K17" s="197"/>
      <c r="L17" s="198">
        <v>110.80437616243025418474891507</v>
      </c>
      <c r="M17" s="198">
        <v>102.77677007049302972508772115</v>
      </c>
      <c r="N17" s="196">
        <v>107.81072034704310744546994843</v>
      </c>
      <c r="O17" s="197"/>
      <c r="P17" s="196"/>
      <c r="Q17" s="198">
        <v>42.121657681543673589630284283</v>
      </c>
      <c r="R17" s="198">
        <v>51.193112948092163963680260326</v>
      </c>
      <c r="S17" s="196">
        <v>82.27993035752085919288325014</v>
      </c>
      <c r="T17" s="170"/>
      <c r="U17" s="2"/>
    </row>
    <row r="18" ht="15" customHeight="1">
      <c r="B18" s="2"/>
      <c r="C18" s="105"/>
      <c r="D18" s="105"/>
      <c r="E18" s="105"/>
      <c r="F18" s="137"/>
      <c r="G18" s="191"/>
      <c r="H18" s="192"/>
      <c r="I18" s="187"/>
      <c r="J18" s="141"/>
      <c r="K18" s="137"/>
      <c r="L18" s="191"/>
      <c r="M18" s="192"/>
      <c r="N18" s="187"/>
      <c r="O18" s="141"/>
      <c r="P18" s="190"/>
      <c r="Q18" s="141"/>
      <c r="R18" s="192"/>
      <c r="S18" s="187"/>
      <c r="T18" s="141"/>
      <c r="U18" s="2"/>
    </row>
    <row r="19" ht="15" customHeight="1">
      <c r="B19" s="2"/>
      <c r="C19" s="105"/>
      <c r="D19" s="105"/>
      <c r="E19" s="105"/>
      <c r="F19" s="137"/>
      <c r="G19" s="138"/>
      <c r="H19" s="139"/>
      <c r="I19" s="140"/>
      <c r="J19" s="141"/>
      <c r="K19" s="137"/>
      <c r="L19" s="138"/>
      <c r="M19" s="139"/>
      <c r="N19" s="140"/>
      <c r="O19" s="141"/>
      <c r="P19" s="142"/>
      <c r="Q19" s="141"/>
      <c r="R19" s="157"/>
      <c r="S19" s="140"/>
      <c r="T19" s="141"/>
      <c r="U19" s="2"/>
    </row>
    <row r="20" ht="17.1" customHeight="1">
      <c r="B20" s="699" t="s">
        <v>174</v>
      </c>
      <c r="C20" s="937"/>
      <c r="D20" s="937"/>
      <c r="E20" s="937"/>
      <c r="F20" s="937"/>
      <c r="G20" s="937"/>
      <c r="H20" s="937"/>
      <c r="I20" s="937"/>
      <c r="J20" s="937"/>
      <c r="K20" s="937"/>
      <c r="L20" s="937"/>
      <c r="M20" s="937"/>
      <c r="N20" s="937"/>
      <c r="O20" s="937"/>
      <c r="P20" s="937"/>
      <c r="Q20" s="937"/>
      <c r="R20" s="937"/>
      <c r="S20" s="937"/>
      <c r="T20" s="938"/>
      <c r="U20" s="2"/>
    </row>
    <row r="21">
      <c r="B21" s="2"/>
      <c r="C21" s="2"/>
      <c r="D21" s="2"/>
      <c r="E21" s="2"/>
      <c r="F21" s="934" t="s">
        <v>72</v>
      </c>
      <c r="G21" s="934"/>
      <c r="H21" s="934"/>
      <c r="I21" s="934"/>
      <c r="J21" s="934"/>
      <c r="K21" s="934" t="s">
        <v>9</v>
      </c>
      <c r="L21" s="934"/>
      <c r="M21" s="934"/>
      <c r="N21" s="934"/>
      <c r="O21" s="934"/>
      <c r="P21" s="934" t="s">
        <v>10</v>
      </c>
      <c r="Q21" s="934"/>
      <c r="R21" s="934"/>
      <c r="S21" s="934"/>
      <c r="T21" s="934"/>
      <c r="U21" s="2"/>
    </row>
    <row r="22" ht="20.1" customHeight="1">
      <c r="B22" s="2"/>
      <c r="C22" s="2"/>
      <c r="D22" s="2"/>
      <c r="E22" s="2"/>
      <c r="F22" s="934"/>
      <c r="G22" s="934"/>
      <c r="H22" s="934"/>
      <c r="I22" s="934"/>
      <c r="J22" s="934"/>
      <c r="K22" s="934"/>
      <c r="L22" s="934"/>
      <c r="M22" s="934"/>
      <c r="N22" s="934"/>
      <c r="O22" s="934"/>
      <c r="P22" s="934"/>
      <c r="Q22" s="934"/>
      <c r="R22" s="934"/>
      <c r="S22" s="934"/>
      <c r="T22" s="934"/>
      <c r="U22" s="2"/>
    </row>
    <row r="23" ht="20.1" customHeight="1">
      <c r="B23" s="2"/>
      <c r="C23" s="2"/>
      <c r="D23" s="2"/>
      <c r="E23" s="2"/>
      <c r="F23" s="2"/>
      <c r="G23" s="22" t="s">
        <v>25</v>
      </c>
      <c r="H23" s="22" t="s">
        <v>15</v>
      </c>
      <c r="I23" s="593" t="s">
        <v>97</v>
      </c>
      <c r="J23" s="3"/>
      <c r="K23" s="3"/>
      <c r="L23" s="22" t="s">
        <v>25</v>
      </c>
      <c r="M23" s="22" t="s">
        <v>15</v>
      </c>
      <c r="N23" s="593" t="s">
        <v>98</v>
      </c>
      <c r="O23" s="2"/>
      <c r="P23" s="2"/>
      <c r="Q23" s="22" t="s">
        <v>25</v>
      </c>
      <c r="R23" s="22" t="s">
        <v>15</v>
      </c>
      <c r="S23" s="593" t="s">
        <v>99</v>
      </c>
      <c r="T23" s="2"/>
      <c r="U23" s="2"/>
    </row>
    <row r="24" ht="15" customHeight="1">
      <c r="B24" s="2"/>
      <c r="C24" s="109"/>
      <c r="D24" s="109"/>
      <c r="E24" s="109"/>
      <c r="F24" s="165"/>
      <c r="G24" s="185"/>
      <c r="H24" s="166"/>
      <c r="I24" s="176"/>
      <c r="J24" s="167"/>
      <c r="K24" s="165"/>
      <c r="L24" s="185"/>
      <c r="M24" s="168"/>
      <c r="N24" s="176"/>
      <c r="O24" s="167"/>
      <c r="P24" s="142"/>
      <c r="Q24" s="187"/>
      <c r="R24" s="168"/>
      <c r="S24" s="176"/>
      <c r="T24" s="167"/>
      <c r="U24" s="2"/>
    </row>
    <row r="25" ht="20.1" customHeight="1">
      <c r="B25" s="2"/>
      <c r="C25" s="180"/>
      <c r="D25" s="105" t="s">
        <v>42</v>
      </c>
      <c r="E25" s="180"/>
      <c r="F25" s="164"/>
      <c r="G25" s="193">
        <v>14.285714285785130165140304960</v>
      </c>
      <c r="H25" s="193">
        <v>57.437675417009656995540994350</v>
      </c>
      <c r="I25" s="193">
        <v>-27.40891658689483165252280100</v>
      </c>
      <c r="J25" s="193"/>
      <c r="K25" s="193"/>
      <c r="L25" s="193">
        <v>-4.7333158259348886703761159500</v>
      </c>
      <c r="M25" s="193">
        <v>-7.8468567168646061840479345800</v>
      </c>
      <c r="N25" s="193">
        <v>3.3786594574183002909012282600</v>
      </c>
      <c r="O25" s="193"/>
      <c r="P25" s="193"/>
      <c r="Q25" s="193">
        <v>8.876210484540829558418880230</v>
      </c>
      <c r="R25" s="193">
        <v>45.083766608546528189186739120</v>
      </c>
      <c r="S25" s="193">
        <v>-24.956311081774054841755019590</v>
      </c>
      <c r="T25" s="141"/>
      <c r="U25" s="2"/>
    </row>
    <row r="26" ht="15" customHeight="1">
      <c r="B26" s="2"/>
      <c r="C26" s="109"/>
      <c r="D26" s="109"/>
      <c r="E26" s="109"/>
      <c r="F26" s="165"/>
      <c r="G26" s="193"/>
      <c r="H26" s="193"/>
      <c r="I26" s="193"/>
      <c r="J26" s="193"/>
      <c r="K26" s="193"/>
      <c r="L26" s="193"/>
      <c r="M26" s="193"/>
      <c r="N26" s="193"/>
      <c r="O26" s="193"/>
      <c r="P26" s="193"/>
      <c r="Q26" s="193"/>
      <c r="R26" s="193"/>
      <c r="S26" s="193"/>
      <c r="T26" s="167"/>
      <c r="U26" s="2"/>
    </row>
    <row r="27" ht="20.1" customHeight="1">
      <c r="B27" s="111"/>
      <c r="C27" s="188"/>
      <c r="D27" s="189" t="s">
        <v>58</v>
      </c>
      <c r="E27" s="188"/>
      <c r="F27" s="169"/>
      <c r="G27" s="196">
        <v>-2.0966278038798965281830471200</v>
      </c>
      <c r="H27" s="196">
        <v>25.208717239838148280029830370</v>
      </c>
      <c r="I27" s="196">
        <v>-21.807862619817222347050587360</v>
      </c>
      <c r="J27" s="196"/>
      <c r="K27" s="196"/>
      <c r="L27" s="196">
        <v>-4.0120773009750611976113412500</v>
      </c>
      <c r="M27" s="196">
        <v>-6.6600292996185307182308653200</v>
      </c>
      <c r="N27" s="196">
        <v>2.8368896826905904069643157300</v>
      </c>
      <c r="O27" s="196"/>
      <c r="P27" s="196"/>
      <c r="Q27" s="196">
        <v>-6.0245867766983078444289619800</v>
      </c>
      <c r="R27" s="196">
        <v>16.869779986045055945029385350</v>
      </c>
      <c r="S27" s="196">
        <v>-19.589637941821752861808713470</v>
      </c>
      <c r="T27" s="170"/>
      <c r="U27" s="2"/>
    </row>
    <row r="28" ht="15" customHeight="1">
      <c r="B28" s="2"/>
      <c r="C28" s="180"/>
      <c r="D28" s="105"/>
      <c r="E28" s="105"/>
      <c r="F28" s="137"/>
      <c r="G28" s="193"/>
      <c r="H28" s="193"/>
      <c r="I28" s="193"/>
      <c r="J28" s="193"/>
      <c r="K28" s="193"/>
      <c r="L28" s="193"/>
      <c r="M28" s="193"/>
      <c r="N28" s="193"/>
      <c r="O28" s="193"/>
      <c r="P28" s="193"/>
      <c r="Q28" s="193"/>
      <c r="R28" s="193"/>
      <c r="S28" s="193"/>
      <c r="T28" s="167"/>
      <c r="U28" s="2"/>
    </row>
    <row r="29" ht="20.1" customHeight="1">
      <c r="B29" s="2"/>
      <c r="C29" s="180"/>
      <c r="D29" s="105" t="s">
        <v>44</v>
      </c>
      <c r="E29" s="180"/>
      <c r="F29" s="137"/>
      <c r="G29" s="193">
        <v>10.344827586348852099149546940</v>
      </c>
      <c r="H29" s="193">
        <v>31.091376716798693861707880460</v>
      </c>
      <c r="I29" s="193">
        <v>-15.826021245775912350437672480</v>
      </c>
      <c r="J29" s="193"/>
      <c r="K29" s="193"/>
      <c r="L29" s="193">
        <v>-6.048783201277223786715798100</v>
      </c>
      <c r="M29" s="193">
        <v>-4.8456162474789561730113265700</v>
      </c>
      <c r="N29" s="193">
        <v>-1.2644367042971375634778556100</v>
      </c>
      <c r="O29" s="193"/>
      <c r="P29" s="193"/>
      <c r="Q29" s="193">
        <v>3.6703081915240987877239274800</v>
      </c>
      <c r="R29" s="193">
        <v>24.739191667326638356319576530</v>
      </c>
      <c r="S29" s="193">
        <v>-16.890347928379088460978751320</v>
      </c>
      <c r="T29" s="141"/>
      <c r="U29" s="2"/>
    </row>
    <row r="30" ht="15" customHeight="1">
      <c r="B30" s="2"/>
      <c r="C30" s="180"/>
      <c r="D30" s="105"/>
      <c r="E30" s="180"/>
      <c r="F30" s="137"/>
      <c r="G30" s="193"/>
      <c r="H30" s="193"/>
      <c r="I30" s="193"/>
      <c r="J30" s="193"/>
      <c r="K30" s="193"/>
      <c r="L30" s="193"/>
      <c r="M30" s="193"/>
      <c r="N30" s="193"/>
      <c r="O30" s="193"/>
      <c r="P30" s="193"/>
      <c r="Q30" s="193"/>
      <c r="R30" s="193"/>
      <c r="S30" s="193"/>
      <c r="T30" s="167"/>
      <c r="U30" s="2"/>
    </row>
    <row r="31" ht="20.1" customHeight="1">
      <c r="B31" s="111"/>
      <c r="C31" s="188"/>
      <c r="D31" s="189" t="s">
        <v>45</v>
      </c>
      <c r="E31" s="188"/>
      <c r="F31" s="169"/>
      <c r="G31" s="196">
        <v>-9.066703505700466539787648400</v>
      </c>
      <c r="H31" s="196">
        <v>17.85179174373491940666633100</v>
      </c>
      <c r="I31" s="196">
        <v>-22.840972420722808358569020570</v>
      </c>
      <c r="J31" s="196"/>
      <c r="K31" s="196"/>
      <c r="L31" s="196">
        <v>-1.5621994832293909964744090100</v>
      </c>
      <c r="M31" s="196">
        <v>-4.8676205202692719948402321300</v>
      </c>
      <c r="N31" s="196">
        <v>3.474548891867458379815296400</v>
      </c>
      <c r="O31" s="196"/>
      <c r="P31" s="196"/>
      <c r="Q31" s="196">
        <v>-10.487262993585747320588677520</v>
      </c>
      <c r="R31" s="196">
        <v>12.115213745257264124347066370</v>
      </c>
      <c r="S31" s="196">
        <v>-20.160044282829257518999985950</v>
      </c>
      <c r="T31" s="170"/>
      <c r="U31" s="2"/>
    </row>
    <row r="32" ht="15" customHeight="1">
      <c r="B32" s="2"/>
      <c r="C32" s="105"/>
      <c r="D32" s="105"/>
      <c r="E32" s="105"/>
      <c r="F32" s="137"/>
      <c r="G32" s="191"/>
      <c r="H32" s="192"/>
      <c r="I32" s="187"/>
      <c r="J32" s="141"/>
      <c r="K32" s="137"/>
      <c r="L32" s="191"/>
      <c r="M32" s="192"/>
      <c r="N32" s="187"/>
      <c r="O32" s="141"/>
      <c r="P32" s="190"/>
      <c r="Q32" s="141"/>
      <c r="R32" s="192"/>
      <c r="S32" s="187"/>
      <c r="T32" s="141"/>
      <c r="U32" s="2"/>
    </row>
    <row r="33" ht="15" customHeight="1">
      <c r="B33" s="2"/>
      <c r="C33" s="105"/>
      <c r="D33" s="34"/>
      <c r="E33" s="34"/>
      <c r="F33" s="137"/>
      <c r="G33" s="138"/>
      <c r="H33" s="139"/>
      <c r="I33" s="140"/>
      <c r="J33" s="141"/>
      <c r="K33" s="137"/>
      <c r="L33" s="138"/>
      <c r="M33" s="139"/>
      <c r="N33" s="140"/>
      <c r="O33" s="141"/>
      <c r="P33" s="142"/>
      <c r="Q33" s="141"/>
      <c r="R33" s="139"/>
      <c r="S33" s="140"/>
      <c r="T33" s="141"/>
      <c r="U33" s="2"/>
    </row>
    <row r="34" ht="39.95" customHeight="1">
      <c r="B34" s="933" t="s">
        <v>126</v>
      </c>
      <c r="C34" s="933"/>
      <c r="D34" s="933"/>
      <c r="E34" s="933"/>
      <c r="F34" s="933"/>
      <c r="G34" s="933"/>
      <c r="H34" s="933"/>
      <c r="I34" s="933"/>
      <c r="J34" s="933"/>
      <c r="K34" s="933"/>
      <c r="L34" s="933"/>
      <c r="M34" s="933"/>
      <c r="N34" s="933"/>
      <c r="O34" s="933"/>
      <c r="P34" s="933"/>
      <c r="Q34" s="933"/>
      <c r="R34" s="933"/>
      <c r="S34" s="933"/>
      <c r="T34" s="933"/>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129</v>
      </c>
      <c r="E1" s="12"/>
      <c r="F1" s="12"/>
      <c r="G1" s="12"/>
      <c r="H1" s="12"/>
      <c r="I1" s="12"/>
      <c r="J1" s="12"/>
      <c r="K1" s="12"/>
      <c r="L1" s="12"/>
      <c r="M1" s="12"/>
      <c r="N1" s="12"/>
      <c r="O1" s="12"/>
      <c r="Q1" s="231"/>
      <c r="R1" s="2"/>
      <c r="S1" s="2"/>
      <c r="T1" s="2"/>
      <c r="U1" s="2"/>
      <c r="V1" s="236"/>
    </row>
    <row r="2" ht="18" customHeight="1">
      <c r="B2" s="948" t="s">
        <v>170</v>
      </c>
      <c r="C2" s="948"/>
      <c r="D2" s="948"/>
      <c r="E2" s="948"/>
      <c r="F2" s="948"/>
      <c r="G2" s="948"/>
      <c r="H2" s="948"/>
      <c r="I2" s="948"/>
      <c r="J2" s="948"/>
      <c r="K2" s="948"/>
      <c r="L2" s="948"/>
      <c r="M2" s="948"/>
      <c r="N2" s="948"/>
      <c r="O2" s="948"/>
      <c r="P2" s="948"/>
      <c r="Q2" s="948"/>
      <c r="R2" s="948"/>
      <c r="S2" s="948"/>
      <c r="T2" s="948"/>
      <c r="U2" s="2"/>
    </row>
    <row r="3" ht="18" customHeight="1">
      <c r="B3" s="947" t="s">
        <v>171</v>
      </c>
      <c r="C3" s="947"/>
      <c r="D3" s="947"/>
      <c r="E3" s="947"/>
      <c r="F3" s="947"/>
      <c r="G3" s="947"/>
      <c r="H3" s="947"/>
      <c r="I3" s="947"/>
      <c r="J3" s="947"/>
      <c r="K3" s="947"/>
      <c r="L3" s="947"/>
      <c r="M3" s="947"/>
      <c r="N3" s="947"/>
      <c r="O3" s="947"/>
      <c r="P3" s="947"/>
      <c r="Q3" s="947"/>
      <c r="R3" s="947"/>
      <c r="S3" s="947"/>
      <c r="T3" s="947"/>
      <c r="U3" s="2"/>
    </row>
    <row r="4" ht="18" customHeight="1">
      <c r="B4" s="947" t="s">
        <v>172</v>
      </c>
      <c r="C4" s="947"/>
      <c r="D4" s="947"/>
      <c r="E4" s="947"/>
      <c r="F4" s="947"/>
      <c r="G4" s="947"/>
      <c r="H4" s="947"/>
      <c r="I4" s="947"/>
      <c r="J4" s="947"/>
      <c r="K4" s="947"/>
      <c r="L4" s="947"/>
      <c r="M4" s="947"/>
      <c r="N4" s="947"/>
      <c r="O4" s="947"/>
      <c r="P4" s="947"/>
      <c r="Q4" s="947"/>
      <c r="R4" s="947"/>
      <c r="S4" s="947"/>
      <c r="T4" s="947"/>
      <c r="U4" s="2"/>
    </row>
    <row r="5" s="122" customFormat="1" ht="21" customHeight="1">
      <c r="B5" s="163"/>
      <c r="C5" s="163"/>
      <c r="D5" s="237"/>
      <c r="E5" s="719" t="s">
        <v>22</v>
      </c>
      <c r="F5" s="719"/>
      <c r="G5" s="719"/>
      <c r="H5" s="719"/>
      <c r="I5" s="719"/>
      <c r="J5" s="719"/>
      <c r="K5" s="719"/>
      <c r="L5" s="951"/>
      <c r="M5" s="537"/>
      <c r="N5" s="714" t="s">
        <v>28</v>
      </c>
      <c r="O5" s="714"/>
      <c r="P5" s="714"/>
      <c r="Q5" s="714"/>
      <c r="R5" s="714"/>
      <c r="S5" s="714"/>
      <c r="T5" s="715"/>
      <c r="V5" s="236"/>
      <c r="W5" s="236"/>
      <c r="X5" s="236"/>
      <c r="Y5" s="236"/>
      <c r="Z5" s="236"/>
      <c r="AA5" s="236"/>
      <c r="AB5" s="236"/>
      <c r="AC5" s="236"/>
      <c r="AD5" s="236"/>
      <c r="AE5" s="236"/>
      <c r="AF5" s="236"/>
      <c r="AG5" s="236"/>
      <c r="AH5" s="236"/>
      <c r="AI5" s="236"/>
    </row>
    <row r="6" s="122" customFormat="1" ht="15.75" customHeight="1">
      <c r="B6" s="723"/>
      <c r="C6" s="723"/>
      <c r="D6" s="237"/>
      <c r="E6" s="749" t="s">
        <v>42</v>
      </c>
      <c r="F6" s="711" t="s">
        <v>24</v>
      </c>
      <c r="G6" s="751" t="s">
        <v>37</v>
      </c>
      <c r="H6" s="724" t="s">
        <v>24</v>
      </c>
      <c r="I6" s="751" t="s">
        <v>44</v>
      </c>
      <c r="J6" s="711" t="s">
        <v>24</v>
      </c>
      <c r="K6" s="751" t="s">
        <v>45</v>
      </c>
      <c r="L6" s="711" t="s">
        <v>24</v>
      </c>
      <c r="M6" s="538"/>
      <c r="N6" s="711" t="s">
        <v>63</v>
      </c>
      <c r="O6" s="710" t="s">
        <v>64</v>
      </c>
      <c r="P6" s="754"/>
      <c r="Q6" s="710" t="s">
        <v>65</v>
      </c>
      <c r="R6" s="754"/>
      <c r="S6" s="710" t="s">
        <v>66</v>
      </c>
      <c r="T6" s="754"/>
      <c r="V6" s="236"/>
      <c r="W6" s="236"/>
      <c r="X6" s="236"/>
      <c r="Y6" s="236"/>
      <c r="Z6" s="236"/>
      <c r="AA6" s="236"/>
      <c r="AB6" s="236"/>
      <c r="AC6" s="236"/>
      <c r="AD6" s="236"/>
      <c r="AE6" s="236"/>
      <c r="AF6" s="236"/>
      <c r="AG6" s="236"/>
      <c r="AH6" s="236"/>
      <c r="AI6" s="236"/>
    </row>
    <row r="7" s="122" customFormat="1" ht="24" customHeight="1">
      <c r="B7" s="776"/>
      <c r="C7" s="776"/>
      <c r="D7" s="237"/>
      <c r="E7" s="940"/>
      <c r="F7" s="939"/>
      <c r="G7" s="943"/>
      <c r="H7" s="952"/>
      <c r="I7" s="943"/>
      <c r="J7" s="939"/>
      <c r="K7" s="943"/>
      <c r="L7" s="939"/>
      <c r="M7" s="539"/>
      <c r="N7" s="939"/>
      <c r="O7" s="845"/>
      <c r="P7" s="944"/>
      <c r="Q7" s="845"/>
      <c r="R7" s="944"/>
      <c r="S7" s="845"/>
      <c r="T7" s="944"/>
      <c r="V7" s="236"/>
      <c r="W7" s="236"/>
      <c r="X7" s="236"/>
      <c r="Y7" s="236"/>
      <c r="Z7" s="236"/>
      <c r="AA7" s="236"/>
      <c r="AB7" s="236"/>
      <c r="AC7" s="236"/>
      <c r="AD7" s="236"/>
      <c r="AE7" s="236"/>
      <c r="AF7" s="236"/>
      <c r="AG7" s="236"/>
      <c r="AH7" s="236"/>
      <c r="AI7" s="236"/>
    </row>
    <row r="8" ht="20.1" customHeight="1">
      <c r="B8" s="717" t="s">
        <v>175</v>
      </c>
      <c r="C8" s="347"/>
      <c r="D8" s="345"/>
      <c r="E8" s="238">
        <v>39.264654873395768296912937910</v>
      </c>
      <c r="F8" s="239">
        <v>14.285714285785130165140304960</v>
      </c>
      <c r="G8" s="238">
        <v>37.999469003053232443913447500</v>
      </c>
      <c r="H8" s="239">
        <v>-2.0966278038798965281830471200</v>
      </c>
      <c r="I8" s="238">
        <v>38.896680691912108461898083220</v>
      </c>
      <c r="J8" s="239">
        <v>10.344827586348852099149546940</v>
      </c>
      <c r="K8" s="238">
        <v>38.014435115628222124024156720</v>
      </c>
      <c r="L8" s="239">
        <v>-9.066703505700466539787648400</v>
      </c>
      <c r="M8" s="540"/>
      <c r="N8" s="536">
        <v>0</v>
      </c>
      <c r="O8" s="178"/>
      <c r="P8" s="178">
        <v>-0.4098360655737704918032786900</v>
      </c>
      <c r="Q8" s="178"/>
      <c r="R8" s="178">
        <v>0</v>
      </c>
      <c r="S8" s="178"/>
      <c r="T8" s="249">
        <v>-0.2732240437158469945355191300</v>
      </c>
    </row>
    <row r="9" ht="20.1" customHeight="1">
      <c r="B9" s="708" t="s">
        <v>176</v>
      </c>
      <c r="C9" s="950"/>
      <c r="D9" s="345"/>
      <c r="E9" s="240">
        <v>63.595737570131049311333059270</v>
      </c>
      <c r="F9" s="241">
        <v>16.725504199693818917127600040</v>
      </c>
      <c r="G9" s="240">
        <v>62.091191809076504139307226360</v>
      </c>
      <c r="H9" s="241">
        <v>9.978623152911695089572517800</v>
      </c>
      <c r="I9" s="240">
        <v>65.200261660390263688457118320</v>
      </c>
      <c r="J9" s="241">
        <v>12.140693860012705194340051330</v>
      </c>
      <c r="K9" s="240">
        <v>59.953955700204677505834423340</v>
      </c>
      <c r="L9" s="241">
        <v>9.959447520915732458129110800</v>
      </c>
      <c r="M9" s="540"/>
      <c r="N9" s="121">
        <v>-0.8093852309930883957802837400</v>
      </c>
      <c r="O9" s="179"/>
      <c r="P9" s="179">
        <v>-1.0960914548044981660342153800</v>
      </c>
      <c r="Q9" s="179"/>
      <c r="R9" s="179">
        <v>-0.2000198432384165095743625400</v>
      </c>
      <c r="S9" s="179"/>
      <c r="T9" s="248">
        <v>-0.8100905104499241502706470400</v>
      </c>
    </row>
    <row r="10" ht="20.1" customHeight="1">
      <c r="B10" s="706" t="s">
        <v>177</v>
      </c>
      <c r="C10" s="949"/>
      <c r="D10" s="345"/>
      <c r="E10" s="242">
        <v>70.879964889181479043230195300</v>
      </c>
      <c r="F10" s="243">
        <v>16.248380440491282373881580450</v>
      </c>
      <c r="G10" s="242">
        <v>68.610061308474006886705299400</v>
      </c>
      <c r="H10" s="243">
        <v>6.6485835715367726779160187800</v>
      </c>
      <c r="I10" s="242">
        <v>72.972986295967662427289756480</v>
      </c>
      <c r="J10" s="243">
        <v>11.246129798372149649630751300</v>
      </c>
      <c r="K10" s="242">
        <v>66.711862127697720804105690150</v>
      </c>
      <c r="L10" s="243">
        <v>4.6897107543646662993494458200</v>
      </c>
      <c r="M10" s="540"/>
      <c r="N10" s="536">
        <v>0</v>
      </c>
      <c r="O10" s="178"/>
      <c r="P10" s="178">
        <v>0</v>
      </c>
      <c r="Q10" s="178"/>
      <c r="R10" s="178">
        <v>0</v>
      </c>
      <c r="S10" s="178"/>
      <c r="T10" s="249">
        <v>-0.2046407604137545429130556300</v>
      </c>
    </row>
    <row r="11" ht="20.1" customHeight="1">
      <c r="B11" s="708" t="s">
        <v>178</v>
      </c>
      <c r="C11" s="950"/>
      <c r="D11" s="345"/>
      <c r="E11" s="240">
        <v>60.038855801802200721765891030</v>
      </c>
      <c r="F11" s="241">
        <v>18.167155679743511984356229810</v>
      </c>
      <c r="G11" s="240">
        <v>58.355980180007118925607227400</v>
      </c>
      <c r="H11" s="241">
        <v>6.6134229432774254013570262700</v>
      </c>
      <c r="I11" s="240">
        <v>61.199073180150608225526163350</v>
      </c>
      <c r="J11" s="241">
        <v>10.234919189295724520307652990</v>
      </c>
      <c r="K11" s="240">
        <v>56.314667177314411067346545090</v>
      </c>
      <c r="L11" s="241">
        <v>6.1952613893578376818167996100</v>
      </c>
      <c r="M11" s="540"/>
      <c r="N11" s="121">
        <v>1.2156998957971517888155609600</v>
      </c>
      <c r="O11" s="179"/>
      <c r="P11" s="179">
        <v>0.1738254402056757508204886200</v>
      </c>
      <c r="Q11" s="179"/>
      <c r="R11" s="179">
        <v>2.1878865607758915087538229200</v>
      </c>
      <c r="S11" s="179"/>
      <c r="T11" s="248">
        <v>-0.528933963950480821334889700</v>
      </c>
    </row>
    <row r="12" ht="20.1" customHeight="1">
      <c r="B12" s="706" t="s">
        <v>179</v>
      </c>
      <c r="C12" s="949"/>
      <c r="D12" s="345"/>
      <c r="E12" s="242">
        <v>66.058265023294214778557527860</v>
      </c>
      <c r="F12" s="243">
        <v>11.691095822076874012715815020</v>
      </c>
      <c r="G12" s="242">
        <v>64.247184417812083869366014400</v>
      </c>
      <c r="H12" s="243">
        <v>0.7271633551467226900624685400</v>
      </c>
      <c r="I12" s="242">
        <v>68.016254669740084254033860580</v>
      </c>
      <c r="J12" s="243">
        <v>8.068386322810721706257102400</v>
      </c>
      <c r="K12" s="242">
        <v>62.963614920171099649703392070</v>
      </c>
      <c r="L12" s="243">
        <v>0.2092551616521852532617534200</v>
      </c>
      <c r="M12" s="540"/>
      <c r="N12" s="536">
        <v>0</v>
      </c>
      <c r="O12" s="178"/>
      <c r="P12" s="178">
        <v>0</v>
      </c>
      <c r="Q12" s="178"/>
      <c r="R12" s="178">
        <v>0</v>
      </c>
      <c r="S12" s="178"/>
      <c r="T12" s="249">
        <v>-0.4124614960807392752498059200</v>
      </c>
    </row>
    <row r="13" ht="20.1" customHeight="1">
      <c r="B13" s="734" t="s">
        <v>74</v>
      </c>
      <c r="C13" s="946"/>
      <c r="D13" s="345"/>
      <c r="E13" s="244">
        <v>58.929674947472500308985292300</v>
      </c>
      <c r="F13" s="245">
        <v>57.437675417009656995540994350</v>
      </c>
      <c r="G13" s="244">
        <v>53.196789808113775759582485850</v>
      </c>
      <c r="H13" s="245">
        <v>25.208717239838148280029830370</v>
      </c>
      <c r="I13" s="244">
        <v>56.251041146093619856738297520</v>
      </c>
      <c r="J13" s="245">
        <v>31.091376716798693861707880460</v>
      </c>
      <c r="K13" s="244">
        <v>49.810003673962105705138298430</v>
      </c>
      <c r="L13" s="245">
        <v>17.85179174373491940666633100</v>
      </c>
      <c r="M13" s="540"/>
      <c r="N13" s="333">
        <v>0</v>
      </c>
      <c r="O13" s="250"/>
      <c r="P13" s="250">
        <v>0</v>
      </c>
      <c r="Q13" s="250"/>
      <c r="R13" s="250">
        <v>0</v>
      </c>
      <c r="S13" s="250"/>
      <c r="T13" s="251">
        <v>0</v>
      </c>
    </row>
    <row r="14" ht="9.95" customHeight="1">
      <c r="B14" s="54"/>
      <c r="C14" s="54"/>
      <c r="D14" s="54"/>
      <c r="E14" s="535"/>
      <c r="F14" s="535"/>
      <c r="G14" s="535"/>
      <c r="H14" s="535"/>
      <c r="I14" s="535"/>
      <c r="J14" s="535"/>
      <c r="K14" s="535"/>
      <c r="L14" s="535"/>
      <c r="M14" s="156"/>
      <c r="N14" s="156"/>
      <c r="O14" s="156"/>
      <c r="P14" s="156"/>
      <c r="Q14" s="156"/>
      <c r="R14" s="156"/>
      <c r="S14" s="156"/>
      <c r="T14" s="156"/>
    </row>
    <row r="15" ht="21" customHeight="1">
      <c r="B15" s="4"/>
      <c r="C15" s="4"/>
      <c r="D15" s="54"/>
      <c r="E15" s="719" t="s">
        <v>90</v>
      </c>
      <c r="F15" s="719"/>
      <c r="G15" s="719"/>
      <c r="H15" s="719"/>
      <c r="I15" s="719"/>
      <c r="J15" s="719"/>
      <c r="K15" s="719"/>
      <c r="L15" s="942"/>
      <c r="M15" s="537"/>
      <c r="N15" s="719" t="s">
        <v>29</v>
      </c>
      <c r="O15" s="719"/>
      <c r="P15" s="719"/>
      <c r="Q15" s="719"/>
      <c r="R15" s="719"/>
      <c r="S15" s="719"/>
      <c r="T15" s="942"/>
    </row>
    <row r="16" ht="22.5" customHeight="1">
      <c r="B16" s="4"/>
      <c r="C16" s="4"/>
      <c r="D16" s="54"/>
      <c r="E16" s="749" t="s">
        <v>42</v>
      </c>
      <c r="F16" s="711" t="s">
        <v>24</v>
      </c>
      <c r="G16" s="749" t="s">
        <v>37</v>
      </c>
      <c r="H16" s="711" t="s">
        <v>24</v>
      </c>
      <c r="I16" s="749" t="s">
        <v>44</v>
      </c>
      <c r="J16" s="711" t="s">
        <v>24</v>
      </c>
      <c r="K16" s="749" t="s">
        <v>45</v>
      </c>
      <c r="L16" s="711" t="s">
        <v>24</v>
      </c>
      <c r="M16" s="538"/>
      <c r="N16" s="754" t="s">
        <v>63</v>
      </c>
      <c r="O16" s="710" t="s">
        <v>64</v>
      </c>
      <c r="P16" s="754"/>
      <c r="Q16" s="710" t="s">
        <v>65</v>
      </c>
      <c r="R16" s="754"/>
      <c r="S16" s="710" t="s">
        <v>66</v>
      </c>
      <c r="T16" s="754"/>
    </row>
    <row r="17" ht="18.75" customHeight="1">
      <c r="B17" s="4"/>
      <c r="C17" s="4"/>
      <c r="D17" s="54"/>
      <c r="E17" s="940"/>
      <c r="F17" s="939"/>
      <c r="G17" s="940"/>
      <c r="H17" s="939"/>
      <c r="I17" s="940"/>
      <c r="J17" s="939"/>
      <c r="K17" s="940"/>
      <c r="L17" s="939"/>
      <c r="M17" s="539"/>
      <c r="N17" s="944"/>
      <c r="O17" s="845"/>
      <c r="P17" s="944"/>
      <c r="Q17" s="845"/>
      <c r="R17" s="944"/>
      <c r="S17" s="845"/>
      <c r="T17" s="944"/>
    </row>
    <row r="18" ht="20.1" customHeight="1">
      <c r="B18" s="736" t="s">
        <v>175</v>
      </c>
      <c r="C18" s="348"/>
      <c r="D18" s="345"/>
      <c r="E18" s="253">
        <v>101.51461572438162544169611307</v>
      </c>
      <c r="F18" s="239">
        <v>-4.7333158259348886703761159500</v>
      </c>
      <c r="G18" s="253">
        <v>108.52796855895196506550218341</v>
      </c>
      <c r="H18" s="239">
        <v>-4.0120773009750611976113412500</v>
      </c>
      <c r="I18" s="253">
        <v>101.89845552884615384615384615</v>
      </c>
      <c r="J18" s="239">
        <v>-6.048783201277223786715798100</v>
      </c>
      <c r="K18" s="253">
        <v>110.80437616243025418474891507</v>
      </c>
      <c r="L18" s="239">
        <v>-1.5621994832293909964744090100</v>
      </c>
      <c r="M18" s="540"/>
      <c r="N18" s="238">
        <v>14.285714285714285714285714290</v>
      </c>
      <c r="O18" s="246"/>
      <c r="P18" s="246">
        <v>-2.4978711325574794209480556300</v>
      </c>
      <c r="Q18" s="246"/>
      <c r="R18" s="246">
        <v>10.344827586206896551724137930</v>
      </c>
      <c r="S18" s="246"/>
      <c r="T18" s="247">
        <v>-9.315155135458027337573351140</v>
      </c>
    </row>
    <row r="19" ht="20.1" customHeight="1">
      <c r="B19" s="730" t="s">
        <v>176</v>
      </c>
      <c r="C19" s="941"/>
      <c r="D19" s="345"/>
      <c r="E19" s="254">
        <v>99.52559666648064438119686738</v>
      </c>
      <c r="F19" s="241">
        <v>4.0184405479012660787046776900</v>
      </c>
      <c r="G19" s="254">
        <v>100.13084233017419292554131321</v>
      </c>
      <c r="H19" s="241">
        <v>0.9896744276839082649248374800</v>
      </c>
      <c r="I19" s="254">
        <v>101.32817505515835441320202062</v>
      </c>
      <c r="J19" s="241">
        <v>2.8460265465055416693016573400</v>
      </c>
      <c r="K19" s="254">
        <v>99.43058853112829089718248909</v>
      </c>
      <c r="L19" s="241">
        <v>0.8135213362914354541369480500</v>
      </c>
      <c r="M19" s="540"/>
      <c r="N19" s="240">
        <v>15.780745207839758776653026060</v>
      </c>
      <c r="O19" s="179"/>
      <c r="P19" s="179">
        <v>8.773156862356600820273028080</v>
      </c>
      <c r="Q19" s="179"/>
      <c r="R19" s="179">
        <v>11.916390219928738174222877500</v>
      </c>
      <c r="S19" s="179"/>
      <c r="T19" s="248">
        <v>9.068676471191217386273088550</v>
      </c>
    </row>
    <row r="20" ht="20.1" customHeight="1">
      <c r="B20" s="532" t="s">
        <v>177</v>
      </c>
      <c r="C20" s="345"/>
      <c r="D20" s="345"/>
      <c r="E20" s="255">
        <v>128.37403508771929824561403509</v>
      </c>
      <c r="F20" s="243">
        <v>4.1479536429003087025282190200</v>
      </c>
      <c r="G20" s="255">
        <v>129.00953422391961329949431891</v>
      </c>
      <c r="H20" s="243">
        <v>1.5333545714355391057227926600</v>
      </c>
      <c r="I20" s="255">
        <v>129.18759330689778630440509886</v>
      </c>
      <c r="J20" s="243">
        <v>3.0635834735723184188742670500</v>
      </c>
      <c r="K20" s="255">
        <v>128.62280264643580340229370212</v>
      </c>
      <c r="L20" s="243">
        <v>2.3805768296257190248837411700</v>
      </c>
      <c r="M20" s="540"/>
      <c r="N20" s="242">
        <v>16.248380440520178511444886990</v>
      </c>
      <c r="O20" s="178"/>
      <c r="P20" s="178">
        <v>6.6485835714596539069639256800</v>
      </c>
      <c r="Q20" s="178"/>
      <c r="R20" s="178">
        <v>11.246129798298614242342261100</v>
      </c>
      <c r="S20" s="178"/>
      <c r="T20" s="249">
        <v>4.4754729342396200147408074700</v>
      </c>
    </row>
    <row r="21" ht="20.1" customHeight="1">
      <c r="B21" s="730" t="s">
        <v>178</v>
      </c>
      <c r="C21" s="941"/>
      <c r="D21" s="345"/>
      <c r="E21" s="254">
        <v>98.15678845036922311032441851</v>
      </c>
      <c r="F21" s="241">
        <v>1.5549580815207109305656240500</v>
      </c>
      <c r="G21" s="254">
        <v>99.76802640241659082547489495</v>
      </c>
      <c r="H21" s="241">
        <v>0.3338360082509123330554559700</v>
      </c>
      <c r="I21" s="254">
        <v>100.60282803645321392600143192</v>
      </c>
      <c r="J21" s="241">
        <v>1.2314663057685078653199283100</v>
      </c>
      <c r="K21" s="254">
        <v>99.15998170814439845423769697</v>
      </c>
      <c r="L21" s="241">
        <v>0.4433735696857196593880503100</v>
      </c>
      <c r="M21" s="540"/>
      <c r="N21" s="240">
        <v>19.603713668239756538614210740</v>
      </c>
      <c r="O21" s="179"/>
      <c r="P21" s="179">
        <v>6.7987441950039227749723079200</v>
      </c>
      <c r="Q21" s="179"/>
      <c r="R21" s="179">
        <v>12.646734171505120958509471300</v>
      </c>
      <c r="S21" s="179"/>
      <c r="T21" s="248">
        <v>5.633558583665546608062652500</v>
      </c>
    </row>
    <row r="22" ht="20.1" customHeight="1">
      <c r="B22" s="532" t="s">
        <v>179</v>
      </c>
      <c r="C22" s="345"/>
      <c r="D22" s="345"/>
      <c r="E22" s="255">
        <v>149.34647145471588626523233496</v>
      </c>
      <c r="F22" s="243">
        <v>4.384485724409167523580877100</v>
      </c>
      <c r="G22" s="255">
        <v>149.66521464202908733225602473</v>
      </c>
      <c r="H22" s="243">
        <v>2.3015796610794733574158186200</v>
      </c>
      <c r="I22" s="255">
        <v>150.10814087675475115766101348</v>
      </c>
      <c r="J22" s="243">
        <v>3.2753256503409495325004548700</v>
      </c>
      <c r="K22" s="255">
        <v>148.55161093205209618863900504</v>
      </c>
      <c r="L22" s="243">
        <v>2.6503265298526903763512715200</v>
      </c>
      <c r="M22" s="540"/>
      <c r="N22" s="242">
        <v>11.691095822115863994416193040</v>
      </c>
      <c r="O22" s="178"/>
      <c r="P22" s="178">
        <v>0.727163355213106632932892200</v>
      </c>
      <c r="Q22" s="178"/>
      <c r="R22" s="178">
        <v>8.068386322735452909418116380</v>
      </c>
      <c r="S22" s="178"/>
      <c r="T22" s="249">
        <v>-0.2040694314354610494429940800</v>
      </c>
    </row>
    <row r="23" ht="20.1" customHeight="1">
      <c r="B23" s="726" t="s">
        <v>74</v>
      </c>
      <c r="C23" s="349"/>
      <c r="D23" s="345"/>
      <c r="E23" s="256">
        <v>94.04999790268456375838926174</v>
      </c>
      <c r="F23" s="245">
        <v>-7.8468567168646061840479345800</v>
      </c>
      <c r="G23" s="256">
        <v>101.97502326684252645306618453</v>
      </c>
      <c r="H23" s="245">
        <v>-6.6600292996185307182308653200</v>
      </c>
      <c r="I23" s="256">
        <v>102.02068705115865847338417117</v>
      </c>
      <c r="J23" s="245">
        <v>-4.8456162474789561730113265700</v>
      </c>
      <c r="K23" s="256">
        <v>102.77677007049302972508772115</v>
      </c>
      <c r="L23" s="245">
        <v>-4.8676205202692719948402321300</v>
      </c>
      <c r="M23" s="540"/>
      <c r="N23" s="244">
        <v>57.437675416873039458477794290</v>
      </c>
      <c r="O23" s="250"/>
      <c r="P23" s="250">
        <v>25.208717239967352126973367090</v>
      </c>
      <c r="Q23" s="250"/>
      <c r="R23" s="250">
        <v>31.091376716649682146843305670</v>
      </c>
      <c r="S23" s="250"/>
      <c r="T23" s="251">
        <v>17.851791743655583124405456750</v>
      </c>
    </row>
    <row r="24" ht="9.95" customHeight="1">
      <c r="B24" s="54"/>
      <c r="C24" s="54"/>
      <c r="D24" s="54"/>
      <c r="E24" s="535"/>
      <c r="F24" s="535"/>
      <c r="G24" s="535"/>
      <c r="H24" s="535"/>
      <c r="I24" s="535"/>
      <c r="J24" s="535"/>
      <c r="K24" s="535"/>
      <c r="L24" s="535"/>
      <c r="M24" s="156"/>
      <c r="N24" s="156"/>
      <c r="O24" s="156"/>
      <c r="P24" s="156"/>
      <c r="Q24" s="156"/>
      <c r="R24" s="156"/>
      <c r="S24" s="156"/>
      <c r="T24" s="156"/>
    </row>
    <row r="25" s="122" customFormat="1" ht="21" customHeight="1">
      <c r="B25" s="163"/>
      <c r="C25" s="163"/>
      <c r="D25" s="237"/>
      <c r="E25" s="719" t="s">
        <v>10</v>
      </c>
      <c r="F25" s="719"/>
      <c r="G25" s="719"/>
      <c r="H25" s="719"/>
      <c r="I25" s="719"/>
      <c r="J25" s="719"/>
      <c r="K25" s="719"/>
      <c r="L25" s="942"/>
      <c r="M25" s="537"/>
      <c r="N25" s="719" t="s">
        <v>38</v>
      </c>
      <c r="O25" s="719"/>
      <c r="P25" s="719"/>
      <c r="Q25" s="719"/>
      <c r="R25" s="719"/>
      <c r="S25" s="719"/>
      <c r="T25" s="942"/>
      <c r="V25" s="236"/>
      <c r="W25" s="236"/>
      <c r="X25" s="236"/>
      <c r="Y25" s="236"/>
      <c r="Z25" s="236"/>
      <c r="AA25" s="236"/>
      <c r="AB25" s="236"/>
      <c r="AC25" s="236"/>
      <c r="AD25" s="236"/>
      <c r="AE25" s="236"/>
      <c r="AF25" s="236"/>
      <c r="AG25" s="236"/>
      <c r="AH25" s="236"/>
      <c r="AI25" s="236"/>
    </row>
    <row r="26" s="122" customFormat="1" ht="19.5" customHeight="1">
      <c r="B26" s="163"/>
      <c r="C26" s="163"/>
      <c r="D26" s="237"/>
      <c r="E26" s="749" t="s">
        <v>42</v>
      </c>
      <c r="F26" s="711" t="s">
        <v>24</v>
      </c>
      <c r="G26" s="749" t="s">
        <v>37</v>
      </c>
      <c r="H26" s="711" t="s">
        <v>24</v>
      </c>
      <c r="I26" s="749" t="s">
        <v>44</v>
      </c>
      <c r="J26" s="711" t="s">
        <v>24</v>
      </c>
      <c r="K26" s="749" t="s">
        <v>45</v>
      </c>
      <c r="L26" s="711" t="s">
        <v>24</v>
      </c>
      <c r="M26" s="538"/>
      <c r="N26" s="754" t="s">
        <v>63</v>
      </c>
      <c r="O26" s="710" t="s">
        <v>64</v>
      </c>
      <c r="P26" s="754"/>
      <c r="Q26" s="710" t="s">
        <v>65</v>
      </c>
      <c r="R26" s="754"/>
      <c r="S26" s="710" t="s">
        <v>66</v>
      </c>
      <c r="T26" s="754"/>
      <c r="V26" s="236"/>
      <c r="W26" s="236"/>
      <c r="X26" s="236"/>
      <c r="Y26" s="236"/>
      <c r="Z26" s="236"/>
      <c r="AA26" s="236"/>
      <c r="AB26" s="236"/>
      <c r="AC26" s="236"/>
      <c r="AD26" s="236"/>
      <c r="AE26" s="236"/>
      <c r="AF26" s="236"/>
      <c r="AG26" s="236"/>
      <c r="AH26" s="236"/>
      <c r="AI26" s="236"/>
    </row>
    <row r="27" s="122" customFormat="1" ht="25.5" customHeight="1">
      <c r="B27" s="163"/>
      <c r="C27" s="163"/>
      <c r="D27" s="237"/>
      <c r="E27" s="940"/>
      <c r="F27" s="939"/>
      <c r="G27" s="940"/>
      <c r="H27" s="939"/>
      <c r="I27" s="940"/>
      <c r="J27" s="939"/>
      <c r="K27" s="940"/>
      <c r="L27" s="939"/>
      <c r="M27" s="539"/>
      <c r="N27" s="944"/>
      <c r="O27" s="845"/>
      <c r="P27" s="944"/>
      <c r="Q27" s="845"/>
      <c r="R27" s="944"/>
      <c r="S27" s="845"/>
      <c r="T27" s="944"/>
      <c r="V27" s="236"/>
      <c r="W27" s="236"/>
      <c r="X27" s="236"/>
      <c r="Y27" s="236"/>
      <c r="Z27" s="236"/>
      <c r="AA27" s="236"/>
      <c r="AB27" s="236"/>
      <c r="AC27" s="236"/>
      <c r="AD27" s="236"/>
      <c r="AE27" s="236"/>
      <c r="AF27" s="236"/>
      <c r="AG27" s="236"/>
      <c r="AH27" s="236"/>
      <c r="AI27" s="236"/>
    </row>
    <row r="28" ht="20.1" customHeight="1">
      <c r="B28" s="736" t="s">
        <v>175</v>
      </c>
      <c r="C28" s="348"/>
      <c r="D28" s="345"/>
      <c r="E28" s="253">
        <v>39.859363510232396808879639265</v>
      </c>
      <c r="F28" s="239">
        <v>8.876210484540829558418880230</v>
      </c>
      <c r="G28" s="253">
        <v>41.240051772202309836718438869</v>
      </c>
      <c r="H28" s="239">
        <v>-6.0245867766983078444289619800</v>
      </c>
      <c r="I28" s="253">
        <v>39.635116877045348293595137915</v>
      </c>
      <c r="J28" s="239">
        <v>3.6703081915240987877239274800</v>
      </c>
      <c r="K28" s="253">
        <v>42.121657681543673589630284283</v>
      </c>
      <c r="L28" s="239">
        <v>-10.487262993585747320588677520</v>
      </c>
      <c r="M28" s="540"/>
      <c r="N28" s="238">
        <v>8.876210484607880417700121530</v>
      </c>
      <c r="O28" s="246"/>
      <c r="P28" s="246">
        <v>-6.4097319128328393307109965900</v>
      </c>
      <c r="Q28" s="246"/>
      <c r="R28" s="246">
        <v>3.6703081916520101186125707900</v>
      </c>
      <c r="S28" s="246"/>
      <c r="T28" s="247">
        <v>-10.731833313290206417902055630</v>
      </c>
    </row>
    <row r="29" ht="20.1" customHeight="1">
      <c r="B29" s="730" t="s">
        <v>176</v>
      </c>
      <c r="C29" s="941"/>
      <c r="D29" s="345"/>
      <c r="E29" s="254">
        <v>63.294037271122126364542451282</v>
      </c>
      <c r="F29" s="241">
        <v>21.416049190022530552529187780</v>
      </c>
      <c r="G29" s="254">
        <v>62.172433371272427452321340985</v>
      </c>
      <c r="H29" s="241">
        <v>11.067053462136216962090032970</v>
      </c>
      <c r="I29" s="254">
        <v>66.066235271661543478174421703</v>
      </c>
      <c r="J29" s="241">
        <v>15.332247776715870012853757960</v>
      </c>
      <c r="K29" s="254">
        <v>59.612571000405448283305923627</v>
      </c>
      <c r="L29" s="241">
        <v>10.853991087796472675873934720</v>
      </c>
      <c r="M29" s="540"/>
      <c r="N29" s="240">
        <v>20.433325619882335356838649610</v>
      </c>
      <c r="O29" s="179"/>
      <c r="P29" s="179">
        <v>9.849656980006575837686584070</v>
      </c>
      <c r="Q29" s="179"/>
      <c r="R29" s="179">
        <v>15.101560395456272203132534030</v>
      </c>
      <c r="S29" s="179"/>
      <c r="T29" s="248">
        <v>9.955973425477118539998109350</v>
      </c>
    </row>
    <row r="30" ht="20.1" customHeight="1">
      <c r="B30" s="532" t="s">
        <v>177</v>
      </c>
      <c r="C30" s="345"/>
      <c r="D30" s="345"/>
      <c r="E30" s="255">
        <v>90.99147099700095091800160925</v>
      </c>
      <c r="F30" s="243">
        <v>21.070309371878528316607768510</v>
      </c>
      <c r="G30" s="255">
        <v>88.51352052480800276214738296</v>
      </c>
      <c r="H30" s="243">
        <v>8.283884503053514973190704680</v>
      </c>
      <c r="I30" s="255">
        <v>94.27204475993295869072266588</v>
      </c>
      <c r="J30" s="243">
        <v>14.654247845786517176256167270</v>
      </c>
      <c r="K30" s="255">
        <v>85.8066667662709884981909365</v>
      </c>
      <c r="L30" s="243">
        <v>7.1819297515641445487157210200</v>
      </c>
      <c r="M30" s="540"/>
      <c r="N30" s="242">
        <v>21.070309371825290460070220020</v>
      </c>
      <c r="O30" s="178"/>
      <c r="P30" s="178">
        <v>8.283884502997044908446136110</v>
      </c>
      <c r="Q30" s="178"/>
      <c r="R30" s="178">
        <v>14.654247845754402482485185470</v>
      </c>
      <c r="S30" s="178"/>
      <c r="T30" s="249">
        <v>6.9625918355313983693511305400</v>
      </c>
    </row>
    <row r="31" ht="20.1" customHeight="1">
      <c r="B31" s="730" t="s">
        <v>178</v>
      </c>
      <c r="C31" s="941"/>
      <c r="D31" s="345"/>
      <c r="E31" s="254">
        <v>58.932212677397214780702725441</v>
      </c>
      <c r="F31" s="241">
        <v>20.004605416724350090368433730</v>
      </c>
      <c r="G31" s="254">
        <v>58.220609713378495194725215122</v>
      </c>
      <c r="H31" s="241">
        <v>6.969336938712134523807742500</v>
      </c>
      <c r="I31" s="254">
        <v>61.567998351330075601170407118</v>
      </c>
      <c r="J31" s="241">
        <v>11.592425076331951113439696060</v>
      </c>
      <c r="K31" s="254">
        <v>55.841613672027367448941907373</v>
      </c>
      <c r="L31" s="241">
        <v>6.6661031104585115558953047800</v>
      </c>
      <c r="M31" s="540"/>
      <c r="N31" s="240">
        <v>21.463501279756214312735091600</v>
      </c>
      <c r="O31" s="179"/>
      <c r="P31" s="179">
        <v>7.1552768595004260688770687900</v>
      </c>
      <c r="Q31" s="179"/>
      <c r="R31" s="179">
        <v>14.033940747345676475741294350</v>
      </c>
      <c r="S31" s="179"/>
      <c r="T31" s="248">
        <v>6.1019098631267686647849182800</v>
      </c>
    </row>
    <row r="32" ht="20.1" customHeight="1">
      <c r="B32" s="532" t="s">
        <v>179</v>
      </c>
      <c r="C32" s="345"/>
      <c r="D32" s="345"/>
      <c r="E32" s="255">
        <v>98.65568791649466297104440644</v>
      </c>
      <c r="F32" s="243">
        <v>16.588175973881692852059754430</v>
      </c>
      <c r="G32" s="255">
        <v>96.15568646037872119529645428</v>
      </c>
      <c r="H32" s="243">
        <v>3.0454792601946960284878354700</v>
      </c>
      <c r="I32" s="255">
        <v>102.09793537874572768460376759</v>
      </c>
      <c r="J32" s="243">
        <v>11.607977899817739012086369730</v>
      </c>
      <c r="K32" s="255">
        <v>93.53346426496807598393614694</v>
      </c>
      <c r="L32" s="243">
        <v>2.8651276365466181442326235900</v>
      </c>
      <c r="M32" s="540"/>
      <c r="N32" s="242">
        <v>16.588175973868261778743709860</v>
      </c>
      <c r="O32" s="178"/>
      <c r="P32" s="178">
        <v>3.0454792601493400824679232300</v>
      </c>
      <c r="Q32" s="178"/>
      <c r="R32" s="178">
        <v>11.607977899868417980088376630</v>
      </c>
      <c r="S32" s="178"/>
      <c r="T32" s="249">
        <v>2.4408485921543406801497861600</v>
      </c>
    </row>
    <row r="33" ht="20.1" customHeight="1">
      <c r="B33" s="726" t="s">
        <v>74</v>
      </c>
      <c r="C33" s="349"/>
      <c r="D33" s="345"/>
      <c r="E33" s="256">
        <v>55.423358052156717340254603881</v>
      </c>
      <c r="F33" s="245">
        <v>45.083766608546528189186739120</v>
      </c>
      <c r="G33" s="256">
        <v>54.247438784037336612900682718</v>
      </c>
      <c r="H33" s="245">
        <v>16.869779986045055945029385350</v>
      </c>
      <c r="I33" s="256">
        <v>57.387698650674662668665667166</v>
      </c>
      <c r="J33" s="245">
        <v>24.739191667326638356319576530</v>
      </c>
      <c r="K33" s="256">
        <v>51.193112948092163963680260326</v>
      </c>
      <c r="L33" s="245">
        <v>12.115213745257264124347066370</v>
      </c>
      <c r="M33" s="540"/>
      <c r="N33" s="244">
        <v>45.083766608522776575335011110</v>
      </c>
      <c r="O33" s="250"/>
      <c r="P33" s="250">
        <v>16.869779986090773194092726880</v>
      </c>
      <c r="Q33" s="250"/>
      <c r="R33" s="250">
        <v>24.739191667440142361590580930</v>
      </c>
      <c r="S33" s="250"/>
      <c r="T33" s="251">
        <v>12.115213745189155958679544940</v>
      </c>
    </row>
    <row r="34" ht="9.95" customHeight="1">
      <c r="B34" s="54"/>
      <c r="C34" s="54"/>
      <c r="D34" s="54"/>
      <c r="E34" s="535"/>
      <c r="F34" s="535"/>
      <c r="G34" s="535"/>
      <c r="H34" s="535"/>
      <c r="I34" s="535"/>
      <c r="J34" s="535"/>
      <c r="K34" s="535"/>
      <c r="L34" s="535"/>
      <c r="M34" s="156"/>
      <c r="N34" s="156"/>
      <c r="O34" s="156"/>
      <c r="P34" s="156"/>
      <c r="Q34" s="156"/>
      <c r="R34" s="156"/>
      <c r="S34" s="156"/>
      <c r="T34" s="156"/>
    </row>
    <row r="35" ht="21" customHeight="1">
      <c r="B35" s="9"/>
      <c r="C35" s="155"/>
      <c r="D35" s="252"/>
      <c r="E35" s="719" t="s">
        <v>30</v>
      </c>
      <c r="F35" s="719"/>
      <c r="G35" s="719"/>
      <c r="H35" s="719"/>
      <c r="I35" s="719"/>
      <c r="J35" s="719"/>
      <c r="K35" s="719"/>
      <c r="L35" s="942"/>
      <c r="M35" s="124"/>
      <c r="N35" s="756" t="s">
        <v>56</v>
      </c>
      <c r="O35" s="756"/>
      <c r="P35" s="756"/>
      <c r="Q35" s="756"/>
      <c r="R35" s="756"/>
      <c r="S35" s="756"/>
      <c r="T35" s="756"/>
      <c r="U35" s="125"/>
    </row>
    <row r="36" ht="24.95" customHeight="1">
      <c r="B36" s="9"/>
      <c r="C36" s="155"/>
      <c r="D36" s="252"/>
      <c r="E36" s="745" t="s">
        <v>31</v>
      </c>
      <c r="F36" s="747"/>
      <c r="G36" s="746"/>
      <c r="H36" s="745" t="s">
        <v>32</v>
      </c>
      <c r="I36" s="747"/>
      <c r="J36" s="746"/>
      <c r="K36" s="745" t="s">
        <v>36</v>
      </c>
      <c r="L36" s="746"/>
      <c r="M36" s="124"/>
      <c r="N36" s="741"/>
      <c r="O36" s="741"/>
      <c r="P36" s="741"/>
      <c r="Q36" s="741"/>
      <c r="R36" s="741"/>
      <c r="S36" s="741"/>
      <c r="T36" s="741"/>
      <c r="U36" s="123"/>
    </row>
    <row r="37" ht="24.95" customHeight="1">
      <c r="B37" s="9"/>
      <c r="C37" s="155"/>
      <c r="D37" s="252"/>
      <c r="E37" s="745" t="s">
        <v>33</v>
      </c>
      <c r="F37" s="746"/>
      <c r="G37" s="257" t="s">
        <v>34</v>
      </c>
      <c r="H37" s="745" t="s">
        <v>33</v>
      </c>
      <c r="I37" s="746"/>
      <c r="J37" s="257" t="s">
        <v>34</v>
      </c>
      <c r="K37" s="745" t="s">
        <v>34</v>
      </c>
      <c r="L37" s="746"/>
      <c r="M37" s="124"/>
      <c r="N37" s="741"/>
      <c r="O37" s="741"/>
      <c r="P37" s="741"/>
      <c r="Q37" s="741"/>
      <c r="R37" s="741"/>
      <c r="S37" s="741"/>
      <c r="T37" s="741"/>
      <c r="U37" s="123"/>
    </row>
    <row r="38" ht="18.95" customHeight="1">
      <c r="B38" s="743" t="s">
        <v>176</v>
      </c>
      <c r="C38" s="945"/>
      <c r="D38" s="54"/>
      <c r="E38" s="769">
        <v>135</v>
      </c>
      <c r="F38" s="769"/>
      <c r="G38" s="258">
        <v>10907</v>
      </c>
      <c r="H38" s="758">
        <v>102</v>
      </c>
      <c r="I38" s="758"/>
      <c r="J38" s="259">
        <v>8901</v>
      </c>
      <c r="K38" s="761">
        <v>81.60814156046575593655450628</v>
      </c>
      <c r="L38" s="762"/>
      <c r="N38" s="692"/>
      <c r="O38" s="741"/>
      <c r="P38" s="741"/>
      <c r="Q38" s="692"/>
      <c r="R38" s="692"/>
      <c r="S38" s="741"/>
      <c r="T38" s="741"/>
      <c r="U38" s="123"/>
    </row>
    <row r="39" ht="18.95" customHeight="1">
      <c r="B39" s="532" t="s">
        <v>177</v>
      </c>
      <c r="C39" s="345"/>
      <c r="D39" s="54"/>
      <c r="E39" s="772">
        <v>19</v>
      </c>
      <c r="F39" s="772"/>
      <c r="G39" s="90">
        <v>2205</v>
      </c>
      <c r="H39" s="765">
        <v>19</v>
      </c>
      <c r="I39" s="765"/>
      <c r="J39" s="54">
        <v>2205</v>
      </c>
      <c r="K39" s="766">
        <v>100</v>
      </c>
      <c r="L39" s="767"/>
      <c r="N39" s="693"/>
      <c r="O39" s="740"/>
      <c r="P39" s="740"/>
      <c r="Q39" s="740"/>
      <c r="R39" s="740"/>
      <c r="S39" s="740"/>
      <c r="T39" s="740"/>
      <c r="U39" s="123"/>
    </row>
    <row r="40" ht="18.95" customHeight="1">
      <c r="B40" s="730" t="s">
        <v>178</v>
      </c>
      <c r="C40" s="941"/>
      <c r="D40" s="54"/>
      <c r="E40" s="770">
        <v>75</v>
      </c>
      <c r="F40" s="770"/>
      <c r="G40" s="126">
        <v>5828</v>
      </c>
      <c r="H40" s="771">
        <v>55</v>
      </c>
      <c r="I40" s="771"/>
      <c r="J40" s="120">
        <v>4528</v>
      </c>
      <c r="K40" s="759">
        <v>77.693891557995881949210706930</v>
      </c>
      <c r="L40" s="760"/>
      <c r="N40" s="763"/>
      <c r="O40" s="763"/>
      <c r="P40" s="763"/>
      <c r="Q40" s="763"/>
      <c r="R40" s="763"/>
      <c r="S40" s="763"/>
      <c r="T40" s="763"/>
      <c r="U40" s="123"/>
    </row>
    <row r="41" ht="18.95" customHeight="1">
      <c r="B41" s="532" t="s">
        <v>179</v>
      </c>
      <c r="C41" s="345"/>
      <c r="D41" s="54"/>
      <c r="E41" s="772">
        <v>8</v>
      </c>
      <c r="F41" s="772"/>
      <c r="G41" s="90">
        <v>1094</v>
      </c>
      <c r="H41" s="765">
        <v>8</v>
      </c>
      <c r="I41" s="765"/>
      <c r="J41" s="54">
        <v>1094</v>
      </c>
      <c r="K41" s="766">
        <v>100</v>
      </c>
      <c r="L41" s="767"/>
      <c r="N41" s="763"/>
      <c r="O41" s="763"/>
      <c r="P41" s="763"/>
      <c r="Q41" s="763"/>
      <c r="R41" s="763"/>
      <c r="S41" s="763"/>
      <c r="T41" s="763"/>
      <c r="U41" s="123"/>
    </row>
    <row r="42" ht="18.95" customHeight="1">
      <c r="B42" s="726" t="s">
        <v>74</v>
      </c>
      <c r="C42" s="349"/>
      <c r="D42" s="54"/>
      <c r="E42" s="768">
        <v>5</v>
      </c>
      <c r="F42" s="768"/>
      <c r="G42" s="260">
        <v>522</v>
      </c>
      <c r="H42" s="764">
        <v>5</v>
      </c>
      <c r="I42" s="764"/>
      <c r="J42" s="260">
        <v>522</v>
      </c>
      <c r="K42" s="774">
        <v>100</v>
      </c>
      <c r="L42" s="775"/>
      <c r="N42" s="763"/>
      <c r="O42" s="763"/>
      <c r="P42" s="763"/>
      <c r="Q42" s="763"/>
      <c r="R42" s="763"/>
      <c r="S42" s="763"/>
      <c r="T42" s="763"/>
      <c r="U42" s="123"/>
    </row>
    <row r="43" ht="15" customHeight="1">
      <c r="B43" s="2"/>
      <c r="C43" s="44"/>
      <c r="D43" s="44"/>
      <c r="E43" s="16"/>
      <c r="F43" s="19"/>
      <c r="G43" s="123"/>
      <c r="H43" s="124"/>
      <c r="I43" s="124"/>
      <c r="J43" s="124"/>
      <c r="K43" s="125"/>
      <c r="L43" s="123"/>
      <c r="M43" s="124"/>
      <c r="N43" s="125"/>
      <c r="O43" s="125"/>
      <c r="P43" s="124"/>
      <c r="Q43" s="124"/>
      <c r="R43" s="123"/>
      <c r="S43" s="123"/>
      <c r="T43" s="123"/>
      <c r="U43" s="123"/>
    </row>
    <row r="44" ht="39.95" customHeight="1">
      <c r="B44" s="933" t="s">
        <v>126</v>
      </c>
      <c r="C44" s="933"/>
      <c r="D44" s="933"/>
      <c r="E44" s="933"/>
      <c r="F44" s="933"/>
      <c r="G44" s="933"/>
      <c r="H44" s="933"/>
      <c r="I44" s="933"/>
      <c r="J44" s="933"/>
      <c r="K44" s="933"/>
      <c r="L44" s="933"/>
      <c r="M44" s="933"/>
      <c r="N44" s="933"/>
      <c r="O44" s="933"/>
      <c r="P44" s="933"/>
      <c r="Q44" s="933"/>
      <c r="R44" s="933"/>
      <c r="S44" s="933"/>
      <c r="T44" s="933"/>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1" customWidth="1"/>
  </cols>
  <sheetData>
    <row r="1" s="2" customFormat="1" ht="23.25">
      <c r="B1" s="657" t="s">
        <v>135</v>
      </c>
      <c r="C1" s="130"/>
      <c r="P1" s="222"/>
      <c r="Q1" s="222"/>
      <c r="R1" s="222"/>
      <c r="S1" s="222"/>
      <c r="T1" s="222"/>
      <c r="U1" s="222"/>
      <c r="W1" s="281"/>
      <c r="X1" s="281"/>
      <c r="Y1" s="281"/>
      <c r="Z1" s="281"/>
      <c r="AA1" s="281"/>
      <c r="AB1" s="281"/>
      <c r="AC1" s="281"/>
      <c r="AD1" s="281"/>
      <c r="AE1" s="281"/>
      <c r="AF1" s="281"/>
      <c r="AG1" s="281"/>
      <c r="AH1" s="281"/>
      <c r="AI1" s="281"/>
      <c r="AJ1" s="281"/>
      <c r="AK1" s="281"/>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row>
    <row r="2" s="2" customFormat="1" ht="15" customHeight="1">
      <c r="B2" s="66" t="s">
        <v>170</v>
      </c>
      <c r="C2" s="130"/>
      <c r="W2" s="281"/>
      <c r="X2" s="281"/>
      <c r="Y2" s="281"/>
      <c r="Z2" s="281"/>
      <c r="AA2" s="281"/>
      <c r="AB2" s="281"/>
      <c r="AC2" s="281"/>
      <c r="AD2" s="281"/>
      <c r="AE2" s="281"/>
      <c r="AF2" s="281"/>
      <c r="AG2" s="281"/>
      <c r="AH2" s="281"/>
      <c r="AI2" s="281"/>
      <c r="AJ2" s="281"/>
      <c r="AK2" s="281"/>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c r="EF2" s="34"/>
      <c r="EG2" s="34"/>
      <c r="EH2" s="34"/>
      <c r="EI2" s="34"/>
    </row>
    <row r="3" s="2" customFormat="1" ht="17.1" customHeight="1">
      <c r="B3" s="66" t="s">
        <v>171</v>
      </c>
      <c r="C3" s="130"/>
      <c r="O3" s="961"/>
      <c r="P3" s="961"/>
      <c r="Q3" s="961"/>
      <c r="R3" s="961"/>
      <c r="S3" s="961"/>
      <c r="T3" s="961"/>
      <c r="U3" s="961"/>
      <c r="W3" s="281"/>
      <c r="X3" s="281"/>
      <c r="Y3" s="281"/>
      <c r="Z3" s="281"/>
      <c r="AA3" s="281"/>
      <c r="AB3" s="281"/>
      <c r="AC3" s="281"/>
      <c r="AD3" s="281"/>
      <c r="AE3" s="281"/>
      <c r="AF3" s="281"/>
      <c r="AG3" s="281"/>
      <c r="AH3" s="281"/>
      <c r="AI3" s="281"/>
      <c r="AJ3" s="281"/>
      <c r="AK3" s="281"/>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row>
    <row r="4" s="2" customFormat="1" ht="15.75" customHeight="1">
      <c r="A4" s="9"/>
      <c r="B4" s="66" t="s">
        <v>172</v>
      </c>
      <c r="C4" s="131"/>
      <c r="D4" s="131"/>
      <c r="E4" s="131"/>
      <c r="G4" s="132"/>
      <c r="H4" s="132"/>
      <c r="I4" s="132"/>
      <c r="J4" s="132"/>
      <c r="K4" s="132"/>
      <c r="L4" s="132"/>
      <c r="M4" s="132"/>
      <c r="N4" s="132"/>
      <c r="O4" s="132"/>
      <c r="P4" s="132"/>
      <c r="Q4" s="132"/>
      <c r="R4" s="132"/>
      <c r="S4" s="132"/>
      <c r="T4" s="132"/>
      <c r="U4" s="132"/>
      <c r="V4" s="132"/>
      <c r="W4" s="281"/>
      <c r="X4" s="281"/>
      <c r="Y4" s="281"/>
      <c r="Z4" s="281"/>
      <c r="AA4" s="281"/>
      <c r="AB4" s="281"/>
      <c r="AC4" s="281"/>
      <c r="AD4" s="281"/>
      <c r="AE4" s="281"/>
      <c r="AF4" s="281"/>
      <c r="AG4" s="281"/>
      <c r="AH4" s="281"/>
      <c r="AI4" s="281"/>
      <c r="AJ4" s="281"/>
      <c r="AK4" s="281"/>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row>
    <row r="5" s="2" customFormat="1" ht="20.1" customHeight="1">
      <c r="A5" s="9"/>
      <c r="B5" s="66"/>
      <c r="C5" s="131"/>
      <c r="D5" s="131"/>
      <c r="E5" s="131"/>
      <c r="G5" s="132"/>
      <c r="H5" s="132"/>
      <c r="I5" s="132"/>
      <c r="J5" s="132"/>
      <c r="K5" s="132"/>
      <c r="L5" s="132"/>
      <c r="M5" s="132"/>
      <c r="N5" s="132"/>
      <c r="O5" s="132"/>
      <c r="P5" s="132"/>
      <c r="Q5" s="132"/>
      <c r="R5" s="132"/>
      <c r="S5" s="132"/>
      <c r="T5" s="132"/>
      <c r="U5" s="132"/>
      <c r="V5" s="132"/>
      <c r="W5" s="281"/>
      <c r="X5" s="281"/>
      <c r="Y5" s="281"/>
      <c r="Z5" s="281"/>
      <c r="AA5" s="281"/>
      <c r="AB5" s="281"/>
      <c r="AC5" s="281"/>
      <c r="AD5" s="281"/>
      <c r="AE5" s="281"/>
      <c r="AF5" s="281"/>
      <c r="AG5" s="281"/>
      <c r="AH5" s="281"/>
      <c r="AI5" s="281"/>
      <c r="AJ5" s="281"/>
      <c r="AK5" s="281"/>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row>
    <row r="6" s="2" customFormat="1" ht="20.1" customHeight="1">
      <c r="A6" s="9"/>
      <c r="B6" s="66"/>
      <c r="C6" s="131"/>
      <c r="D6" s="131"/>
      <c r="E6" s="131"/>
      <c r="G6" s="132"/>
      <c r="H6" s="132"/>
      <c r="I6" s="132"/>
      <c r="J6" s="132"/>
      <c r="K6" s="132"/>
      <c r="L6" s="132"/>
      <c r="M6" s="132"/>
      <c r="N6" s="132"/>
      <c r="O6" s="132"/>
      <c r="P6" s="132"/>
      <c r="Q6" s="132"/>
      <c r="R6" s="132"/>
      <c r="S6" s="132"/>
      <c r="T6" s="132"/>
      <c r="U6" s="132"/>
      <c r="V6" s="132"/>
      <c r="W6" s="281"/>
      <c r="X6" s="281"/>
      <c r="Y6" s="281"/>
      <c r="Z6" s="281"/>
      <c r="AA6" s="281"/>
      <c r="AB6" s="281"/>
      <c r="AC6" s="281"/>
      <c r="AD6" s="281"/>
      <c r="AE6" s="281"/>
      <c r="AF6" s="281"/>
      <c r="AG6" s="281"/>
      <c r="AH6" s="281"/>
      <c r="AI6" s="281"/>
      <c r="AJ6" s="281"/>
      <c r="AK6" s="281"/>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row>
    <row r="7" s="2" customFormat="1" ht="20.1" customHeight="1">
      <c r="A7" s="9"/>
      <c r="B7" s="66"/>
      <c r="C7" s="131"/>
      <c r="D7" s="131"/>
      <c r="E7" s="131"/>
      <c r="G7" s="132"/>
      <c r="H7" s="132"/>
      <c r="I7" s="132"/>
      <c r="J7" s="132"/>
      <c r="K7" s="132"/>
      <c r="L7" s="132"/>
      <c r="M7" s="132"/>
      <c r="N7" s="132"/>
      <c r="O7" s="132"/>
      <c r="P7" s="132"/>
      <c r="Q7" s="132"/>
      <c r="R7" s="132"/>
      <c r="S7" s="132"/>
      <c r="T7" s="132"/>
      <c r="U7" s="132"/>
      <c r="V7" s="132"/>
      <c r="W7" s="281"/>
      <c r="X7" s="281"/>
      <c r="Y7" s="281"/>
      <c r="Z7" s="281"/>
      <c r="AA7" s="281"/>
      <c r="AB7" s="281"/>
      <c r="AC7" s="281"/>
      <c r="AD7" s="281"/>
      <c r="AE7" s="281"/>
      <c r="AF7" s="281"/>
      <c r="AG7" s="281"/>
      <c r="AH7" s="281"/>
      <c r="AI7" s="281"/>
      <c r="AJ7" s="281"/>
      <c r="AK7" s="281"/>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row>
    <row r="8" s="2" customFormat="1" ht="20.1" customHeight="1">
      <c r="A8" s="9"/>
      <c r="B8" s="66"/>
      <c r="C8" s="131"/>
      <c r="D8" s="131"/>
      <c r="E8" s="131"/>
      <c r="G8" s="132"/>
      <c r="H8" s="132"/>
      <c r="I8" s="132"/>
      <c r="J8" s="132"/>
      <c r="K8" s="132"/>
      <c r="L8" s="132"/>
      <c r="M8" s="132"/>
      <c r="N8" s="132"/>
      <c r="O8" s="132"/>
      <c r="P8" s="132"/>
      <c r="Q8" s="132"/>
      <c r="R8" s="132"/>
      <c r="S8" s="132"/>
      <c r="T8" s="132"/>
      <c r="U8" s="132"/>
      <c r="V8" s="132"/>
      <c r="W8" s="281"/>
      <c r="X8" s="281"/>
      <c r="Y8" s="281"/>
      <c r="Z8" s="281"/>
      <c r="AA8" s="281"/>
      <c r="AB8" s="281"/>
      <c r="AC8" s="281"/>
      <c r="AD8" s="281"/>
      <c r="AE8" s="281"/>
      <c r="AF8" s="281"/>
      <c r="AG8" s="281"/>
      <c r="AH8" s="281"/>
      <c r="AI8" s="281"/>
      <c r="AJ8" s="281"/>
      <c r="AK8" s="281"/>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row>
    <row r="9" s="2" customFormat="1" ht="20.1" customHeight="1">
      <c r="A9" s="9"/>
      <c r="B9" s="66"/>
      <c r="C9" s="131"/>
      <c r="D9" s="131"/>
      <c r="E9" s="131"/>
      <c r="G9" s="132"/>
      <c r="H9" s="132"/>
      <c r="I9" s="132"/>
      <c r="J9" s="132"/>
      <c r="K9" s="132"/>
      <c r="L9" s="132"/>
      <c r="M9" s="132"/>
      <c r="N9" s="132"/>
      <c r="O9" s="132"/>
      <c r="P9" s="132"/>
      <c r="Q9" s="132"/>
      <c r="R9" s="132"/>
      <c r="S9" s="132"/>
      <c r="T9" s="132"/>
      <c r="U9" s="132"/>
      <c r="V9" s="132"/>
      <c r="W9" s="281"/>
      <c r="X9" s="281"/>
      <c r="Y9" s="281"/>
      <c r="Z9" s="281"/>
      <c r="AA9" s="281"/>
      <c r="AB9" s="281"/>
      <c r="AC9" s="281"/>
      <c r="AD9" s="281"/>
      <c r="AE9" s="281"/>
      <c r="AF9" s="281"/>
      <c r="AG9" s="281"/>
      <c r="AH9" s="281"/>
      <c r="AI9" s="281"/>
      <c r="AJ9" s="281"/>
      <c r="AK9" s="281"/>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row>
    <row r="10" s="2" customFormat="1" ht="20.1" customHeight="1">
      <c r="A10" s="9"/>
      <c r="B10" s="66"/>
      <c r="C10" s="131"/>
      <c r="D10" s="131"/>
      <c r="E10" s="131"/>
      <c r="G10" s="132"/>
      <c r="H10" s="132"/>
      <c r="I10" s="132"/>
      <c r="J10" s="132"/>
      <c r="K10" s="132"/>
      <c r="L10" s="132"/>
      <c r="M10" s="132"/>
      <c r="N10" s="132"/>
      <c r="O10" s="132"/>
      <c r="P10" s="132"/>
      <c r="Q10" s="132"/>
      <c r="R10" s="132"/>
      <c r="S10" s="132"/>
      <c r="T10" s="132"/>
      <c r="U10" s="132"/>
      <c r="V10" s="132"/>
      <c r="W10" s="281"/>
      <c r="X10" s="281"/>
      <c r="Y10" s="281"/>
      <c r="Z10" s="281"/>
      <c r="AA10" s="281"/>
      <c r="AB10" s="281"/>
      <c r="AC10" s="281"/>
      <c r="AD10" s="281"/>
      <c r="AE10" s="281"/>
      <c r="AF10" s="281"/>
      <c r="AG10" s="281"/>
      <c r="AH10" s="281"/>
      <c r="AI10" s="281"/>
      <c r="AJ10" s="281"/>
      <c r="AK10" s="281"/>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row>
    <row r="11" s="2" customFormat="1" ht="20.1" customHeight="1">
      <c r="A11" s="9"/>
      <c r="B11" s="66"/>
      <c r="C11" s="131"/>
      <c r="D11" s="131"/>
      <c r="E11" s="131"/>
      <c r="G11" s="132"/>
      <c r="H11" s="132"/>
      <c r="I11" s="132"/>
      <c r="J11" s="132"/>
      <c r="K11" s="132"/>
      <c r="L11" s="132"/>
      <c r="M11" s="132"/>
      <c r="N11" s="132"/>
      <c r="O11" s="132"/>
      <c r="P11" s="132"/>
      <c r="Q11" s="132"/>
      <c r="R11" s="132"/>
      <c r="S11" s="132"/>
      <c r="T11" s="132"/>
      <c r="U11" s="132"/>
      <c r="V11" s="132"/>
      <c r="W11" s="281"/>
      <c r="X11" s="281"/>
      <c r="Y11" s="281"/>
      <c r="Z11" s="281"/>
      <c r="AA11" s="281"/>
      <c r="AB11" s="281"/>
      <c r="AC11" s="281"/>
      <c r="AD11" s="281"/>
      <c r="AE11" s="281"/>
      <c r="AF11" s="281"/>
      <c r="AG11" s="281"/>
      <c r="AH11" s="281"/>
      <c r="AI11" s="281"/>
      <c r="AJ11" s="281"/>
      <c r="AK11" s="281"/>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row>
    <row r="12" s="2" customFormat="1" ht="20.1" customHeight="1">
      <c r="A12" s="9"/>
      <c r="B12" s="66"/>
      <c r="C12" s="131"/>
      <c r="D12" s="131"/>
      <c r="E12" s="131"/>
      <c r="G12" s="132"/>
      <c r="H12" s="132"/>
      <c r="I12" s="132"/>
      <c r="J12" s="132"/>
      <c r="K12" s="132"/>
      <c r="L12" s="132"/>
      <c r="M12" s="132"/>
      <c r="N12" s="132"/>
      <c r="O12" s="132"/>
      <c r="P12" s="132"/>
      <c r="Q12" s="132"/>
      <c r="R12" s="132"/>
      <c r="S12" s="132"/>
      <c r="T12" s="132"/>
      <c r="U12" s="132"/>
      <c r="V12" s="132"/>
      <c r="W12" s="281"/>
      <c r="X12" s="281"/>
      <c r="Y12" s="281"/>
      <c r="Z12" s="281"/>
      <c r="AA12" s="281"/>
      <c r="AB12" s="281"/>
      <c r="AC12" s="281"/>
      <c r="AD12" s="281"/>
      <c r="AE12" s="281"/>
      <c r="AF12" s="281"/>
      <c r="AG12" s="281"/>
      <c r="AH12" s="281"/>
      <c r="AI12" s="281"/>
      <c r="AJ12" s="281"/>
      <c r="AK12" s="281"/>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row>
    <row r="13" s="2" customFormat="1" ht="20.1" customHeight="1">
      <c r="A13" s="9"/>
      <c r="B13" s="66"/>
      <c r="C13" s="131"/>
      <c r="D13" s="131"/>
      <c r="E13" s="131"/>
      <c r="G13" s="132"/>
      <c r="H13" s="132"/>
      <c r="I13" s="132"/>
      <c r="J13" s="132"/>
      <c r="K13" s="132"/>
      <c r="L13" s="132"/>
      <c r="M13" s="132"/>
      <c r="N13" s="132"/>
      <c r="O13" s="132"/>
      <c r="P13" s="132"/>
      <c r="Q13" s="132"/>
      <c r="R13" s="132"/>
      <c r="S13" s="132"/>
      <c r="T13" s="132"/>
      <c r="U13" s="132"/>
      <c r="V13" s="132"/>
      <c r="W13" s="281"/>
      <c r="X13" s="1014" t="s">
        <v>43</v>
      </c>
      <c r="Y13" s="1014" t="s">
        <v>46</v>
      </c>
      <c r="Z13" s="1014" t="s">
        <v>47</v>
      </c>
      <c r="AA13" s="1014" t="s">
        <v>48</v>
      </c>
      <c r="AB13" s="1014" t="s">
        <v>49</v>
      </c>
      <c r="AC13" s="1014" t="s">
        <v>50</v>
      </c>
      <c r="AD13" s="1014" t="s">
        <v>51</v>
      </c>
      <c r="AE13" s="1014" t="s">
        <v>40</v>
      </c>
      <c r="AF13" s="1014" t="s">
        <v>52</v>
      </c>
      <c r="AG13" s="281"/>
      <c r="AH13" s="281"/>
      <c r="AI13" s="281"/>
      <c r="AJ13" s="281"/>
      <c r="AK13" s="281"/>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row>
    <row r="14" s="2" customFormat="1" ht="20.1" customHeight="1">
      <c r="A14" s="9"/>
      <c r="B14" s="66"/>
      <c r="C14" s="131"/>
      <c r="D14" s="131"/>
      <c r="E14" s="131"/>
      <c r="G14" s="132"/>
      <c r="H14" s="132"/>
      <c r="I14" s="132"/>
      <c r="J14" s="132"/>
      <c r="K14" s="132"/>
      <c r="L14" s="132"/>
      <c r="M14" s="132"/>
      <c r="N14" s="132"/>
      <c r="O14" s="132"/>
      <c r="P14" s="132"/>
      <c r="Q14" s="132"/>
      <c r="R14" s="132"/>
      <c r="S14" s="132"/>
      <c r="T14" s="132"/>
      <c r="U14" s="132"/>
      <c r="V14" s="132"/>
      <c r="W14" s="281"/>
      <c r="X14" s="1014" t="str">
        <f>D18</f>
      </c>
      <c r="Y14" s="1014" t="str">
        <f>D24</f>
      </c>
      <c r="Z14" s="1014" t="str">
        <f>D30</f>
      </c>
      <c r="AA14" s="1014" t="str">
        <f>D36</f>
      </c>
      <c r="AB14" s="1014" t="str">
        <f>D42</f>
      </c>
      <c r="AC14" s="1014" t="str">
        <f>D48</f>
      </c>
      <c r="AD14" s="1014" t="str">
        <f>D54</f>
      </c>
      <c r="AE14" s="1014" t="str">
        <f>D60</f>
      </c>
      <c r="AF14" s="1014" t="str">
        <f>D66</f>
      </c>
      <c r="AG14" s="281"/>
      <c r="AH14" s="281"/>
      <c r="AI14" s="281"/>
      <c r="AJ14" s="281"/>
      <c r="AK14" s="281"/>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row>
    <row r="15" s="2" customFormat="1" ht="15.95" customHeight="1">
      <c r="D15" s="810" t="s">
        <v>22</v>
      </c>
      <c r="E15" s="810"/>
      <c r="F15" s="810"/>
      <c r="G15" s="810"/>
      <c r="H15" s="810"/>
      <c r="I15" s="962"/>
      <c r="J15" s="810" t="s">
        <v>90</v>
      </c>
      <c r="K15" s="810"/>
      <c r="L15" s="810"/>
      <c r="M15" s="810"/>
      <c r="N15" s="810"/>
      <c r="O15" s="962"/>
      <c r="P15" s="810" t="s">
        <v>10</v>
      </c>
      <c r="Q15" s="810"/>
      <c r="R15" s="810"/>
      <c r="S15" s="810"/>
      <c r="T15" s="810"/>
      <c r="U15" s="962"/>
      <c r="W15" s="281"/>
      <c r="X15" s="1014" t="str">
        <f>F18</f>
      </c>
      <c r="Y15" s="1014" t="str">
        <f>F24</f>
      </c>
      <c r="Z15" s="1014" t="str">
        <f>F30</f>
      </c>
      <c r="AA15" s="1014" t="str">
        <f>F36</f>
      </c>
      <c r="AB15" s="1014" t="str">
        <f>F42</f>
      </c>
      <c r="AC15" s="1014" t="str">
        <f>F48</f>
      </c>
      <c r="AD15" s="1014" t="str">
        <f>F54</f>
      </c>
      <c r="AE15" s="1014" t="str">
        <f>F60</f>
      </c>
      <c r="AF15" s="1014" t="str">
        <f>F66</f>
      </c>
      <c r="AG15" s="281"/>
      <c r="AH15" s="281"/>
      <c r="AI15" s="281"/>
      <c r="AJ15" s="281"/>
      <c r="AK15" s="281"/>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row>
    <row r="16" s="2" customFormat="1" ht="15.95" customHeight="1">
      <c r="D16" s="808" t="s">
        <v>19</v>
      </c>
      <c r="E16" s="809"/>
      <c r="F16" s="808" t="s">
        <v>35</v>
      </c>
      <c r="G16" s="809"/>
      <c r="H16" s="808" t="s">
        <v>97</v>
      </c>
      <c r="I16" s="809"/>
      <c r="J16" s="808" t="s">
        <v>19</v>
      </c>
      <c r="K16" s="809"/>
      <c r="L16" s="808" t="s">
        <v>35</v>
      </c>
      <c r="M16" s="809"/>
      <c r="N16" s="808" t="s">
        <v>98</v>
      </c>
      <c r="O16" s="809"/>
      <c r="P16" s="808" t="s">
        <v>19</v>
      </c>
      <c r="Q16" s="809"/>
      <c r="R16" s="808" t="s">
        <v>35</v>
      </c>
      <c r="S16" s="809"/>
      <c r="T16" s="808" t="s">
        <v>99</v>
      </c>
      <c r="U16" s="809"/>
      <c r="W16" s="281"/>
      <c r="X16" s="1014" t="str">
        <f>J18</f>
      </c>
      <c r="Y16" s="1014" t="str">
        <f>J24</f>
      </c>
      <c r="Z16" s="1014" t="str">
        <f>J30</f>
      </c>
      <c r="AA16" s="1014" t="str">
        <f>J36</f>
      </c>
      <c r="AB16" s="1014" t="str">
        <f>J42</f>
      </c>
      <c r="AC16" s="1014" t="str">
        <f>J48</f>
      </c>
      <c r="AD16" s="1014" t="str">
        <f>J54</f>
      </c>
      <c r="AE16" s="1014" t="str">
        <f>J60</f>
      </c>
      <c r="AF16" s="1014" t="str">
        <f>J66</f>
      </c>
      <c r="AG16" s="281"/>
      <c r="AH16" s="281"/>
      <c r="AI16" s="281"/>
      <c r="AJ16" s="281"/>
      <c r="AK16" s="281"/>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row>
    <row r="17" s="2" customFormat="1" ht="15.95" customHeight="1">
      <c r="B17" s="611" t="s">
        <v>39</v>
      </c>
      <c r="C17" s="611" t="s">
        <v>41</v>
      </c>
      <c r="D17" s="298"/>
      <c r="E17" s="298" t="s">
        <v>24</v>
      </c>
      <c r="F17" s="299"/>
      <c r="G17" s="298" t="s">
        <v>24</v>
      </c>
      <c r="H17" s="299"/>
      <c r="I17" s="298" t="s">
        <v>24</v>
      </c>
      <c r="J17" s="299"/>
      <c r="K17" s="298" t="s">
        <v>24</v>
      </c>
      <c r="L17" s="299"/>
      <c r="M17" s="298" t="s">
        <v>24</v>
      </c>
      <c r="N17" s="299"/>
      <c r="O17" s="298" t="s">
        <v>24</v>
      </c>
      <c r="P17" s="299"/>
      <c r="Q17" s="298" t="s">
        <v>24</v>
      </c>
      <c r="R17" s="299"/>
      <c r="S17" s="298" t="s">
        <v>24</v>
      </c>
      <c r="T17" s="299"/>
      <c r="U17" s="298" t="s">
        <v>24</v>
      </c>
      <c r="W17" s="281"/>
      <c r="X17" s="1014" t="str">
        <f>L18</f>
      </c>
      <c r="Y17" s="1014" t="str">
        <f>L24</f>
      </c>
      <c r="Z17" s="1014" t="str">
        <f>L30</f>
      </c>
      <c r="AA17" s="1014" t="str">
        <f>L36</f>
      </c>
      <c r="AB17" s="1014" t="str">
        <f>L42</f>
      </c>
      <c r="AC17" s="1014" t="str">
        <f>L48</f>
      </c>
      <c r="AD17" s="1014" t="str">
        <f>L54</f>
      </c>
      <c r="AE17" s="1014" t="str">
        <f>L60</f>
      </c>
      <c r="AF17" s="1014" t="str">
        <f>L66</f>
      </c>
      <c r="AG17" s="281"/>
      <c r="AH17" s="281"/>
      <c r="AI17" s="281"/>
      <c r="AJ17" s="281"/>
      <c r="AK17" s="281"/>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row>
    <row r="18" s="2" customFormat="1" ht="15.95" customHeight="1">
      <c r="B18" s="300" t="s">
        <v>43</v>
      </c>
      <c r="C18" s="303" t="s">
        <v>42</v>
      </c>
      <c r="D18" s="307">
        <v>29.032258064516129032258064520</v>
      </c>
      <c r="E18" s="308">
        <v>16.756756756989008035062551120</v>
      </c>
      <c r="F18" s="308">
        <v>49.348659003831417624521072800</v>
      </c>
      <c r="G18" s="308">
        <v>106.90763052246726859244275132</v>
      </c>
      <c r="H18" s="308">
        <v>58.830895612139237661953029950</v>
      </c>
      <c r="I18" s="309">
        <v>-43.570589222807988977886028430</v>
      </c>
      <c r="J18" s="317">
        <v>103.07692115462617701219108332</v>
      </c>
      <c r="K18" s="308">
        <v>-6.4542025376271092711263466200</v>
      </c>
      <c r="L18" s="318">
        <v>88.00759613057869981967304687</v>
      </c>
      <c r="M18" s="308">
        <v>-3.6517540274564746813833197300</v>
      </c>
      <c r="N18" s="308">
        <v>117.12275495136108370204034207</v>
      </c>
      <c r="O18" s="309">
        <v>-2.9086658318435579649899309400</v>
      </c>
      <c r="P18" s="317">
        <v>29.925557754568890100313540319</v>
      </c>
      <c r="Q18" s="308">
        <v>9.221039199480897328242644880</v>
      </c>
      <c r="R18" s="318">
        <v>43.430568511948415849708384816</v>
      </c>
      <c r="S18" s="308">
        <v>99.35187279156992126086098929</v>
      </c>
      <c r="T18" s="308">
        <v>68.904365703546502232848981830</v>
      </c>
      <c r="U18" s="309">
        <v>-45.211932213125187238398062720</v>
      </c>
      <c r="W18" s="281"/>
      <c r="X18" s="1014"/>
      <c r="Y18" s="1014"/>
      <c r="Z18" s="1014"/>
      <c r="AA18" s="1014"/>
      <c r="AB18" s="1014"/>
      <c r="AC18" s="1014"/>
      <c r="AD18" s="1014"/>
      <c r="AE18" s="1014"/>
      <c r="AF18" s="1014"/>
      <c r="AG18" s="281"/>
      <c r="AH18" s="281"/>
      <c r="AI18" s="281"/>
      <c r="AJ18" s="281"/>
      <c r="AK18" s="281"/>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row>
    <row r="19" s="2" customFormat="1" ht="15.95" customHeight="1">
      <c r="B19" s="301"/>
      <c r="C19" s="304" t="s">
        <v>58</v>
      </c>
      <c r="D19" s="310">
        <v>21.803921568627450980392156860</v>
      </c>
      <c r="E19" s="134">
        <v>-2.5526501767497918405773054700</v>
      </c>
      <c r="F19" s="134">
        <v>34.526546250684181718664477290</v>
      </c>
      <c r="G19" s="134">
        <v>35.740932279196835708100094060</v>
      </c>
      <c r="H19" s="134">
        <v>63.151180573659008005692268750</v>
      </c>
      <c r="I19" s="311">
        <v>-28.210784921677666886886722930</v>
      </c>
      <c r="J19" s="319">
        <v>101.36722889903012954266204606</v>
      </c>
      <c r="K19" s="134">
        <v>-3.9329480962165606131052754200</v>
      </c>
      <c r="L19" s="135">
        <v>93.13681845839832260703324653</v>
      </c>
      <c r="M19" s="134">
        <v>-7.5336799352165117366362710900</v>
      </c>
      <c r="N19" s="134">
        <v>108.83690314620987536898241184</v>
      </c>
      <c r="O19" s="311">
        <v>3.8941009401622288597480979800</v>
      </c>
      <c r="P19" s="319">
        <v>22.102031085435589029694155925</v>
      </c>
      <c r="Q19" s="134">
        <v>-6.3852038662556537332653657500</v>
      </c>
      <c r="R19" s="135">
        <v>32.156926701454658949379623378</v>
      </c>
      <c r="S19" s="134">
        <v>25.514644899995353531007635700</v>
      </c>
      <c r="T19" s="134">
        <v>68.731789236577176360406040540</v>
      </c>
      <c r="U19" s="311">
        <v>-25.415240422321768663214077310</v>
      </c>
      <c r="W19" s="281"/>
      <c r="X19" s="281"/>
      <c r="Y19" s="281"/>
      <c r="Z19" s="281"/>
      <c r="AA19" s="281"/>
      <c r="AB19" s="281"/>
      <c r="AC19" s="281"/>
      <c r="AD19" s="281"/>
      <c r="AE19" s="281"/>
      <c r="AF19" s="281"/>
      <c r="AG19" s="281"/>
      <c r="AH19" s="281"/>
      <c r="AI19" s="281"/>
      <c r="AJ19" s="281"/>
      <c r="AK19" s="281"/>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row>
    <row r="20" s="2" customFormat="1" ht="15.95" customHeight="1">
      <c r="B20" s="301"/>
      <c r="C20" s="305" t="s">
        <v>44</v>
      </c>
      <c r="D20" s="312">
        <v>24.563401670463173880030372060</v>
      </c>
      <c r="E20" s="159">
        <v>1.8770244238017965439088456500</v>
      </c>
      <c r="F20" s="159">
        <v>40.038314176245210727969348660</v>
      </c>
      <c r="G20" s="159">
        <v>47.262872628546698393813425440</v>
      </c>
      <c r="H20" s="159">
        <v>61.349740057398350736982776200</v>
      </c>
      <c r="I20" s="313">
        <v>-30.819613521308330031658221950</v>
      </c>
      <c r="J20" s="320">
        <v>97.52285154944012797848705688</v>
      </c>
      <c r="K20" s="159">
        <v>-6.4561200304287318679385717700</v>
      </c>
      <c r="L20" s="160">
        <v>93.02776396565254418746426959</v>
      </c>
      <c r="M20" s="159">
        <v>-5.9184068694554346113542489500</v>
      </c>
      <c r="N20" s="159">
        <v>104.83198498181413758074342846</v>
      </c>
      <c r="O20" s="313">
        <v>-0.5715391747758660137408698800</v>
      </c>
      <c r="P20" s="320">
        <v>23.954929746578497646955628625</v>
      </c>
      <c r="Q20" s="159">
        <v>-4.7002785562599244767561162700</v>
      </c>
      <c r="R20" s="160">
        <v>37.246748407703796427547954684</v>
      </c>
      <c r="S20" s="159">
        <v>38.547256658768176494004696060</v>
      </c>
      <c r="T20" s="159">
        <v>64.314150283320592020161263360</v>
      </c>
      <c r="U20" s="313">
        <v>-31.215006531299999525554318480</v>
      </c>
      <c r="W20" s="281"/>
      <c r="X20" s="281"/>
      <c r="Y20" s="281"/>
      <c r="Z20" s="281"/>
      <c r="AA20" s="281"/>
      <c r="AB20" s="281"/>
      <c r="AC20" s="281"/>
      <c r="AD20" s="281"/>
      <c r="AE20" s="281"/>
      <c r="AF20" s="281"/>
      <c r="AG20" s="281"/>
      <c r="AH20" s="281"/>
      <c r="AI20" s="281"/>
      <c r="AJ20" s="281"/>
      <c r="AK20" s="281"/>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row>
    <row r="21" s="2" customFormat="1" ht="15.95" customHeight="1">
      <c r="B21" s="302"/>
      <c r="C21" s="306" t="s">
        <v>45</v>
      </c>
      <c r="D21" s="314">
        <v>22.926279093612221880447041940</v>
      </c>
      <c r="E21" s="315">
        <v>-13.110120927427351597669783550</v>
      </c>
      <c r="F21" s="315">
        <v>32.104388057543555266391961250</v>
      </c>
      <c r="G21" s="315">
        <v>24.857059832391287206920357430</v>
      </c>
      <c r="H21" s="315">
        <v>71.411668250927295783255070510</v>
      </c>
      <c r="I21" s="316">
        <v>-30.408517396313718919836265350</v>
      </c>
      <c r="J21" s="321">
        <v>102.26721824114168330878443759</v>
      </c>
      <c r="K21" s="315">
        <v>-1.4662366699258321755275202700</v>
      </c>
      <c r="L21" s="322">
        <v>94.0195842746810168842647621</v>
      </c>
      <c r="M21" s="315">
        <v>-5.4069351918800381249589433700</v>
      </c>
      <c r="N21" s="315">
        <v>108.77225104755229472314861974</v>
      </c>
      <c r="O21" s="316">
        <v>4.165948666435742463265517700</v>
      </c>
      <c r="P21" s="321">
        <v>23.446067875237650351526915048</v>
      </c>
      <c r="Q21" s="315">
        <v>-14.384132196838566231432157690</v>
      </c>
      <c r="R21" s="322">
        <v>30.184412185632790861202906709</v>
      </c>
      <c r="S21" s="315">
        <v>18.106119524969813297754302750</v>
      </c>
      <c r="T21" s="315">
        <v>77.676079067138520382367631410</v>
      </c>
      <c r="U21" s="316">
        <v>-27.509371954915079026875348360</v>
      </c>
      <c r="W21" s="281"/>
      <c r="X21" s="281"/>
      <c r="Y21" s="281"/>
      <c r="Z21" s="281"/>
      <c r="AA21" s="281"/>
      <c r="AB21" s="281"/>
      <c r="AC21" s="281"/>
      <c r="AD21" s="281"/>
      <c r="AE21" s="281"/>
      <c r="AF21" s="281"/>
      <c r="AG21" s="281"/>
      <c r="AH21" s="281"/>
      <c r="AI21" s="281"/>
      <c r="AJ21" s="281"/>
      <c r="AK21" s="281"/>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row>
    <row r="22" s="2" customFormat="1" ht="5.1" customHeight="1">
      <c r="B22" s="297"/>
      <c r="C22" s="297"/>
      <c r="D22" s="159"/>
      <c r="E22" s="159"/>
      <c r="F22" s="159"/>
      <c r="G22" s="159"/>
      <c r="H22" s="159"/>
      <c r="I22" s="159"/>
      <c r="J22" s="160"/>
      <c r="K22" s="159"/>
      <c r="L22" s="160"/>
      <c r="M22" s="159"/>
      <c r="N22" s="159"/>
      <c r="O22" s="159"/>
      <c r="P22" s="160"/>
      <c r="Q22" s="159"/>
      <c r="R22" s="160"/>
      <c r="S22" s="159"/>
      <c r="T22" s="159"/>
      <c r="U22" s="159"/>
      <c r="W22" s="281"/>
      <c r="X22" s="281"/>
      <c r="Y22" s="281"/>
      <c r="Z22" s="281"/>
      <c r="AA22" s="281"/>
      <c r="AB22" s="281"/>
      <c r="AC22" s="281"/>
      <c r="AD22" s="281"/>
      <c r="AE22" s="281"/>
      <c r="AF22" s="281"/>
      <c r="AG22" s="281"/>
      <c r="AH22" s="281"/>
      <c r="AI22" s="281"/>
      <c r="AJ22" s="281"/>
      <c r="AK22" s="281"/>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row>
    <row r="23" s="9" customFormat="1" ht="5.1" customHeight="1">
      <c r="B23" s="297"/>
      <c r="C23" s="297"/>
      <c r="D23" s="159"/>
      <c r="E23" s="159"/>
      <c r="F23" s="159"/>
      <c r="G23" s="159"/>
      <c r="H23" s="159"/>
      <c r="I23" s="159"/>
      <c r="J23" s="160"/>
      <c r="K23" s="159"/>
      <c r="L23" s="160"/>
      <c r="M23" s="159"/>
      <c r="N23" s="159"/>
      <c r="O23" s="159"/>
      <c r="P23" s="160"/>
      <c r="Q23" s="159"/>
      <c r="R23" s="160"/>
      <c r="S23" s="159"/>
      <c r="T23" s="159"/>
      <c r="U23" s="159"/>
      <c r="W23" s="281"/>
      <c r="X23" s="281"/>
      <c r="Y23" s="281"/>
      <c r="Z23" s="281"/>
      <c r="AA23" s="281"/>
      <c r="AB23" s="281"/>
      <c r="AC23" s="281"/>
      <c r="AD23" s="281"/>
      <c r="AE23" s="281"/>
      <c r="AF23" s="281"/>
      <c r="AG23" s="281"/>
      <c r="AH23" s="281"/>
      <c r="AI23" s="281"/>
      <c r="AJ23" s="281"/>
      <c r="AK23" s="281"/>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c r="DA23" s="54"/>
      <c r="DB23" s="54"/>
      <c r="DC23" s="54"/>
      <c r="DD23" s="54"/>
      <c r="DE23" s="54"/>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4"/>
      <c r="EF23" s="54"/>
      <c r="EG23" s="54"/>
      <c r="EH23" s="54"/>
      <c r="EI23" s="54"/>
    </row>
    <row r="24" s="2" customFormat="1" ht="15.95" customHeight="1">
      <c r="B24" s="323" t="s">
        <v>46</v>
      </c>
      <c r="C24" s="303" t="s">
        <v>42</v>
      </c>
      <c r="D24" s="307">
        <v>29.032258064516129032258064520</v>
      </c>
      <c r="E24" s="308">
        <v>11.917098445396375741631003370</v>
      </c>
      <c r="F24" s="308">
        <v>56.082375478927203065134099620</v>
      </c>
      <c r="G24" s="308">
        <v>53.473132372087817798611848630</v>
      </c>
      <c r="H24" s="308">
        <v>51.767168948538924996855344860</v>
      </c>
      <c r="I24" s="309">
        <v>-27.077074198036502329484616610</v>
      </c>
      <c r="J24" s="317">
        <v>95.09180232995677822528856544</v>
      </c>
      <c r="K24" s="308">
        <v>-19.982580973865097201573695770</v>
      </c>
      <c r="L24" s="318">
        <v>91.6075406430307576538306887</v>
      </c>
      <c r="M24" s="308">
        <v>-9.362757285779434528250867720</v>
      </c>
      <c r="N24" s="308">
        <v>103.80346602746945466351347493</v>
      </c>
      <c r="O24" s="309">
        <v>-11.716843286524342638104564380</v>
      </c>
      <c r="P24" s="317">
        <v>27.607297450632613033148293194</v>
      </c>
      <c r="Q24" s="308">
        <v>-10.446826374805068488135093940</v>
      </c>
      <c r="R24" s="318">
        <v>51.375684910435353071185697543</v>
      </c>
      <c r="S24" s="308">
        <v>39.103815489139105885716920890</v>
      </c>
      <c r="T24" s="308">
        <v>53.736115632872189714262253010</v>
      </c>
      <c r="U24" s="309">
        <v>-35.621339134183824971432534660</v>
      </c>
      <c r="W24" s="281"/>
      <c r="X24" s="281"/>
      <c r="Y24" s="281"/>
      <c r="Z24" s="281"/>
      <c r="AA24" s="281"/>
      <c r="AB24" s="281"/>
      <c r="AC24" s="281"/>
      <c r="AD24" s="281"/>
      <c r="AE24" s="281"/>
      <c r="AF24" s="281"/>
      <c r="AG24" s="281"/>
      <c r="AH24" s="281"/>
      <c r="AI24" s="281"/>
      <c r="AJ24" s="281"/>
      <c r="AK24" s="281"/>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row>
    <row r="25" s="2" customFormat="1" ht="15.95" customHeight="1">
      <c r="B25" s="324"/>
      <c r="C25" s="304" t="s">
        <v>58</v>
      </c>
      <c r="D25" s="310">
        <v>27.311187715449702287684111560</v>
      </c>
      <c r="E25" s="134">
        <v>-15.294982359351329002947751790</v>
      </c>
      <c r="F25" s="134">
        <v>46.670047329276538201487491550</v>
      </c>
      <c r="G25" s="134">
        <v>31.858643269346307056441883600</v>
      </c>
      <c r="H25" s="134">
        <v>58.519734344266285165762173990</v>
      </c>
      <c r="I25" s="311">
        <v>-35.760739273251250669088550130</v>
      </c>
      <c r="J25" s="319">
        <v>106.01802531433417157511827392</v>
      </c>
      <c r="K25" s="134">
        <v>-4.0519200309448950838239733800</v>
      </c>
      <c r="L25" s="135">
        <v>98.02715083617044045625656733</v>
      </c>
      <c r="M25" s="134">
        <v>-8.273441771482357816213700440</v>
      </c>
      <c r="N25" s="134">
        <v>108.15169512728840624330363671</v>
      </c>
      <c r="O25" s="311">
        <v>4.6022894808767674923872252300</v>
      </c>
      <c r="P25" s="319">
        <v>28.954781905810789886466805304</v>
      </c>
      <c r="Q25" s="134">
        <v>-18.727161936483071004565213230</v>
      </c>
      <c r="R25" s="135">
        <v>45.749317690782046331934479784</v>
      </c>
      <c r="S25" s="134">
        <v>20.949395197692077199732563870</v>
      </c>
      <c r="T25" s="134">
        <v>63.290084677336024350766917650</v>
      </c>
      <c r="U25" s="311">
        <v>-32.804262534169924036332221220</v>
      </c>
      <c r="W25" s="281"/>
      <c r="X25" s="281"/>
      <c r="Y25" s="281"/>
      <c r="Z25" s="281"/>
      <c r="AA25" s="281"/>
      <c r="AB25" s="281"/>
      <c r="AC25" s="281"/>
      <c r="AD25" s="281"/>
      <c r="AE25" s="281"/>
      <c r="AF25" s="281"/>
      <c r="AG25" s="281"/>
      <c r="AH25" s="281"/>
      <c r="AI25" s="281"/>
      <c r="AJ25" s="281"/>
      <c r="AK25" s="281"/>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row>
    <row r="26" s="2" customFormat="1" ht="15.95" customHeight="1">
      <c r="B26" s="324"/>
      <c r="C26" s="305" t="s">
        <v>44</v>
      </c>
      <c r="D26" s="312">
        <v>32.720588235294117647058823530</v>
      </c>
      <c r="E26" s="159">
        <v>12.065697383745244312444626090</v>
      </c>
      <c r="F26" s="159">
        <v>49.233716475095785440613026820</v>
      </c>
      <c r="G26" s="159">
        <v>34.176706827329929259205499880</v>
      </c>
      <c r="H26" s="159">
        <v>66.459716182187032287971586650</v>
      </c>
      <c r="I26" s="313">
        <v>-16.479022303017291975890728650</v>
      </c>
      <c r="J26" s="320">
        <v>99.83807297482351020443012441</v>
      </c>
      <c r="K26" s="159">
        <v>-8.123334050589308335043277790</v>
      </c>
      <c r="L26" s="160">
        <v>98.07776621915374093517153549</v>
      </c>
      <c r="M26" s="159">
        <v>-8.405028662861716359363349650</v>
      </c>
      <c r="N26" s="159">
        <v>101.79480714486226464710874461</v>
      </c>
      <c r="O26" s="313">
        <v>0.3075437527899743455330363100</v>
      </c>
      <c r="P26" s="320">
        <v>32.667604760144457383067209824</v>
      </c>
      <c r="Q26" s="159">
        <v>2.9622264291745362975021840400</v>
      </c>
      <c r="R26" s="160">
        <v>48.287329345445424176894798124</v>
      </c>
      <c r="S26" s="159">
        <v>22.899116159744840114063859210</v>
      </c>
      <c r="T26" s="159">
        <v>67.652539916781449043296813600</v>
      </c>
      <c r="U26" s="313">
        <v>-16.222158753853638989955587580</v>
      </c>
      <c r="W26" s="281"/>
      <c r="X26" s="281"/>
      <c r="Y26" s="281"/>
      <c r="Z26" s="281"/>
      <c r="AA26" s="281"/>
      <c r="AB26" s="281"/>
      <c r="AC26" s="281"/>
      <c r="AD26" s="281"/>
      <c r="AE26" s="281"/>
      <c r="AF26" s="281"/>
      <c r="AG26" s="281"/>
      <c r="AH26" s="281"/>
      <c r="AI26" s="281"/>
      <c r="AJ26" s="281"/>
      <c r="AK26" s="281"/>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row>
    <row r="27" s="2" customFormat="1" ht="15.95" customHeight="1">
      <c r="B27" s="325"/>
      <c r="C27" s="306" t="s">
        <v>45</v>
      </c>
      <c r="D27" s="314">
        <v>28.709016393442622950819672130</v>
      </c>
      <c r="E27" s="315">
        <v>-17.653141590336608992071412660</v>
      </c>
      <c r="F27" s="315">
        <v>42.731358679634541703507220750</v>
      </c>
      <c r="G27" s="315">
        <v>22.752901334336942540148404650</v>
      </c>
      <c r="H27" s="315">
        <v>67.184890161586040426519890600</v>
      </c>
      <c r="I27" s="316">
        <v>-32.916568557990230086202835620</v>
      </c>
      <c r="J27" s="321">
        <v>106.18003082435888555587087895</v>
      </c>
      <c r="K27" s="315">
        <v>-0.6777894556035212662070399500</v>
      </c>
      <c r="L27" s="322">
        <v>98.32453380158959667199362512</v>
      </c>
      <c r="M27" s="315">
        <v>-6.8875744355214965930965082200</v>
      </c>
      <c r="N27" s="315">
        <v>107.98935598170215362888773188</v>
      </c>
      <c r="O27" s="316">
        <v>6.6691259971796187569730177500</v>
      </c>
      <c r="P27" s="321">
        <v>30.48324245592762267700309455</v>
      </c>
      <c r="Q27" s="315">
        <v>-18.211279913684628982736160640</v>
      </c>
      <c r="R27" s="322">
        <v>42.015409208835754929209182795</v>
      </c>
      <c r="S27" s="315">
        <v>14.298203883123680455036148390</v>
      </c>
      <c r="T27" s="315">
        <v>72.552530202521507321607144800</v>
      </c>
      <c r="U27" s="316">
        <v>-28.442689991884326167847941860</v>
      </c>
      <c r="W27" s="281"/>
      <c r="X27" s="281"/>
      <c r="Y27" s="281"/>
      <c r="Z27" s="281"/>
      <c r="AA27" s="281"/>
      <c r="AB27" s="281"/>
      <c r="AC27" s="281"/>
      <c r="AD27" s="281"/>
      <c r="AE27" s="281"/>
      <c r="AF27" s="281"/>
      <c r="AG27" s="281"/>
      <c r="AH27" s="281"/>
      <c r="AI27" s="281"/>
      <c r="AJ27" s="281"/>
      <c r="AK27" s="281"/>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row>
    <row r="28" s="2" customFormat="1" ht="5.1" customHeight="1">
      <c r="B28" s="54"/>
      <c r="C28" s="297"/>
      <c r="D28" s="159"/>
      <c r="E28" s="159"/>
      <c r="F28" s="159"/>
      <c r="G28" s="159"/>
      <c r="H28" s="159"/>
      <c r="I28" s="159"/>
      <c r="J28" s="160"/>
      <c r="K28" s="159"/>
      <c r="L28" s="160"/>
      <c r="M28" s="159"/>
      <c r="N28" s="159"/>
      <c r="O28" s="159"/>
      <c r="P28" s="160"/>
      <c r="Q28" s="159"/>
      <c r="R28" s="160"/>
      <c r="S28" s="159"/>
      <c r="T28" s="159"/>
      <c r="U28" s="159"/>
      <c r="W28" s="281"/>
      <c r="X28" s="281"/>
      <c r="Y28" s="281"/>
      <c r="Z28" s="281"/>
      <c r="AA28" s="281"/>
      <c r="AB28" s="281"/>
      <c r="AC28" s="281"/>
      <c r="AD28" s="281"/>
      <c r="AE28" s="281"/>
      <c r="AF28" s="281"/>
      <c r="AG28" s="281"/>
      <c r="AH28" s="281"/>
      <c r="AI28" s="281"/>
      <c r="AJ28" s="281"/>
      <c r="AK28" s="281"/>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row>
    <row r="29" s="9" customFormat="1" ht="5.1" customHeight="1">
      <c r="B29" s="54"/>
      <c r="C29" s="297"/>
      <c r="D29" s="159"/>
      <c r="E29" s="159"/>
      <c r="F29" s="159"/>
      <c r="G29" s="159"/>
      <c r="H29" s="159"/>
      <c r="I29" s="159"/>
      <c r="J29" s="160"/>
      <c r="K29" s="159"/>
      <c r="L29" s="160"/>
      <c r="M29" s="159"/>
      <c r="N29" s="159"/>
      <c r="O29" s="159"/>
      <c r="P29" s="160"/>
      <c r="Q29" s="159"/>
      <c r="R29" s="160"/>
      <c r="S29" s="159"/>
      <c r="T29" s="159"/>
      <c r="U29" s="159"/>
      <c r="W29" s="281"/>
      <c r="X29" s="281"/>
      <c r="Y29" s="281"/>
      <c r="Z29" s="281"/>
      <c r="AA29" s="281"/>
      <c r="AB29" s="281"/>
      <c r="AC29" s="281"/>
      <c r="AD29" s="281"/>
      <c r="AE29" s="281"/>
      <c r="AF29" s="281"/>
      <c r="AG29" s="281"/>
      <c r="AH29" s="281"/>
      <c r="AI29" s="281"/>
      <c r="AJ29" s="281"/>
      <c r="AK29" s="281"/>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row>
    <row r="30" s="2" customFormat="1" ht="15.95" customHeight="1">
      <c r="B30" s="323" t="s">
        <v>47</v>
      </c>
      <c r="C30" s="303" t="s">
        <v>42</v>
      </c>
      <c r="D30" s="307">
        <v>34.274193548387096774193548390</v>
      </c>
      <c r="E30" s="308">
        <v>-3.0418250950806286053000564200</v>
      </c>
      <c r="F30" s="308">
        <v>63.505747126436781609195402300</v>
      </c>
      <c r="G30" s="308">
        <v>47.826086956668082012505597840</v>
      </c>
      <c r="H30" s="308">
        <v>53.970223325093293511334691320</v>
      </c>
      <c r="I30" s="308">
        <v>-34.410646387891448417755520550</v>
      </c>
      <c r="J30" s="317">
        <v>96.1717497820436004938325953</v>
      </c>
      <c r="K30" s="308">
        <v>-7.2010682676562834822988184300</v>
      </c>
      <c r="L30" s="318">
        <v>96.89401476302631758764981492</v>
      </c>
      <c r="M30" s="308">
        <v>-22.290435218587414886412678120</v>
      </c>
      <c r="N30" s="308">
        <v>99.25458246030671855713639101</v>
      </c>
      <c r="O30" s="309">
        <v>19.417644395914649913426134150</v>
      </c>
      <c r="P30" s="317">
        <v>32.962091659168169524095849195</v>
      </c>
      <c r="Q30" s="308">
        <v>-10.0238494609635946520386800</v>
      </c>
      <c r="R30" s="318">
        <v>61.533267996059816628938531892</v>
      </c>
      <c r="S30" s="308">
        <v>14.875008807366878177750564230</v>
      </c>
      <c r="T30" s="308">
        <v>53.567919814135856390476689120</v>
      </c>
      <c r="U30" s="309">
        <v>-21.674738941959153298249813770</v>
      </c>
      <c r="W30" s="281"/>
      <c r="X30" s="281"/>
      <c r="Y30" s="281"/>
      <c r="Z30" s="281"/>
      <c r="AA30" s="281"/>
      <c r="AB30" s="281"/>
      <c r="AC30" s="281"/>
      <c r="AD30" s="281"/>
      <c r="AE30" s="281"/>
      <c r="AF30" s="281"/>
      <c r="AG30" s="281"/>
      <c r="AH30" s="281"/>
      <c r="AI30" s="281"/>
      <c r="AJ30" s="281"/>
      <c r="AK30" s="281"/>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c r="EE30" s="34"/>
      <c r="EF30" s="34"/>
      <c r="EG30" s="34"/>
      <c r="EH30" s="34"/>
      <c r="EI30" s="34"/>
    </row>
    <row r="31" s="2" customFormat="1" ht="15.95" customHeight="1">
      <c r="B31" s="324"/>
      <c r="C31" s="304" t="s">
        <v>58</v>
      </c>
      <c r="D31" s="310">
        <v>36.950194049159120310478654590</v>
      </c>
      <c r="E31" s="134">
        <v>-10.908976570403353407040051220</v>
      </c>
      <c r="F31" s="134">
        <v>55.989407257155735857561415370</v>
      </c>
      <c r="G31" s="134">
        <v>25.991743942813323297078805800</v>
      </c>
      <c r="H31" s="134">
        <v>65.994972726573172060444319500</v>
      </c>
      <c r="I31" s="134">
        <v>-29.288205209667880614142124380</v>
      </c>
      <c r="J31" s="319">
        <v>107.87519294376965384570537887</v>
      </c>
      <c r="K31" s="134">
        <v>-5.4528823981507325352566880900</v>
      </c>
      <c r="L31" s="135">
        <v>102.55668881828898488423677299</v>
      </c>
      <c r="M31" s="134">
        <v>-8.373936709783883402691284250</v>
      </c>
      <c r="N31" s="134">
        <v>105.18591638122449907717895777</v>
      </c>
      <c r="O31" s="311">
        <v>3.1880168226109507848634229900</v>
      </c>
      <c r="P31" s="319">
        <v>39.860093123627693893505302508</v>
      </c>
      <c r="Q31" s="134">
        <v>-15.767005305205900561428183590</v>
      </c>
      <c r="R31" s="135">
        <v>57.420882171925717984824251364</v>
      </c>
      <c r="S31" s="134">
        <v>15.441275045637000665380418500</v>
      </c>
      <c r="T31" s="134">
        <v>69.41741682807859754929956200</v>
      </c>
      <c r="U31" s="311">
        <v>-27.033901296165071103704749930</v>
      </c>
      <c r="W31" s="281"/>
      <c r="X31" s="281"/>
      <c r="Y31" s="281"/>
      <c r="Z31" s="281"/>
      <c r="AA31" s="281"/>
      <c r="AB31" s="281"/>
      <c r="AC31" s="281"/>
      <c r="AD31" s="281"/>
      <c r="AE31" s="281"/>
      <c r="AF31" s="281"/>
      <c r="AG31" s="281"/>
      <c r="AH31" s="281"/>
      <c r="AI31" s="281"/>
      <c r="AJ31" s="281"/>
      <c r="AK31" s="281"/>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c r="EE31" s="34"/>
      <c r="EF31" s="34"/>
      <c r="EG31" s="34"/>
      <c r="EH31" s="34"/>
      <c r="EI31" s="34"/>
    </row>
    <row r="32" s="2" customFormat="1" ht="15.95" customHeight="1">
      <c r="B32" s="324"/>
      <c r="C32" s="305" t="s">
        <v>44</v>
      </c>
      <c r="D32" s="312">
        <v>41.555555555555555555555555560</v>
      </c>
      <c r="E32" s="159">
        <v>17.522027290560504453336176280</v>
      </c>
      <c r="F32" s="159">
        <v>60.904804008252284114353079870</v>
      </c>
      <c r="G32" s="159">
        <v>35.021234890616248850953003860</v>
      </c>
      <c r="H32" s="159">
        <v>68.230341156491427572062734280</v>
      </c>
      <c r="I32" s="159">
        <v>-12.960337397646965857597318990</v>
      </c>
      <c r="J32" s="320">
        <v>100.62305238079744663021593393</v>
      </c>
      <c r="K32" s="159">
        <v>-8.816975352530009784364737270</v>
      </c>
      <c r="L32" s="160">
        <v>104.17198685946136523299632899</v>
      </c>
      <c r="M32" s="159">
        <v>-8.575945910103471731430904280</v>
      </c>
      <c r="N32" s="159">
        <v>96.59319689900019692752064969</v>
      </c>
      <c r="O32" s="313">
        <v>-0.2636389786611761941182533100</v>
      </c>
      <c r="P32" s="320">
        <v>41.814468433798050044111954764</v>
      </c>
      <c r="Q32" s="159">
        <v>7.1601391103976568790637589700</v>
      </c>
      <c r="R32" s="160">
        <v>63.445744428257268274089865563</v>
      </c>
      <c r="S32" s="159">
        <v>23.441886819239947665633451850</v>
      </c>
      <c r="T32" s="159">
        <v>65.905867778181020858014751040</v>
      </c>
      <c r="U32" s="313">
        <v>-13.189807875103551507520619410</v>
      </c>
      <c r="W32" s="281"/>
      <c r="X32" s="281"/>
      <c r="Y32" s="281"/>
      <c r="Z32" s="281"/>
      <c r="AA32" s="281"/>
      <c r="AB32" s="281"/>
      <c r="AC32" s="281"/>
      <c r="AD32" s="281"/>
      <c r="AE32" s="281"/>
      <c r="AF32" s="281"/>
      <c r="AG32" s="281"/>
      <c r="AH32" s="281"/>
      <c r="AI32" s="281"/>
      <c r="AJ32" s="281"/>
      <c r="AK32" s="281"/>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row>
    <row r="33" s="2" customFormat="1" ht="15.95" customHeight="1">
      <c r="B33" s="325"/>
      <c r="C33" s="306" t="s">
        <v>45</v>
      </c>
      <c r="D33" s="314">
        <v>37.513340448239060832443970120</v>
      </c>
      <c r="E33" s="315">
        <v>-13.694331870679422697651552650</v>
      </c>
      <c r="F33" s="315">
        <v>51.234158561744768641320365460</v>
      </c>
      <c r="G33" s="315">
        <v>17.702914170433684501026111220</v>
      </c>
      <c r="H33" s="315">
        <v>73.219394055359950335257054650</v>
      </c>
      <c r="I33" s="315">
        <v>-26.674994635768676919441323640</v>
      </c>
      <c r="J33" s="321">
        <v>109.62853650480283046145134425</v>
      </c>
      <c r="K33" s="315">
        <v>-1.228009140448056526856783400</v>
      </c>
      <c r="L33" s="322">
        <v>102.31048254069779291584466717</v>
      </c>
      <c r="M33" s="315">
        <v>-5.6954384318649033743318815200</v>
      </c>
      <c r="N33" s="315">
        <v>107.15278999998034896517992887</v>
      </c>
      <c r="O33" s="316">
        <v>4.7372356301539697276104791700</v>
      </c>
      <c r="P33" s="321">
        <v>41.125326127468724554109015478</v>
      </c>
      <c r="Q33" s="315">
        <v>-14.754173364019535580445393330</v>
      </c>
      <c r="R33" s="322">
        <v>52.417914850187304969077946743</v>
      </c>
      <c r="S33" s="315">
        <v>10.999217161175155058136810280</v>
      </c>
      <c r="T33" s="315">
        <v>78.456623551312078387655268060</v>
      </c>
      <c r="U33" s="316">
        <v>-23.201416355860117093548886740</v>
      </c>
      <c r="W33" s="281"/>
      <c r="X33" s="281"/>
      <c r="Y33" s="281"/>
      <c r="Z33" s="281"/>
      <c r="AA33" s="281"/>
      <c r="AB33" s="281"/>
      <c r="AC33" s="281"/>
      <c r="AD33" s="281"/>
      <c r="AE33" s="281"/>
      <c r="AF33" s="281"/>
      <c r="AG33" s="281"/>
      <c r="AH33" s="281"/>
      <c r="AI33" s="281"/>
      <c r="AJ33" s="281"/>
      <c r="AK33" s="281"/>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row>
    <row r="34" s="2" customFormat="1" ht="5.1" customHeight="1">
      <c r="B34" s="54"/>
      <c r="C34" s="297"/>
      <c r="D34" s="159"/>
      <c r="E34" s="159"/>
      <c r="F34" s="159"/>
      <c r="G34" s="159"/>
      <c r="H34" s="159"/>
      <c r="I34" s="159"/>
      <c r="J34" s="160"/>
      <c r="K34" s="159"/>
      <c r="L34" s="160"/>
      <c r="M34" s="159"/>
      <c r="N34" s="159"/>
      <c r="O34" s="159"/>
      <c r="P34" s="160"/>
      <c r="Q34" s="159"/>
      <c r="R34" s="160"/>
      <c r="S34" s="159"/>
      <c r="T34" s="159"/>
      <c r="U34" s="159"/>
      <c r="W34" s="281"/>
      <c r="X34" s="281"/>
      <c r="Y34" s="281"/>
      <c r="Z34" s="281"/>
      <c r="AA34" s="281"/>
      <c r="AB34" s="281"/>
      <c r="AC34" s="281"/>
      <c r="AD34" s="281"/>
      <c r="AE34" s="281"/>
      <c r="AF34" s="281"/>
      <c r="AG34" s="281"/>
      <c r="AH34" s="281"/>
      <c r="AI34" s="281"/>
      <c r="AJ34" s="281"/>
      <c r="AK34" s="281"/>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c r="DZ34" s="34"/>
      <c r="EA34" s="34"/>
      <c r="EB34" s="34"/>
      <c r="EC34" s="34"/>
      <c r="ED34" s="34"/>
      <c r="EE34" s="34"/>
      <c r="EF34" s="34"/>
      <c r="EG34" s="34"/>
      <c r="EH34" s="34"/>
      <c r="EI34" s="34"/>
    </row>
    <row r="35" s="9" customFormat="1" ht="5.1" customHeight="1">
      <c r="B35" s="54"/>
      <c r="C35" s="297"/>
      <c r="D35" s="159"/>
      <c r="E35" s="159"/>
      <c r="F35" s="159"/>
      <c r="G35" s="159"/>
      <c r="H35" s="159"/>
      <c r="I35" s="159"/>
      <c r="J35" s="160"/>
      <c r="K35" s="159"/>
      <c r="L35" s="160"/>
      <c r="M35" s="159"/>
      <c r="N35" s="159"/>
      <c r="O35" s="159"/>
      <c r="P35" s="160"/>
      <c r="Q35" s="159"/>
      <c r="R35" s="160"/>
      <c r="S35" s="159"/>
      <c r="T35" s="159"/>
      <c r="U35" s="159"/>
      <c r="W35" s="281"/>
      <c r="X35" s="281"/>
      <c r="Y35" s="281"/>
      <c r="Z35" s="281"/>
      <c r="AA35" s="281"/>
      <c r="AB35" s="281"/>
      <c r="AC35" s="281"/>
      <c r="AD35" s="281"/>
      <c r="AE35" s="281"/>
      <c r="AF35" s="281"/>
      <c r="AG35" s="281"/>
      <c r="AH35" s="281"/>
      <c r="AI35" s="281"/>
      <c r="AJ35" s="281"/>
      <c r="AK35" s="281"/>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54"/>
      <c r="CR35" s="54"/>
      <c r="CS35" s="54"/>
      <c r="CT35" s="54"/>
      <c r="CU35" s="54"/>
      <c r="CV35" s="54"/>
      <c r="CW35" s="54"/>
      <c r="CX35" s="54"/>
      <c r="CY35" s="54"/>
      <c r="CZ35" s="54"/>
      <c r="DA35" s="54"/>
      <c r="DB35" s="54"/>
      <c r="DC35" s="54"/>
      <c r="DD35" s="54"/>
      <c r="DE35" s="54"/>
      <c r="DF35" s="54"/>
      <c r="DG35" s="54"/>
      <c r="DH35" s="54"/>
      <c r="DI35" s="54"/>
      <c r="DJ35" s="54"/>
      <c r="DK35" s="54"/>
      <c r="DL35" s="54"/>
      <c r="DM35" s="54"/>
      <c r="DN35" s="54"/>
      <c r="DO35" s="54"/>
      <c r="DP35" s="54"/>
      <c r="DQ35" s="54"/>
      <c r="DR35" s="54"/>
      <c r="DS35" s="54"/>
      <c r="DT35" s="54"/>
      <c r="DU35" s="54"/>
      <c r="DV35" s="54"/>
      <c r="DW35" s="54"/>
      <c r="DX35" s="54"/>
      <c r="DY35" s="54"/>
      <c r="DZ35" s="54"/>
      <c r="EA35" s="54"/>
      <c r="EB35" s="54"/>
      <c r="EC35" s="54"/>
      <c r="ED35" s="54"/>
      <c r="EE35" s="54"/>
      <c r="EF35" s="54"/>
      <c r="EG35" s="54"/>
      <c r="EH35" s="54"/>
      <c r="EI35" s="54"/>
    </row>
    <row r="36" s="2" customFormat="1" ht="15.95" customHeight="1">
      <c r="B36" s="323" t="s">
        <v>48</v>
      </c>
      <c r="C36" s="303" t="s">
        <v>42</v>
      </c>
      <c r="D36" s="307">
        <v>35.752688172043010752688172040</v>
      </c>
      <c r="E36" s="308">
        <v>-1.8450184501960921011424122800</v>
      </c>
      <c r="F36" s="308">
        <v>62.212643678160919540229885060</v>
      </c>
      <c r="G36" s="308">
        <v>44.493882091063303311923796730</v>
      </c>
      <c r="H36" s="308">
        <v>57.468524174887538210843876050</v>
      </c>
      <c r="I36" s="308">
        <v>-32.069801067516805469419056560</v>
      </c>
      <c r="J36" s="317">
        <v>94.07816552963745214160794123</v>
      </c>
      <c r="K36" s="308">
        <v>-7.3538633288282016714194462600</v>
      </c>
      <c r="L36" s="318">
        <v>96.30959485010396974650814025</v>
      </c>
      <c r="M36" s="308">
        <v>-2.5446188957240676274066646200</v>
      </c>
      <c r="N36" s="308">
        <v>97.68306644427730045129938985</v>
      </c>
      <c r="O36" s="309">
        <v>-4.9348167116427373082060320500</v>
      </c>
      <c r="P36" s="317">
        <v>33.635473159789734233424344581</v>
      </c>
      <c r="Q36" s="308">
        <v>-9.063201643792488299184668070</v>
      </c>
      <c r="R36" s="318">
        <v>59.916745071975601868158081504</v>
      </c>
      <c r="S36" s="308">
        <v>40.817063464469124701237499210</v>
      </c>
      <c r="T36" s="308">
        <v>56.137016654311048175798585010</v>
      </c>
      <c r="U36" s="309">
        <v>-35.422031876802532341791294420</v>
      </c>
      <c r="W36" s="281"/>
      <c r="X36" s="281"/>
      <c r="Y36" s="281"/>
      <c r="Z36" s="281"/>
      <c r="AA36" s="281"/>
      <c r="AB36" s="281"/>
      <c r="AC36" s="281"/>
      <c r="AD36" s="281"/>
      <c r="AE36" s="281"/>
      <c r="AF36" s="281"/>
      <c r="AG36" s="281"/>
      <c r="AH36" s="281"/>
      <c r="AI36" s="281"/>
      <c r="AJ36" s="281"/>
      <c r="AK36" s="281"/>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c r="EF36" s="34"/>
      <c r="EG36" s="34"/>
      <c r="EH36" s="34"/>
      <c r="EI36" s="34"/>
    </row>
    <row r="37" s="2" customFormat="1" ht="15.95" customHeight="1">
      <c r="B37" s="324"/>
      <c r="C37" s="304" t="s">
        <v>58</v>
      </c>
      <c r="D37" s="310">
        <v>40.780249923803718378543127100</v>
      </c>
      <c r="E37" s="134">
        <v>-3.6022414654323365539902709200</v>
      </c>
      <c r="F37" s="134">
        <v>56.710454296661193212917350850</v>
      </c>
      <c r="G37" s="134">
        <v>27.409487319765045088365905320</v>
      </c>
      <c r="H37" s="134">
        <v>71.909580745814505921097877350</v>
      </c>
      <c r="I37" s="134">
        <v>-24.340203730290361403620770860</v>
      </c>
      <c r="J37" s="319">
        <v>110.63683286659468844156255698</v>
      </c>
      <c r="K37" s="134">
        <v>-3.3301889869362150216467991700</v>
      </c>
      <c r="L37" s="135">
        <v>101.73018783249418181988488914</v>
      </c>
      <c r="M37" s="134">
        <v>-6.8684794611431327539260796600</v>
      </c>
      <c r="N37" s="134">
        <v>108.75516424756787882495484429</v>
      </c>
      <c r="O37" s="311">
        <v>3.7992405296024407556096466800</v>
      </c>
      <c r="P37" s="319">
        <v>45.117976950778327685099268895</v>
      </c>
      <c r="Q37" s="134">
        <v>-6.8124690039316392075130642300</v>
      </c>
      <c r="R37" s="135">
        <v>57.691651676654199115261485298</v>
      </c>
      <c r="S37" s="134">
        <v>18.658392851805718620555029210</v>
      </c>
      <c r="T37" s="134">
        <v>78.205382649843914665582197250</v>
      </c>
      <c r="U37" s="311">
        <v>-21.465706085902719264631311930</v>
      </c>
      <c r="W37" s="281"/>
      <c r="X37" s="281"/>
      <c r="Y37" s="281"/>
      <c r="Z37" s="281"/>
      <c r="AA37" s="281"/>
      <c r="AB37" s="281"/>
      <c r="AC37" s="281"/>
      <c r="AD37" s="281"/>
      <c r="AE37" s="281"/>
      <c r="AF37" s="281"/>
      <c r="AG37" s="281"/>
      <c r="AH37" s="281"/>
      <c r="AI37" s="281"/>
      <c r="AJ37" s="281"/>
      <c r="AK37" s="281"/>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row>
    <row r="38" s="2" customFormat="1" ht="15.95" customHeight="1">
      <c r="B38" s="324"/>
      <c r="C38" s="305" t="s">
        <v>44</v>
      </c>
      <c r="D38" s="312">
        <v>41.113841113841113841113841110</v>
      </c>
      <c r="E38" s="159">
        <v>17.232627138447881032186164320</v>
      </c>
      <c r="F38" s="159">
        <v>59.460654288240495137046861180</v>
      </c>
      <c r="G38" s="159">
        <v>33.830845771179434172421483940</v>
      </c>
      <c r="H38" s="159">
        <v>69.144616059161290689152193560</v>
      </c>
      <c r="I38" s="159">
        <v>-12.402386413354883777832931290</v>
      </c>
      <c r="J38" s="320">
        <v>101.57875682852309068246509854</v>
      </c>
      <c r="K38" s="159">
        <v>-6.8181799629575946962826449300</v>
      </c>
      <c r="L38" s="160">
        <v>104.02128189563806158385688462</v>
      </c>
      <c r="M38" s="159">
        <v>-1.6217482659463115052522497400</v>
      </c>
      <c r="N38" s="159">
        <v>97.65189870518195779463193164</v>
      </c>
      <c r="O38" s="313">
        <v>-5.2820939642309968305758622400</v>
      </c>
      <c r="P38" s="320">
        <v>41.762928687894014351021686704</v>
      </c>
      <c r="Q38" s="159">
        <v>9.239495644559166402436119830</v>
      </c>
      <c r="R38" s="160">
        <v>61.851734814161446874574495939</v>
      </c>
      <c r="S38" s="159">
        <v>31.660446350528648753540895600</v>
      </c>
      <c r="T38" s="159">
        <v>67.521030434066382935768941970</v>
      </c>
      <c r="U38" s="313">
        <v>-17.029374673527226616583202640</v>
      </c>
      <c r="W38" s="281"/>
      <c r="X38" s="281"/>
      <c r="Y38" s="281"/>
      <c r="Z38" s="281"/>
      <c r="AA38" s="281"/>
      <c r="AB38" s="281"/>
      <c r="AC38" s="281"/>
      <c r="AD38" s="281"/>
      <c r="AE38" s="281"/>
      <c r="AF38" s="281"/>
      <c r="AG38" s="281"/>
      <c r="AH38" s="281"/>
      <c r="AI38" s="281"/>
      <c r="AJ38" s="281"/>
      <c r="AK38" s="281"/>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c r="EF38" s="34"/>
      <c r="EG38" s="34"/>
      <c r="EH38" s="34"/>
      <c r="EI38" s="34"/>
    </row>
    <row r="39" s="2" customFormat="1" ht="15.95" customHeight="1">
      <c r="B39" s="325"/>
      <c r="C39" s="306" t="s">
        <v>45</v>
      </c>
      <c r="D39" s="314">
        <v>40.213377102995486253590480100</v>
      </c>
      <c r="E39" s="315">
        <v>-9.799679188253311844378139930</v>
      </c>
      <c r="F39" s="315">
        <v>52.685676392572944297082228120</v>
      </c>
      <c r="G39" s="315">
        <v>18.052195936185146047031626440</v>
      </c>
      <c r="H39" s="315">
        <v>76.326963714645754398009903740</v>
      </c>
      <c r="I39" s="315">
        <v>-23.592847980166714877049761810</v>
      </c>
      <c r="J39" s="321">
        <v>110.64542101213883285627503238</v>
      </c>
      <c r="K39" s="315">
        <v>-1.6887357365425797122899295500</v>
      </c>
      <c r="L39" s="322">
        <v>102.09918067974295837053650221</v>
      </c>
      <c r="M39" s="315">
        <v>-4.6711640549392508457921865400</v>
      </c>
      <c r="N39" s="315">
        <v>108.37052782945402225510140543</v>
      </c>
      <c r="O39" s="316">
        <v>3.1285689045050930533162616700</v>
      </c>
      <c r="P39" s="321">
        <v>44.494260398808394008678511174</v>
      </c>
      <c r="Q39" s="315">
        <v>-11.322924240400826322847656330</v>
      </c>
      <c r="R39" s="322">
        <v>53.791643932397732377580405176</v>
      </c>
      <c r="S39" s="315">
        <v>12.537784193376191148989529560</v>
      </c>
      <c r="T39" s="315">
        <v>82.71593345376163818942097882</v>
      </c>
      <c r="U39" s="316">
        <v>-21.202397581189514213776369750</v>
      </c>
      <c r="W39" s="281"/>
      <c r="X39" s="281"/>
      <c r="Y39" s="281"/>
      <c r="Z39" s="281"/>
      <c r="AA39" s="281"/>
      <c r="AB39" s="281"/>
      <c r="AC39" s="281"/>
      <c r="AD39" s="281"/>
      <c r="AE39" s="281"/>
      <c r="AF39" s="281"/>
      <c r="AG39" s="281"/>
      <c r="AH39" s="281"/>
      <c r="AI39" s="281"/>
      <c r="AJ39" s="281"/>
      <c r="AK39" s="281"/>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c r="DK39" s="34"/>
      <c r="DL39" s="34"/>
      <c r="DM39" s="34"/>
      <c r="DN39" s="34"/>
      <c r="DO39" s="34"/>
      <c r="DP39" s="34"/>
      <c r="DQ39" s="34"/>
      <c r="DR39" s="34"/>
      <c r="DS39" s="34"/>
      <c r="DT39" s="34"/>
      <c r="DU39" s="34"/>
      <c r="DV39" s="34"/>
      <c r="DW39" s="34"/>
      <c r="DX39" s="34"/>
      <c r="DY39" s="34"/>
      <c r="DZ39" s="34"/>
      <c r="EA39" s="34"/>
      <c r="EB39" s="34"/>
      <c r="EC39" s="34"/>
      <c r="ED39" s="34"/>
      <c r="EE39" s="34"/>
      <c r="EF39" s="34"/>
      <c r="EG39" s="34"/>
      <c r="EH39" s="34"/>
      <c r="EI39" s="34"/>
    </row>
    <row r="40" s="2" customFormat="1" ht="5.1" customHeight="1">
      <c r="B40" s="54"/>
      <c r="C40" s="297"/>
      <c r="D40" s="159"/>
      <c r="E40" s="159"/>
      <c r="F40" s="159"/>
      <c r="G40" s="159"/>
      <c r="H40" s="159"/>
      <c r="I40" s="159"/>
      <c r="J40" s="160"/>
      <c r="K40" s="159"/>
      <c r="L40" s="160"/>
      <c r="M40" s="159"/>
      <c r="N40" s="159"/>
      <c r="O40" s="159"/>
      <c r="P40" s="160"/>
      <c r="Q40" s="159"/>
      <c r="R40" s="160"/>
      <c r="S40" s="159"/>
      <c r="T40" s="159"/>
      <c r="U40" s="159"/>
      <c r="W40" s="281"/>
      <c r="X40" s="281"/>
      <c r="Y40" s="281"/>
      <c r="Z40" s="281"/>
      <c r="AA40" s="281"/>
      <c r="AB40" s="281"/>
      <c r="AC40" s="281"/>
      <c r="AD40" s="281"/>
      <c r="AE40" s="281"/>
      <c r="AF40" s="281"/>
      <c r="AG40" s="281"/>
      <c r="AH40" s="281"/>
      <c r="AI40" s="281"/>
      <c r="AJ40" s="281"/>
      <c r="AK40" s="281"/>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row>
    <row r="41" s="9" customFormat="1" ht="5.1" customHeight="1">
      <c r="B41" s="54"/>
      <c r="C41" s="297"/>
      <c r="D41" s="159"/>
      <c r="E41" s="159"/>
      <c r="F41" s="159"/>
      <c r="G41" s="159"/>
      <c r="H41" s="159"/>
      <c r="I41" s="159"/>
      <c r="J41" s="160"/>
      <c r="K41" s="159"/>
      <c r="L41" s="160"/>
      <c r="M41" s="159"/>
      <c r="N41" s="159"/>
      <c r="O41" s="159"/>
      <c r="P41" s="160"/>
      <c r="Q41" s="159"/>
      <c r="R41" s="160"/>
      <c r="S41" s="159"/>
      <c r="T41" s="159"/>
      <c r="U41" s="159"/>
      <c r="W41" s="281"/>
      <c r="X41" s="281"/>
      <c r="Y41" s="281"/>
      <c r="Z41" s="281"/>
      <c r="AA41" s="281"/>
      <c r="AB41" s="281"/>
      <c r="AC41" s="281"/>
      <c r="AD41" s="281"/>
      <c r="AE41" s="281"/>
      <c r="AF41" s="281"/>
      <c r="AG41" s="281"/>
      <c r="AH41" s="281"/>
      <c r="AI41" s="281"/>
      <c r="AJ41" s="281"/>
      <c r="AK41" s="281"/>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4"/>
      <c r="EF41" s="54"/>
      <c r="EG41" s="54"/>
      <c r="EH41" s="54"/>
      <c r="EI41" s="54"/>
    </row>
    <row r="42" s="2" customFormat="1" ht="15.95" customHeight="1">
      <c r="B42" s="323" t="s">
        <v>49</v>
      </c>
      <c r="C42" s="303" t="s">
        <v>42</v>
      </c>
      <c r="D42" s="307">
        <v>35.215053763440860215053763440</v>
      </c>
      <c r="E42" s="308">
        <v>12.542955326622914231055606950</v>
      </c>
      <c r="F42" s="308">
        <v>57.279693486590038314176245210</v>
      </c>
      <c r="G42" s="308">
        <v>61.272923408892711638964833910</v>
      </c>
      <c r="H42" s="308">
        <v>61.479123961581712768602214940</v>
      </c>
      <c r="I42" s="308">
        <v>-30.215839740732483988216698700</v>
      </c>
      <c r="J42" s="317">
        <v>90.55649933650218459557787912</v>
      </c>
      <c r="K42" s="308">
        <v>-6.4601291667165855308018654500</v>
      </c>
      <c r="L42" s="318">
        <v>93.50191715394820458681768342</v>
      </c>
      <c r="M42" s="308">
        <v>-6.8110319747545523041843170300</v>
      </c>
      <c r="N42" s="308">
        <v>96.84988510711519574056176076</v>
      </c>
      <c r="O42" s="309">
        <v>0.3765497306704129684508110400</v>
      </c>
      <c r="P42" s="317">
        <v>31.889519927639210166722317647</v>
      </c>
      <c r="Q42" s="308">
        <v>5.2725350444722413486526672100</v>
      </c>
      <c r="R42" s="318">
        <v>53.557611549866883470226987246</v>
      </c>
      <c r="S42" s="308">
        <v>50.288573028795484124906835360</v>
      </c>
      <c r="T42" s="308">
        <v>59.542460921595658101456007340</v>
      </c>
      <c r="U42" s="309">
        <v>-29.953067673251849292805120420</v>
      </c>
      <c r="W42" s="281"/>
      <c r="X42" s="281"/>
      <c r="Y42" s="281"/>
      <c r="Z42" s="281"/>
      <c r="AA42" s="281"/>
      <c r="AB42" s="281"/>
      <c r="AC42" s="281"/>
      <c r="AD42" s="281"/>
      <c r="AE42" s="281"/>
      <c r="AF42" s="281"/>
      <c r="AG42" s="281"/>
      <c r="AH42" s="281"/>
      <c r="AI42" s="281"/>
      <c r="AJ42" s="281"/>
      <c r="AK42" s="281"/>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row>
    <row r="43" s="2" customFormat="1" ht="15.95" customHeight="1">
      <c r="B43" s="324"/>
      <c r="C43" s="304" t="s">
        <v>58</v>
      </c>
      <c r="D43" s="310">
        <v>35.568424260896068271868332830</v>
      </c>
      <c r="E43" s="134">
        <v>-5.4124011688281640676219130900</v>
      </c>
      <c r="F43" s="134">
        <v>54.887794198139025725232621780</v>
      </c>
      <c r="G43" s="134">
        <v>25.754265724190382907385151700</v>
      </c>
      <c r="H43" s="134">
        <v>64.802065341746430599613192350</v>
      </c>
      <c r="I43" s="134">
        <v>-24.783785037902546014447186390</v>
      </c>
      <c r="J43" s="319">
        <v>107.65228359244320871707066973</v>
      </c>
      <c r="K43" s="134">
        <v>-3.1302524095968439272827458900</v>
      </c>
      <c r="L43" s="135">
        <v>103.03606764377394763303673826</v>
      </c>
      <c r="M43" s="134">
        <v>-2.1674738164292473769065151100</v>
      </c>
      <c r="N43" s="134">
        <v>104.48019422150470700616257609</v>
      </c>
      <c r="O43" s="311">
        <v>-0.9841088958054653266570451900</v>
      </c>
      <c r="P43" s="319">
        <v>38.290220954703207733258601518</v>
      </c>
      <c r="Q43" s="134">
        <v>-8.373231760482348586315970340</v>
      </c>
      <c r="R43" s="135">
        <v>56.554224758169958777454428643</v>
      </c>
      <c r="S43" s="134">
        <v>23.028574941538424317524428310</v>
      </c>
      <c r="T43" s="134">
        <v>67.705323728536074022513487730</v>
      </c>
      <c r="U43" s="311">
        <v>-25.523994500435913300823190950</v>
      </c>
      <c r="W43" s="281"/>
      <c r="X43" s="281"/>
      <c r="Y43" s="281"/>
      <c r="Z43" s="281"/>
      <c r="AA43" s="281"/>
      <c r="AB43" s="281"/>
      <c r="AC43" s="281"/>
      <c r="AD43" s="281"/>
      <c r="AE43" s="281"/>
      <c r="AF43" s="281"/>
      <c r="AG43" s="281"/>
      <c r="AH43" s="281"/>
      <c r="AI43" s="281"/>
      <c r="AJ43" s="281"/>
      <c r="AK43" s="281"/>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c r="EF43" s="34"/>
      <c r="EG43" s="34"/>
      <c r="EH43" s="34"/>
      <c r="EI43" s="34"/>
    </row>
    <row r="44" s="2" customFormat="1" ht="15.95" customHeight="1">
      <c r="B44" s="324"/>
      <c r="C44" s="305" t="s">
        <v>44</v>
      </c>
      <c r="D44" s="312">
        <v>32.678132678132678132678132680</v>
      </c>
      <c r="E44" s="159">
        <v>-6.3794729672301144224404483600</v>
      </c>
      <c r="F44" s="159">
        <v>56.424992631889183613321544360</v>
      </c>
      <c r="G44" s="159">
        <v>32.720970537109149830744868660</v>
      </c>
      <c r="H44" s="159">
        <v>57.914287895995258480292020850</v>
      </c>
      <c r="I44" s="159">
        <v>-29.460637114154367018891599740</v>
      </c>
      <c r="J44" s="320">
        <v>95.80530871399889182248557506</v>
      </c>
      <c r="K44" s="159">
        <v>-7.306841374793903872496845800</v>
      </c>
      <c r="L44" s="160">
        <v>105.76106453271953009661775034</v>
      </c>
      <c r="M44" s="159">
        <v>1.8785396735420729837254699100</v>
      </c>
      <c r="N44" s="159">
        <v>90.58655861427821309005130085</v>
      </c>
      <c r="O44" s="313">
        <v>-9.016011691760620184041969970</v>
      </c>
      <c r="P44" s="320">
        <v>31.307385894255166123809782515</v>
      </c>
      <c r="Q44" s="159">
        <v>-13.220176371786317777734136630</v>
      </c>
      <c r="R44" s="160">
        <v>59.67567286999455949601375863</v>
      </c>
      <c r="S44" s="159">
        <v>35.214186624039710014877562650</v>
      </c>
      <c r="T44" s="159">
        <v>52.462560350943163355754521410</v>
      </c>
      <c r="U44" s="313">
        <v>-35.820474319364262559322990330</v>
      </c>
      <c r="W44" s="281"/>
      <c r="X44" s="281"/>
      <c r="Y44" s="281"/>
      <c r="Z44" s="281"/>
      <c r="AA44" s="281"/>
      <c r="AB44" s="281"/>
      <c r="AC44" s="281"/>
      <c r="AD44" s="281"/>
      <c r="AE44" s="281"/>
      <c r="AF44" s="281"/>
      <c r="AG44" s="281"/>
      <c r="AH44" s="281"/>
      <c r="AI44" s="281"/>
      <c r="AJ44" s="281"/>
      <c r="AK44" s="281"/>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row>
    <row r="45" s="2" customFormat="1" ht="15.95" customHeight="1">
      <c r="B45" s="325"/>
      <c r="C45" s="306" t="s">
        <v>45</v>
      </c>
      <c r="D45" s="314">
        <v>35.371358227328682806729585560</v>
      </c>
      <c r="E45" s="315">
        <v>-11.804130761927343926446275200</v>
      </c>
      <c r="F45" s="315">
        <v>52.250957854406130268199233720</v>
      </c>
      <c r="G45" s="315">
        <v>20.996098073644021484985785180</v>
      </c>
      <c r="H45" s="315">
        <v>67.695138385582909879161071730</v>
      </c>
      <c r="I45" s="315">
        <v>-27.108501313436384523882838030</v>
      </c>
      <c r="J45" s="321">
        <v>107.41057620982730314447507759</v>
      </c>
      <c r="K45" s="315">
        <v>-2.8505078507582631414274677500</v>
      </c>
      <c r="L45" s="322">
        <v>102.83918483699286630386151555</v>
      </c>
      <c r="M45" s="315">
        <v>-1.7575488483936254678385560300</v>
      </c>
      <c r="N45" s="315">
        <v>104.44518437215634650458375608</v>
      </c>
      <c r="O45" s="316">
        <v>-1.1125119431536356497055562700</v>
      </c>
      <c r="P45" s="321">
        <v>37.992579685215894669896395931</v>
      </c>
      <c r="Q45" s="315">
        <v>-14.318160938597793741892203660</v>
      </c>
      <c r="R45" s="322">
        <v>53.734459126991962230609632884</v>
      </c>
      <c r="S45" s="315">
        <v>18.869532545144169478184519440</v>
      </c>
      <c r="T45" s="315">
        <v>70.704312097794486598808779210</v>
      </c>
      <c r="U45" s="316">
        <v>-27.919427941780206708158458930</v>
      </c>
      <c r="W45" s="281"/>
      <c r="X45" s="281"/>
      <c r="Y45" s="281"/>
      <c r="Z45" s="281"/>
      <c r="AA45" s="281"/>
      <c r="AB45" s="281"/>
      <c r="AC45" s="281"/>
      <c r="AD45" s="281"/>
      <c r="AE45" s="281"/>
      <c r="AF45" s="281"/>
      <c r="AG45" s="281"/>
      <c r="AH45" s="281"/>
      <c r="AI45" s="281"/>
      <c r="AJ45" s="281"/>
      <c r="AK45" s="281"/>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c r="DW45" s="34"/>
      <c r="DX45" s="34"/>
      <c r="DY45" s="34"/>
      <c r="DZ45" s="34"/>
      <c r="EA45" s="34"/>
      <c r="EB45" s="34"/>
      <c r="EC45" s="34"/>
      <c r="ED45" s="34"/>
      <c r="EE45" s="34"/>
      <c r="EF45" s="34"/>
      <c r="EG45" s="34"/>
      <c r="EH45" s="34"/>
      <c r="EI45" s="34"/>
    </row>
    <row r="46" s="2" customFormat="1" ht="5.1" customHeight="1">
      <c r="A46" s="54"/>
      <c r="B46" s="54"/>
      <c r="C46" s="297"/>
      <c r="D46" s="159"/>
      <c r="E46" s="159"/>
      <c r="F46" s="159"/>
      <c r="G46" s="159"/>
      <c r="H46" s="159"/>
      <c r="I46" s="159"/>
      <c r="J46" s="160"/>
      <c r="K46" s="159"/>
      <c r="L46" s="160"/>
      <c r="M46" s="159"/>
      <c r="N46" s="159"/>
      <c r="O46" s="159"/>
      <c r="P46" s="160"/>
      <c r="Q46" s="159"/>
      <c r="R46" s="160"/>
      <c r="S46" s="159"/>
      <c r="T46" s="159"/>
      <c r="U46" s="159"/>
      <c r="W46" s="281"/>
      <c r="X46" s="281"/>
      <c r="Y46" s="281"/>
      <c r="Z46" s="281"/>
      <c r="AA46" s="281"/>
      <c r="AB46" s="281"/>
      <c r="AC46" s="281"/>
      <c r="AD46" s="281"/>
      <c r="AE46" s="281"/>
      <c r="AF46" s="281"/>
      <c r="AG46" s="281"/>
      <c r="AH46" s="281"/>
      <c r="AI46" s="281"/>
      <c r="AJ46" s="281"/>
      <c r="AK46" s="281"/>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c r="EF46" s="34"/>
      <c r="EG46" s="34"/>
      <c r="EH46" s="34"/>
      <c r="EI46" s="34"/>
    </row>
    <row r="47" s="9" customFormat="1" ht="5.1" customHeight="1">
      <c r="A47" s="54"/>
      <c r="B47" s="54"/>
      <c r="C47" s="297"/>
      <c r="D47" s="159"/>
      <c r="E47" s="159"/>
      <c r="F47" s="159"/>
      <c r="G47" s="159"/>
      <c r="H47" s="159"/>
      <c r="I47" s="159"/>
      <c r="J47" s="160"/>
      <c r="K47" s="159"/>
      <c r="L47" s="160"/>
      <c r="M47" s="159"/>
      <c r="N47" s="159"/>
      <c r="O47" s="159"/>
      <c r="P47" s="160"/>
      <c r="Q47" s="159"/>
      <c r="R47" s="160"/>
      <c r="S47" s="159"/>
      <c r="T47" s="159"/>
      <c r="U47" s="159"/>
      <c r="W47" s="281"/>
      <c r="X47" s="281"/>
      <c r="Y47" s="281"/>
      <c r="Z47" s="281"/>
      <c r="AA47" s="281"/>
      <c r="AB47" s="281"/>
      <c r="AC47" s="281"/>
      <c r="AD47" s="281"/>
      <c r="AE47" s="281"/>
      <c r="AF47" s="281"/>
      <c r="AG47" s="281"/>
      <c r="AH47" s="281"/>
      <c r="AI47" s="281"/>
      <c r="AJ47" s="281"/>
      <c r="AK47" s="281"/>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c r="DA47" s="54"/>
      <c r="DB47" s="54"/>
      <c r="DC47" s="54"/>
      <c r="DD47" s="54"/>
      <c r="DE47" s="54"/>
      <c r="DF47" s="54"/>
      <c r="DG47" s="54"/>
      <c r="DH47" s="54"/>
      <c r="DI47" s="54"/>
      <c r="DJ47" s="54"/>
      <c r="DK47" s="54"/>
      <c r="DL47" s="54"/>
      <c r="DM47" s="54"/>
      <c r="DN47" s="54"/>
      <c r="DO47" s="54"/>
      <c r="DP47" s="54"/>
      <c r="DQ47" s="54"/>
      <c r="DR47" s="54"/>
      <c r="DS47" s="54"/>
      <c r="DT47" s="54"/>
      <c r="DU47" s="54"/>
      <c r="DV47" s="54"/>
      <c r="DW47" s="54"/>
      <c r="DX47" s="54"/>
      <c r="DY47" s="54"/>
      <c r="DZ47" s="54"/>
      <c r="EA47" s="54"/>
      <c r="EB47" s="54"/>
      <c r="EC47" s="54"/>
      <c r="ED47" s="54"/>
      <c r="EE47" s="54"/>
      <c r="EF47" s="54"/>
      <c r="EG47" s="54"/>
      <c r="EH47" s="54"/>
      <c r="EI47" s="54"/>
    </row>
    <row r="48" s="2" customFormat="1" ht="15.95" customHeight="1">
      <c r="B48" s="323" t="s">
        <v>50</v>
      </c>
      <c r="C48" s="303" t="s">
        <v>42</v>
      </c>
      <c r="D48" s="307">
        <v>50.752688172043010752688172040</v>
      </c>
      <c r="E48" s="308">
        <v>38.416422287264196214342956290</v>
      </c>
      <c r="F48" s="308">
        <v>60.919540229885057471264367820</v>
      </c>
      <c r="G48" s="308">
        <v>52.444870565503466014125317280</v>
      </c>
      <c r="H48" s="308">
        <v>83.31101643333318664660825728</v>
      </c>
      <c r="I48" s="308">
        <v>-9.202309153579095308322032850</v>
      </c>
      <c r="J48" s="317">
        <v>105.64318984642289481829279274</v>
      </c>
      <c r="K48" s="308">
        <v>-8.336989841784320586535729330</v>
      </c>
      <c r="L48" s="318">
        <v>96.46980818114295960449828157</v>
      </c>
      <c r="M48" s="308">
        <v>0.3817840514882404136280763100</v>
      </c>
      <c r="N48" s="308">
        <v>109.50907007931638975030489425</v>
      </c>
      <c r="O48" s="309">
        <v>-8.685613605733157723761548520</v>
      </c>
      <c r="P48" s="317">
        <v>53.616758717754415434660428144</v>
      </c>
      <c r="Q48" s="308">
        <v>26.876659222009097222065093370</v>
      </c>
      <c r="R48" s="318">
        <v>58.768963604604331713085160038</v>
      </c>
      <c r="S48" s="308">
        <v>53.026880768692617757654369250</v>
      </c>
      <c r="T48" s="308">
        <v>91.23311936975810807671203372</v>
      </c>
      <c r="U48" s="309">
        <v>-17.088645743383284581758813060</v>
      </c>
      <c r="W48" s="281"/>
      <c r="X48" s="281"/>
      <c r="Y48" s="281"/>
      <c r="Z48" s="281"/>
      <c r="AA48" s="281"/>
      <c r="AB48" s="281"/>
      <c r="AC48" s="281"/>
      <c r="AD48" s="281"/>
      <c r="AE48" s="281"/>
      <c r="AF48" s="281"/>
      <c r="AG48" s="281"/>
      <c r="AH48" s="281"/>
      <c r="AI48" s="281"/>
      <c r="AJ48" s="281"/>
      <c r="AK48" s="281"/>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c r="DW48" s="34"/>
      <c r="DX48" s="34"/>
      <c r="DY48" s="34"/>
      <c r="DZ48" s="34"/>
      <c r="EA48" s="34"/>
      <c r="EB48" s="34"/>
      <c r="EC48" s="34"/>
      <c r="ED48" s="34"/>
      <c r="EE48" s="34"/>
      <c r="EF48" s="34"/>
      <c r="EG48" s="34"/>
      <c r="EH48" s="34"/>
      <c r="EI48" s="34"/>
    </row>
    <row r="49" s="2" customFormat="1" ht="15.95" customHeight="1">
      <c r="B49" s="324"/>
      <c r="C49" s="304" t="s">
        <v>58</v>
      </c>
      <c r="D49" s="310">
        <v>51.325815300213349588540079240</v>
      </c>
      <c r="E49" s="134">
        <v>9.515259785126765125969011430</v>
      </c>
      <c r="F49" s="134">
        <v>62.342638204707170224411603720</v>
      </c>
      <c r="G49" s="134">
        <v>16.539427842763609365632544010</v>
      </c>
      <c r="H49" s="134">
        <v>82.32859047717346333943391966</v>
      </c>
      <c r="I49" s="134">
        <v>-6.0272889507789503595882730400</v>
      </c>
      <c r="J49" s="319">
        <v>110.87126893531428691152102119</v>
      </c>
      <c r="K49" s="134">
        <v>-4.7383162810514415121071177500</v>
      </c>
      <c r="L49" s="135">
        <v>105.91566802641233867331243349</v>
      </c>
      <c r="M49" s="134">
        <v>-5.3527558221312234093805919600</v>
      </c>
      <c r="N49" s="134">
        <v>104.67881759257665170660188362</v>
      </c>
      <c r="O49" s="311">
        <v>0.6491890455359429740896923100</v>
      </c>
      <c r="P49" s="319">
        <v>56.905582714742230770802011484</v>
      </c>
      <c r="Q49" s="134">
        <v>4.3260804005954110247288150700</v>
      </c>
      <c r="R49" s="135">
        <v>66.030621719804955527587773262</v>
      </c>
      <c r="S49" s="134">
        <v>10.301356833795684499680527600</v>
      </c>
      <c r="T49" s="134">
        <v>86.18059505212635753584157559</v>
      </c>
      <c r="U49" s="311">
        <v>-5.4172284048428935836914598100</v>
      </c>
      <c r="W49" s="281"/>
      <c r="X49" s="281"/>
      <c r="Y49" s="281"/>
      <c r="Z49" s="281"/>
      <c r="AA49" s="281"/>
      <c r="AB49" s="281"/>
      <c r="AC49" s="281"/>
      <c r="AD49" s="281"/>
      <c r="AE49" s="281"/>
      <c r="AF49" s="281"/>
      <c r="AG49" s="281"/>
      <c r="AH49" s="281"/>
      <c r="AI49" s="281"/>
      <c r="AJ49" s="281"/>
      <c r="AK49" s="281"/>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c r="DZ49" s="34"/>
      <c r="EA49" s="34"/>
      <c r="EB49" s="34"/>
      <c r="EC49" s="34"/>
      <c r="ED49" s="34"/>
      <c r="EE49" s="34"/>
      <c r="EF49" s="34"/>
      <c r="EG49" s="34"/>
      <c r="EH49" s="34"/>
      <c r="EI49" s="34"/>
    </row>
    <row r="50" s="2" customFormat="1" ht="15.95" customHeight="1">
      <c r="B50" s="324"/>
      <c r="C50" s="305" t="s">
        <v>44</v>
      </c>
      <c r="D50" s="312">
        <v>50.655200655200655200655200660</v>
      </c>
      <c r="E50" s="159">
        <v>21.632845267350697472341321040</v>
      </c>
      <c r="F50" s="159">
        <v>64.456233421750663129973474800</v>
      </c>
      <c r="G50" s="159">
        <v>19.769989047071441026477717760</v>
      </c>
      <c r="H50" s="159">
        <v>78.588521181053619529659813480</v>
      </c>
      <c r="I50" s="159">
        <v>1.5553614348783785177698533200</v>
      </c>
      <c r="J50" s="320">
        <v>105.85959610254500242763397667</v>
      </c>
      <c r="K50" s="159">
        <v>-5.7988584840729749672995733400</v>
      </c>
      <c r="L50" s="160">
        <v>103.47384845192285038756926665</v>
      </c>
      <c r="M50" s="159">
        <v>-4.1064783373221902021209513400</v>
      </c>
      <c r="N50" s="159">
        <v>102.30565276766913855425299303</v>
      </c>
      <c r="O50" s="313">
        <v>-1.7648534722004976794919393500</v>
      </c>
      <c r="P50" s="320">
        <v>53.623390818529143326364958698</v>
      </c>
      <c r="Q50" s="159">
        <v>14.579528700278821079075759930</v>
      </c>
      <c r="R50" s="160">
        <v>66.695345288639927438141463652</v>
      </c>
      <c r="S50" s="159">
        <v>14.851660392184006416177618950</v>
      </c>
      <c r="T50" s="159">
        <v>80.40049959482674764737323870</v>
      </c>
      <c r="U50" s="313">
        <v>-0.236941887373211657151761600</v>
      </c>
      <c r="W50" s="281"/>
      <c r="X50" s="281"/>
      <c r="Y50" s="281"/>
      <c r="Z50" s="281"/>
      <c r="AA50" s="281"/>
      <c r="AB50" s="281"/>
      <c r="AC50" s="281"/>
      <c r="AD50" s="281"/>
      <c r="AE50" s="281"/>
      <c r="AF50" s="281"/>
      <c r="AG50" s="281"/>
      <c r="AH50" s="281"/>
      <c r="AI50" s="281"/>
      <c r="AJ50" s="281"/>
      <c r="AK50" s="281"/>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c r="DZ50" s="34"/>
      <c r="EA50" s="34"/>
      <c r="EB50" s="34"/>
      <c r="EC50" s="34"/>
      <c r="ED50" s="34"/>
      <c r="EE50" s="34"/>
      <c r="EF50" s="34"/>
      <c r="EG50" s="34"/>
      <c r="EH50" s="34"/>
      <c r="EI50" s="34"/>
    </row>
    <row r="51" s="2" customFormat="1" ht="15.95" customHeight="1">
      <c r="B51" s="325"/>
      <c r="C51" s="306" t="s">
        <v>45</v>
      </c>
      <c r="D51" s="314">
        <v>51.066885514977431267952400490</v>
      </c>
      <c r="E51" s="315">
        <v>-0.0164136232989254259983147400</v>
      </c>
      <c r="F51" s="315">
        <v>59.965369879162982611258473330</v>
      </c>
      <c r="G51" s="315">
        <v>12.334312046600731784958617810</v>
      </c>
      <c r="H51" s="315">
        <v>85.16062790549190270615626812</v>
      </c>
      <c r="I51" s="315">
        <v>-10.994615487391678320949502360</v>
      </c>
      <c r="J51" s="321">
        <v>117.08627699000899685839926466</v>
      </c>
      <c r="K51" s="315">
        <v>-1.0407880404315219022523616500</v>
      </c>
      <c r="L51" s="322">
        <v>107.75820887410056328422534788</v>
      </c>
      <c r="M51" s="315">
        <v>-3.8410596152915083730614793500</v>
      </c>
      <c r="N51" s="315">
        <v>108.65648029358719719258283694</v>
      </c>
      <c r="O51" s="316">
        <v>2.9121281532556344067752885600</v>
      </c>
      <c r="P51" s="321">
        <v>59.792315024237257525760313859</v>
      </c>
      <c r="Q51" s="315">
        <v>-1.0570308327905864402997656600</v>
      </c>
      <c r="R51" s="322">
        <v>64.617608526515431350476568947</v>
      </c>
      <c r="S51" s="315">
        <v>8.019484152463044302480947680</v>
      </c>
      <c r="T51" s="315">
        <v>92.53254087810466429295751145</v>
      </c>
      <c r="U51" s="316">
        <v>-8.402664626976784166188074150</v>
      </c>
      <c r="W51" s="281"/>
      <c r="X51" s="281"/>
      <c r="Y51" s="281"/>
      <c r="Z51" s="281"/>
      <c r="AA51" s="281"/>
      <c r="AB51" s="281"/>
      <c r="AC51" s="281"/>
      <c r="AD51" s="281"/>
      <c r="AE51" s="281"/>
      <c r="AF51" s="281"/>
      <c r="AG51" s="281"/>
      <c r="AH51" s="281"/>
      <c r="AI51" s="281"/>
      <c r="AJ51" s="281"/>
      <c r="AK51" s="281"/>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34"/>
      <c r="DO51" s="34"/>
      <c r="DP51" s="34"/>
      <c r="DQ51" s="34"/>
      <c r="DR51" s="34"/>
      <c r="DS51" s="34"/>
      <c r="DT51" s="34"/>
      <c r="DU51" s="34"/>
      <c r="DV51" s="34"/>
      <c r="DW51" s="34"/>
      <c r="DX51" s="34"/>
      <c r="DY51" s="34"/>
      <c r="DZ51" s="34"/>
      <c r="EA51" s="34"/>
      <c r="EB51" s="34"/>
      <c r="EC51" s="34"/>
      <c r="ED51" s="34"/>
      <c r="EE51" s="34"/>
      <c r="EF51" s="34"/>
      <c r="EG51" s="34"/>
      <c r="EH51" s="34"/>
      <c r="EI51" s="34"/>
    </row>
    <row r="52" s="2" customFormat="1" ht="5.1" customHeight="1">
      <c r="B52" s="54"/>
      <c r="C52" s="297"/>
      <c r="D52" s="159"/>
      <c r="E52" s="159"/>
      <c r="F52" s="159"/>
      <c r="G52" s="159"/>
      <c r="H52" s="159"/>
      <c r="I52" s="159"/>
      <c r="J52" s="160"/>
      <c r="K52" s="159"/>
      <c r="L52" s="160"/>
      <c r="M52" s="159"/>
      <c r="N52" s="159"/>
      <c r="O52" s="159"/>
      <c r="P52" s="160"/>
      <c r="Q52" s="159"/>
      <c r="R52" s="160"/>
      <c r="S52" s="159"/>
      <c r="T52" s="159"/>
      <c r="U52" s="159"/>
      <c r="W52" s="281"/>
      <c r="X52" s="281"/>
      <c r="Y52" s="281"/>
      <c r="Z52" s="281"/>
      <c r="AA52" s="281"/>
      <c r="AB52" s="281"/>
      <c r="AC52" s="281"/>
      <c r="AD52" s="281"/>
      <c r="AE52" s="281"/>
      <c r="AF52" s="281"/>
      <c r="AG52" s="281"/>
      <c r="AH52" s="281"/>
      <c r="AI52" s="281"/>
      <c r="AJ52" s="281"/>
      <c r="AK52" s="281"/>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row>
    <row r="53" s="9" customFormat="1" ht="5.1" customHeight="1">
      <c r="B53" s="54"/>
      <c r="C53" s="297"/>
      <c r="D53" s="159"/>
      <c r="E53" s="159"/>
      <c r="F53" s="159"/>
      <c r="G53" s="159"/>
      <c r="H53" s="159"/>
      <c r="I53" s="159"/>
      <c r="J53" s="160"/>
      <c r="K53" s="159"/>
      <c r="L53" s="160"/>
      <c r="M53" s="159"/>
      <c r="N53" s="159"/>
      <c r="O53" s="159"/>
      <c r="P53" s="160"/>
      <c r="Q53" s="159"/>
      <c r="R53" s="160"/>
      <c r="S53" s="159"/>
      <c r="T53" s="159"/>
      <c r="U53" s="159"/>
      <c r="W53" s="281"/>
      <c r="X53" s="281"/>
      <c r="Y53" s="281"/>
      <c r="Z53" s="281"/>
      <c r="AA53" s="281"/>
      <c r="AB53" s="281"/>
      <c r="AC53" s="281"/>
      <c r="AD53" s="281"/>
      <c r="AE53" s="281"/>
      <c r="AF53" s="281"/>
      <c r="AG53" s="281"/>
      <c r="AH53" s="281"/>
      <c r="AI53" s="281"/>
      <c r="AJ53" s="281"/>
      <c r="AK53" s="281"/>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c r="DA53" s="54"/>
      <c r="DB53" s="54"/>
      <c r="DC53" s="54"/>
      <c r="DD53" s="54"/>
      <c r="DE53" s="54"/>
      <c r="DF53" s="54"/>
      <c r="DG53" s="54"/>
      <c r="DH53" s="54"/>
      <c r="DI53" s="54"/>
      <c r="DJ53" s="54"/>
      <c r="DK53" s="54"/>
      <c r="DL53" s="54"/>
      <c r="DM53" s="54"/>
      <c r="DN53" s="54"/>
      <c r="DO53" s="54"/>
      <c r="DP53" s="54"/>
      <c r="DQ53" s="54"/>
      <c r="DR53" s="54"/>
      <c r="DS53" s="54"/>
      <c r="DT53" s="54"/>
      <c r="DU53" s="54"/>
      <c r="DV53" s="54"/>
      <c r="DW53" s="54"/>
      <c r="DX53" s="54"/>
      <c r="DY53" s="54"/>
      <c r="DZ53" s="54"/>
      <c r="EA53" s="54"/>
      <c r="EB53" s="54"/>
      <c r="EC53" s="54"/>
      <c r="ED53" s="54"/>
      <c r="EE53" s="54"/>
      <c r="EF53" s="54"/>
      <c r="EG53" s="54"/>
      <c r="EH53" s="54"/>
      <c r="EI53" s="54"/>
    </row>
    <row r="54" s="2" customFormat="1" ht="15.95" customHeight="1">
      <c r="B54" s="323" t="s">
        <v>51</v>
      </c>
      <c r="C54" s="303" t="s">
        <v>42</v>
      </c>
      <c r="D54" s="307">
        <v>56.236559139784946236559139780</v>
      </c>
      <c r="E54" s="308">
        <v>19.679633867348093146008033180</v>
      </c>
      <c r="F54" s="308">
        <v>63.831417624521072796934865900</v>
      </c>
      <c r="G54" s="308">
        <v>61.590688651844528632753239810</v>
      </c>
      <c r="H54" s="308">
        <v>88.10169228984823866037141138</v>
      </c>
      <c r="I54" s="308">
        <v>-25.936553110915097105505239290</v>
      </c>
      <c r="J54" s="317">
        <v>111.51150157935068641716147352</v>
      </c>
      <c r="K54" s="308">
        <v>7.0440463191141584930343900800</v>
      </c>
      <c r="L54" s="318">
        <v>94.49678924407461292959269707</v>
      </c>
      <c r="M54" s="308">
        <v>-4.1340943120785651095596047100</v>
      </c>
      <c r="N54" s="308">
        <v>118.00559836091258171552671652</v>
      </c>
      <c r="O54" s="309">
        <v>11.660183618906719099422473060</v>
      </c>
      <c r="P54" s="317">
        <v>62.710231533333773114167151238</v>
      </c>
      <c r="Q54" s="308">
        <v>28.109922711528380665440799300</v>
      </c>
      <c r="R54" s="318">
        <v>60.318640184148775915977560659</v>
      </c>
      <c r="S54" s="308">
        <v>54.910377183253706234493261850</v>
      </c>
      <c r="T54" s="308">
        <v>103.96492915280307802672057028</v>
      </c>
      <c r="U54" s="309">
        <v>-17.300619209015153299977502280</v>
      </c>
      <c r="W54" s="281"/>
      <c r="X54" s="281"/>
      <c r="Y54" s="281"/>
      <c r="Z54" s="281"/>
      <c r="AA54" s="281"/>
      <c r="AB54" s="281"/>
      <c r="AC54" s="281"/>
      <c r="AD54" s="281"/>
      <c r="AE54" s="281"/>
      <c r="AF54" s="281"/>
      <c r="AG54" s="281"/>
      <c r="AH54" s="281"/>
      <c r="AI54" s="281"/>
      <c r="AJ54" s="281"/>
      <c r="AK54" s="281"/>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row>
    <row r="55" s="2" customFormat="1" ht="15.95" customHeight="1">
      <c r="B55" s="324"/>
      <c r="C55" s="304" t="s">
        <v>58</v>
      </c>
      <c r="D55" s="310">
        <v>51.462968607131971959768363300</v>
      </c>
      <c r="E55" s="134">
        <v>6.42437281840660672167640400</v>
      </c>
      <c r="F55" s="134">
        <v>61.067323481116584564860426930</v>
      </c>
      <c r="G55" s="134">
        <v>22.121225572341527243593521320</v>
      </c>
      <c r="H55" s="134">
        <v>84.27251379874128111694704522</v>
      </c>
      <c r="I55" s="134">
        <v>-12.853500839278457835524173730</v>
      </c>
      <c r="J55" s="319">
        <v>109.87389677259154459862738188</v>
      </c>
      <c r="K55" s="134">
        <v>-3.9202345073579025656828905700</v>
      </c>
      <c r="L55" s="135">
        <v>104.76357808694202289241548707</v>
      </c>
      <c r="M55" s="134">
        <v>-7.5800560927810002793797654400</v>
      </c>
      <c r="N55" s="134">
        <v>104.87795355887196116570937242</v>
      </c>
      <c r="O55" s="311">
        <v>3.959991134754155492314271300</v>
      </c>
      <c r="P55" s="319">
        <v>56.544369003511375511972671231</v>
      </c>
      <c r="Q55" s="134">
        <v>2.2522878310522556197716639500</v>
      </c>
      <c r="R55" s="135">
        <v>63.976313120745054702281313038</v>
      </c>
      <c r="S55" s="134">
        <v>12.864368172936477181920485300</v>
      </c>
      <c r="T55" s="134">
        <v>88.38328788474063367029407648</v>
      </c>
      <c r="U55" s="311">
        <v>-9.402507198365708474055446540</v>
      </c>
      <c r="W55" s="281"/>
      <c r="X55" s="281"/>
      <c r="Y55" s="281"/>
      <c r="Z55" s="281"/>
      <c r="AA55" s="281"/>
      <c r="AB55" s="281"/>
      <c r="AC55" s="281"/>
      <c r="AD55" s="281"/>
      <c r="AE55" s="281"/>
      <c r="AF55" s="281"/>
      <c r="AG55" s="281"/>
      <c r="AH55" s="281"/>
      <c r="AI55" s="281"/>
      <c r="AJ55" s="281"/>
      <c r="AK55" s="281"/>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c r="DZ55" s="34"/>
      <c r="EA55" s="34"/>
      <c r="EB55" s="34"/>
      <c r="EC55" s="34"/>
      <c r="ED55" s="34"/>
      <c r="EE55" s="34"/>
      <c r="EF55" s="34"/>
      <c r="EG55" s="34"/>
      <c r="EH55" s="34"/>
      <c r="EI55" s="34"/>
    </row>
    <row r="56" s="2" customFormat="1" ht="15.95" customHeight="1">
      <c r="B56" s="324"/>
      <c r="C56" s="305" t="s">
        <v>44</v>
      </c>
      <c r="D56" s="312">
        <v>50.491400491400491400491400490</v>
      </c>
      <c r="E56" s="159">
        <v>10.579988965248363935704400160</v>
      </c>
      <c r="F56" s="159">
        <v>64.426760978485116416150898910</v>
      </c>
      <c r="G56" s="159">
        <v>28.642286675175630592823901440</v>
      </c>
      <c r="H56" s="159">
        <v>78.370229582471313063096145400</v>
      </c>
      <c r="I56" s="159">
        <v>-14.040715675087146933833111330</v>
      </c>
      <c r="J56" s="320">
        <v>106.81261640728023211873217288</v>
      </c>
      <c r="K56" s="159">
        <v>-1.9581737165834660938332835500</v>
      </c>
      <c r="L56" s="160">
        <v>102.53599321472118275601073929</v>
      </c>
      <c r="M56" s="159">
        <v>-5.9922879557200875018458930900</v>
      </c>
      <c r="N56" s="159">
        <v>104.17085070178763047820108422</v>
      </c>
      <c r="O56" s="313">
        <v>4.2912588249264776307511945100</v>
      </c>
      <c r="P56" s="320">
        <v>53.931185925543213023094500066</v>
      </c>
      <c r="Q56" s="159">
        <v>8.414640685412098463243799470</v>
      </c>
      <c r="R56" s="160">
        <v>66.06061926536413365889757621</v>
      </c>
      <c r="S56" s="159">
        <v>20.933670424583159117256174430</v>
      </c>
      <c r="T56" s="159">
        <v>81.63893485296206492302650049</v>
      </c>
      <c r="U56" s="313">
        <v>-10.351980300649951167755157550</v>
      </c>
      <c r="W56" s="281"/>
      <c r="X56" s="281"/>
      <c r="Y56" s="281"/>
      <c r="Z56" s="281"/>
      <c r="AA56" s="281"/>
      <c r="AB56" s="281"/>
      <c r="AC56" s="281"/>
      <c r="AD56" s="281"/>
      <c r="AE56" s="281"/>
      <c r="AF56" s="281"/>
      <c r="AG56" s="281"/>
      <c r="AH56" s="281"/>
      <c r="AI56" s="281"/>
      <c r="AJ56" s="281"/>
      <c r="AK56" s="281"/>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c r="EF56" s="34"/>
      <c r="EG56" s="34"/>
      <c r="EH56" s="34"/>
      <c r="EI56" s="34"/>
    </row>
    <row r="57" s="2" customFormat="1" ht="15.95" customHeight="1">
      <c r="B57" s="325"/>
      <c r="C57" s="306" t="s">
        <v>45</v>
      </c>
      <c r="D57" s="314">
        <v>50.359048009848173984407057860</v>
      </c>
      <c r="E57" s="315">
        <v>-2.7542614533080593887743991600</v>
      </c>
      <c r="F57" s="315">
        <v>57.979664014146772767462422630</v>
      </c>
      <c r="G57" s="315">
        <v>15.448899466540001683806474210</v>
      </c>
      <c r="H57" s="315">
        <v>86.85639847378457005132598472</v>
      </c>
      <c r="I57" s="315">
        <v>-15.767288388083911511908755280</v>
      </c>
      <c r="J57" s="321">
        <v>114.31490809395764867022745683</v>
      </c>
      <c r="K57" s="315">
        <v>-2.9903547387741384102669372800</v>
      </c>
      <c r="L57" s="322">
        <v>106.92431102594692057111799644</v>
      </c>
      <c r="M57" s="315">
        <v>-5.4215458213372759010201065500</v>
      </c>
      <c r="N57" s="315">
        <v>106.91198942237508868290234656</v>
      </c>
      <c r="O57" s="316">
        <v>2.5705548940450035650880884200</v>
      </c>
      <c r="P57" s="321">
        <v>57.567899449449948432719181943</v>
      </c>
      <c r="Q57" s="315">
        <v>-5.6622540042230683263103541300</v>
      </c>
      <c r="R57" s="322">
        <v>61.99435628228531667949657486</v>
      </c>
      <c r="S57" s="315">
        <v>9.189784481689675180116449830</v>
      </c>
      <c r="T57" s="315">
        <v>92.85990354881086387029508499</v>
      </c>
      <c r="U57" s="316">
        <v>-13.602040297423605484372332410</v>
      </c>
      <c r="W57" s="281"/>
      <c r="X57" s="281"/>
      <c r="Y57" s="281"/>
      <c r="Z57" s="281"/>
      <c r="AA57" s="281"/>
      <c r="AB57" s="281"/>
      <c r="AC57" s="281"/>
      <c r="AD57" s="281"/>
      <c r="AE57" s="281"/>
      <c r="AF57" s="281"/>
      <c r="AG57" s="281"/>
      <c r="AH57" s="281"/>
      <c r="AI57" s="281"/>
      <c r="AJ57" s="281"/>
      <c r="AK57" s="281"/>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c r="EE57" s="34"/>
      <c r="EF57" s="34"/>
      <c r="EG57" s="34"/>
      <c r="EH57" s="34"/>
      <c r="EI57" s="34"/>
    </row>
    <row r="58" s="2" customFormat="1" ht="5.1" customHeight="1">
      <c r="B58" s="54"/>
      <c r="C58" s="297"/>
      <c r="D58" s="159"/>
      <c r="E58" s="159"/>
      <c r="F58" s="159"/>
      <c r="G58" s="159"/>
      <c r="H58" s="159"/>
      <c r="I58" s="159"/>
      <c r="J58" s="160"/>
      <c r="K58" s="159"/>
      <c r="L58" s="160"/>
      <c r="M58" s="159"/>
      <c r="N58" s="159"/>
      <c r="O58" s="159"/>
      <c r="P58" s="160"/>
      <c r="Q58" s="159"/>
      <c r="R58" s="160"/>
      <c r="S58" s="159"/>
      <c r="T58" s="159"/>
      <c r="U58" s="159"/>
      <c r="W58" s="281"/>
      <c r="X58" s="281"/>
      <c r="Y58" s="281"/>
      <c r="Z58" s="281"/>
      <c r="AA58" s="281"/>
      <c r="AB58" s="281"/>
      <c r="AC58" s="281"/>
      <c r="AD58" s="281"/>
      <c r="AE58" s="281"/>
      <c r="AF58" s="281"/>
      <c r="AG58" s="281"/>
      <c r="AH58" s="281"/>
      <c r="AI58" s="281"/>
      <c r="AJ58" s="281"/>
      <c r="AK58" s="281"/>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c r="EE58" s="34"/>
      <c r="EF58" s="34"/>
      <c r="EG58" s="34"/>
      <c r="EH58" s="34"/>
      <c r="EI58" s="34"/>
    </row>
    <row r="59" s="2" customFormat="1" ht="15.95" customHeight="1">
      <c r="B59" s="806" t="s">
        <v>57</v>
      </c>
      <c r="C59" s="611"/>
      <c r="D59" s="526"/>
      <c r="E59" s="527"/>
      <c r="F59" s="527"/>
      <c r="G59" s="527"/>
      <c r="H59" s="527"/>
      <c r="I59" s="527"/>
      <c r="J59" s="527"/>
      <c r="K59" s="527"/>
      <c r="L59" s="527"/>
      <c r="M59" s="527"/>
      <c r="N59" s="527"/>
      <c r="O59" s="527"/>
      <c r="P59" s="527"/>
      <c r="Q59" s="527"/>
      <c r="R59" s="527"/>
      <c r="S59" s="527"/>
      <c r="T59" s="527"/>
      <c r="U59" s="528"/>
      <c r="W59" s="281"/>
      <c r="X59" s="281"/>
      <c r="Y59" s="281"/>
      <c r="Z59" s="281"/>
      <c r="AA59" s="281"/>
      <c r="AB59" s="281"/>
      <c r="AC59" s="281"/>
      <c r="AD59" s="281"/>
      <c r="AE59" s="281"/>
      <c r="AF59" s="281"/>
      <c r="AG59" s="281"/>
      <c r="AH59" s="281"/>
      <c r="AI59" s="281"/>
      <c r="AJ59" s="281"/>
      <c r="AK59" s="281"/>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row>
    <row r="60" ht="15.95" customHeight="1">
      <c r="B60" s="344" t="s">
        <v>40</v>
      </c>
      <c r="C60" s="348" t="s">
        <v>42</v>
      </c>
      <c r="D60" s="238">
        <v>32.488479262672811059907834100</v>
      </c>
      <c r="E60" s="327">
        <v>5.4862842891116075148788975300</v>
      </c>
      <c r="F60" s="327">
        <v>57.288815909505564677978471080</v>
      </c>
      <c r="G60" s="327">
        <v>57.630522088167058293414842650</v>
      </c>
      <c r="H60" s="327">
        <v>56.709985617428972600308329470</v>
      </c>
      <c r="I60" s="239">
        <v>-33.080038756553686461731376760</v>
      </c>
      <c r="J60" s="326">
        <v>95.85893543458470027548491027</v>
      </c>
      <c r="K60" s="327">
        <v>-8.671408805713748323837753530</v>
      </c>
      <c r="L60" s="328">
        <v>93.31881116422840590575578009</v>
      </c>
      <c r="M60" s="327">
        <v>-10.694696345607952280675262130</v>
      </c>
      <c r="N60" s="327">
        <v>102.72198524466326569864657619</v>
      </c>
      <c r="O60" s="239">
        <v>2.2655849732818617816546558400</v>
      </c>
      <c r="P60" s="326">
        <v>31.143110360083969444339567622</v>
      </c>
      <c r="Q60" s="327">
        <v>-3.6608626554763384893017463700</v>
      </c>
      <c r="R60" s="328">
        <v>53.461241936813938066789481753</v>
      </c>
      <c r="S60" s="327">
        <v>40.772416403181826364908542050</v>
      </c>
      <c r="T60" s="327">
        <v>58.253623058177846330446207180</v>
      </c>
      <c r="U60" s="239">
        <v>-31.563910170671094870442625570</v>
      </c>
    </row>
    <row r="61" ht="15.95" customHeight="1">
      <c r="B61" s="345" t="s">
        <v>67</v>
      </c>
      <c r="C61" s="304" t="s">
        <v>58</v>
      </c>
      <c r="D61" s="240">
        <v>32.521440823327615780445969130</v>
      </c>
      <c r="E61" s="121">
        <v>-7.802740819418813529903610400</v>
      </c>
      <c r="F61" s="121">
        <v>49.738666312315903705180165220</v>
      </c>
      <c r="G61" s="121">
        <v>28.322609542301235848695897970</v>
      </c>
      <c r="H61" s="121">
        <v>65.384625753998769389407854900</v>
      </c>
      <c r="I61" s="241">
        <v>-28.151976094071334484329742480</v>
      </c>
      <c r="J61" s="329">
        <v>107.35608715236093551711090639</v>
      </c>
      <c r="K61" s="121">
        <v>-3.9919923171951528238029908400</v>
      </c>
      <c r="L61" s="136">
        <v>100.3148901409967581271883569</v>
      </c>
      <c r="M61" s="121">
        <v>-6.6349115970969076861661768500</v>
      </c>
      <c r="N61" s="121">
        <v>107.01909457455818589541778322</v>
      </c>
      <c r="O61" s="241">
        <v>2.8307361189039906422899671200</v>
      </c>
      <c r="P61" s="329">
        <v>34.91374635349508297434687453</v>
      </c>
      <c r="Q61" s="121">
        <v>-11.483248322618199336781761440</v>
      </c>
      <c r="R61" s="136">
        <v>49.895288468796662290422778409</v>
      </c>
      <c r="S61" s="121">
        <v>19.808517840315107167719476320</v>
      </c>
      <c r="T61" s="121">
        <v>69.974034472868077974700386510</v>
      </c>
      <c r="U61" s="241">
        <v>-26.118148130829602463710021500</v>
      </c>
    </row>
    <row r="62" ht="15.95" customHeight="1">
      <c r="B62" s="345"/>
      <c r="C62" s="305" t="s">
        <v>44</v>
      </c>
      <c r="D62" s="341">
        <v>34.258349705304518664047151280</v>
      </c>
      <c r="E62" s="156">
        <v>7.972744509229051678062623540</v>
      </c>
      <c r="F62" s="156">
        <v>53.012887495646116335771508190</v>
      </c>
      <c r="G62" s="156">
        <v>35.283338803093974181614074560</v>
      </c>
      <c r="H62" s="156">
        <v>64.622682000009746067968057970</v>
      </c>
      <c r="I62" s="331">
        <v>-20.187699782935123357671120550</v>
      </c>
      <c r="J62" s="330">
        <v>99.30414422723424272272879368</v>
      </c>
      <c r="K62" s="156">
        <v>-7.4342744576830550627189452400</v>
      </c>
      <c r="L62" s="186">
        <v>101.5716636299019094664758145</v>
      </c>
      <c r="M62" s="156">
        <v>-4.6345046894312112519128083800</v>
      </c>
      <c r="N62" s="156">
        <v>97.76756693586511288459897287</v>
      </c>
      <c r="O62" s="331">
        <v>-2.935830993361957882451595700</v>
      </c>
      <c r="P62" s="330">
        <v>34.019961001225876374805173668</v>
      </c>
      <c r="Q62" s="156">
        <v>-0.0542456572948532168906395300</v>
      </c>
      <c r="R62" s="186">
        <v>53.846071767576003555547262165</v>
      </c>
      <c r="S62" s="156">
        <v>29.013626122150307055127088450</v>
      </c>
      <c r="T62" s="156">
        <v>63.180023880026479688224449250</v>
      </c>
      <c r="U62" s="331">
        <v>-22.530854029169712464682347220</v>
      </c>
    </row>
    <row r="63" ht="15.95" customHeight="1">
      <c r="B63" s="346"/>
      <c r="C63" s="349" t="s">
        <v>45</v>
      </c>
      <c r="D63" s="244">
        <v>32.908906757064015378573347940</v>
      </c>
      <c r="E63" s="333">
        <v>-13.124366462558506776627485970</v>
      </c>
      <c r="F63" s="333">
        <v>46.147296722009365687526607070</v>
      </c>
      <c r="G63" s="333">
        <v>20.261628854987479822106688140</v>
      </c>
      <c r="H63" s="333">
        <v>71.312750897010203809470605680</v>
      </c>
      <c r="I63" s="245">
        <v>-27.761136810999130562582553510</v>
      </c>
      <c r="J63" s="332">
        <v>107.75780223041876240919175145</v>
      </c>
      <c r="K63" s="333">
        <v>-1.6008036590011423498086922300</v>
      </c>
      <c r="L63" s="334">
        <v>100.47507057561255567327038832</v>
      </c>
      <c r="M63" s="333">
        <v>-4.8221405754521288224331292900</v>
      </c>
      <c r="N63" s="333">
        <v>107.24829712793189807264204558</v>
      </c>
      <c r="O63" s="245">
        <v>3.3845444055611778892887960600</v>
      </c>
      <c r="P63" s="332">
        <v>35.461914659469958376914402425</v>
      </c>
      <c r="Q63" s="333">
        <v>-14.515074782930164960358638840</v>
      </c>
      <c r="R63" s="334">
        <v>46.36652895017624961678378073</v>
      </c>
      <c r="S63" s="333">
        <v>14.462444053293509097181358240</v>
      </c>
      <c r="T63" s="333">
        <v>76.481710972063167465051912390</v>
      </c>
      <c r="U63" s="245">
        <v>-25.316180408383448042171816570</v>
      </c>
    </row>
    <row r="64" ht="5.1" customHeight="1">
      <c r="B64" s="54"/>
      <c r="C64" s="54"/>
      <c r="D64" s="156"/>
      <c r="E64" s="156"/>
      <c r="F64" s="156"/>
      <c r="G64" s="156"/>
      <c r="H64" s="156"/>
      <c r="I64" s="156"/>
      <c r="J64" s="156"/>
      <c r="K64" s="156"/>
      <c r="L64" s="156"/>
      <c r="M64" s="156"/>
      <c r="N64" s="156"/>
      <c r="O64" s="156"/>
      <c r="P64" s="156"/>
      <c r="Q64" s="156"/>
      <c r="R64" s="156"/>
      <c r="S64" s="156"/>
      <c r="T64" s="156"/>
      <c r="U64" s="156"/>
    </row>
    <row r="65" s="4" customFormat="1" ht="5.1" customHeight="1">
      <c r="A65" s="54"/>
      <c r="B65" s="54"/>
      <c r="C65" s="54"/>
      <c r="D65" s="156"/>
      <c r="E65" s="156"/>
      <c r="F65" s="156"/>
      <c r="G65" s="156"/>
      <c r="H65" s="156"/>
      <c r="I65" s="156"/>
      <c r="J65" s="156"/>
      <c r="K65" s="156"/>
      <c r="L65" s="156"/>
      <c r="M65" s="156"/>
      <c r="N65" s="156"/>
      <c r="O65" s="156"/>
      <c r="P65" s="156"/>
      <c r="Q65" s="156"/>
      <c r="R65" s="156"/>
      <c r="S65" s="156"/>
      <c r="T65" s="156"/>
      <c r="U65" s="156"/>
      <c r="W65" s="281"/>
      <c r="X65" s="281"/>
      <c r="Y65" s="281"/>
      <c r="Z65" s="281"/>
      <c r="AA65" s="281"/>
      <c r="AB65" s="281"/>
      <c r="AC65" s="281"/>
      <c r="AD65" s="281"/>
      <c r="AE65" s="281"/>
      <c r="AF65" s="281"/>
      <c r="AG65" s="281"/>
      <c r="AH65" s="281"/>
      <c r="AI65" s="281"/>
      <c r="AJ65" s="281"/>
      <c r="AK65" s="281"/>
    </row>
    <row r="66" ht="15.95" customHeight="1">
      <c r="B66" s="347" t="s">
        <v>52</v>
      </c>
      <c r="C66" s="348" t="s">
        <v>42</v>
      </c>
      <c r="D66" s="238">
        <v>53.494623655913978494623655910</v>
      </c>
      <c r="E66" s="327">
        <v>27.892030848473708209700073080</v>
      </c>
      <c r="F66" s="327">
        <v>62.375478927203065134099616860</v>
      </c>
      <c r="G66" s="327">
        <v>56.991321118546281322969165960</v>
      </c>
      <c r="H66" s="327">
        <v>85.76226519775328307873683181</v>
      </c>
      <c r="I66" s="239">
        <v>-18.535604428896858617150025440</v>
      </c>
      <c r="J66" s="326">
        <v>108.7277396316703671863413556</v>
      </c>
      <c r="K66" s="327">
        <v>-0.2764066254942788464160165600</v>
      </c>
      <c r="L66" s="328">
        <v>95.4602720788223620736651416</v>
      </c>
      <c r="M66" s="327">
        <v>-1.9212507509188720682738902400</v>
      </c>
      <c r="N66" s="327">
        <v>113.89841791139921942832801764</v>
      </c>
      <c r="O66" s="239">
        <v>1.6770647444922695857058190200</v>
      </c>
      <c r="P66" s="326">
        <v>58.163495125544094274413789688</v>
      </c>
      <c r="Q66" s="327">
        <v>27.538528801555310003464138270</v>
      </c>
      <c r="R66" s="328">
        <v>59.543801894376553814531360352</v>
      </c>
      <c r="S66" s="327">
        <v>53.975124182925512509241760630</v>
      </c>
      <c r="T66" s="327">
        <v>97.68186322515337841573461717</v>
      </c>
      <c r="U66" s="239">
        <v>-17.169393771644151277105769360</v>
      </c>
    </row>
    <row r="67" ht="15.95" customHeight="1">
      <c r="B67" s="345" t="s">
        <v>55</v>
      </c>
      <c r="C67" s="304" t="s">
        <v>58</v>
      </c>
      <c r="D67" s="240">
        <v>51.394391953672660774154221270</v>
      </c>
      <c r="E67" s="121">
        <v>7.945633688782718254983637620</v>
      </c>
      <c r="F67" s="121">
        <v>61.704980842911877394636015330</v>
      </c>
      <c r="G67" s="121">
        <v>19.236234816023749862705679970</v>
      </c>
      <c r="H67" s="121">
        <v>83.29050791624431212542474589</v>
      </c>
      <c r="I67" s="241">
        <v>-9.469102361857500567038019560</v>
      </c>
      <c r="J67" s="329">
        <v>110.37191744628319709823090704</v>
      </c>
      <c r="K67" s="121">
        <v>-4.3202836701452275401522184300</v>
      </c>
      <c r="L67" s="136">
        <v>105.34557588756147988201127452</v>
      </c>
      <c r="M67" s="121">
        <v>-6.4479841668518113854276140200</v>
      </c>
      <c r="N67" s="121">
        <v>104.77128870038749951632184013</v>
      </c>
      <c r="O67" s="241">
        <v>2.2743502400427908445442791200</v>
      </c>
      <c r="P67" s="329">
        <v>56.724975859126803141387341359</v>
      </c>
      <c r="Q67" s="121">
        <v>3.2820761039290311713440235600</v>
      </c>
      <c r="R67" s="136">
        <v>65.003467420275005114934543147</v>
      </c>
      <c r="S67" s="121">
        <v>11.547901273842208936324258380</v>
      </c>
      <c r="T67" s="121">
        <v>87.26453850892898956967756535</v>
      </c>
      <c r="U67" s="241">
        <v>-7.4101126741230878349810220200</v>
      </c>
    </row>
    <row r="68" ht="15.95" customHeight="1">
      <c r="B68" s="345"/>
      <c r="C68" s="305" t="s">
        <v>44</v>
      </c>
      <c r="D68" s="342">
        <v>50.573300573300573300573300570</v>
      </c>
      <c r="E68" s="161">
        <v>15.655334917651803471828334840</v>
      </c>
      <c r="F68" s="161">
        <v>64.441497200117889773062186860</v>
      </c>
      <c r="G68" s="161">
        <v>24.212043427139269059972847240</v>
      </c>
      <c r="H68" s="161">
        <v>78.479400340844492204368672050</v>
      </c>
      <c r="I68" s="336">
        <v>-6.8887913549941041936662855700</v>
      </c>
      <c r="J68" s="335">
        <v>106.3353345785525077754574892</v>
      </c>
      <c r="K68" s="161">
        <v>-3.7853897113762344885812880400</v>
      </c>
      <c r="L68" s="162">
        <v>103.00502806579825732958002794</v>
      </c>
      <c r="M68" s="161">
        <v>-5.0549141580711665311901751500</v>
      </c>
      <c r="N68" s="161">
        <v>103.23314946395150286078986389</v>
      </c>
      <c r="O68" s="336">
        <v>1.3371144334181625019622362300</v>
      </c>
      <c r="P68" s="335">
        <v>53.777288372036178174729729386</v>
      </c>
      <c r="Q68" s="161">
        <v>11.277329769065506475841426360</v>
      </c>
      <c r="R68" s="162">
        <v>66.377982277002030548519519923</v>
      </c>
      <c r="S68" s="161">
        <v>17.933231257813245308011496510</v>
      </c>
      <c r="T68" s="161">
        <v>81.01675665225821756373139927</v>
      </c>
      <c r="U68" s="336">
        <v>-5.6437879449876210863909458200</v>
      </c>
    </row>
    <row r="69" ht="15.95" customHeight="1">
      <c r="B69" s="346"/>
      <c r="C69" s="349" t="s">
        <v>45</v>
      </c>
      <c r="D69" s="343">
        <v>50.712966762412802626179729180</v>
      </c>
      <c r="E69" s="338">
        <v>-1.3947877033975745418702742400</v>
      </c>
      <c r="F69" s="338">
        <v>58.972516946654877689360447980</v>
      </c>
      <c r="G69" s="338">
        <v>13.844104703043108767849376230</v>
      </c>
      <c r="H69" s="338">
        <v>85.99423831315819816049745477</v>
      </c>
      <c r="I69" s="340">
        <v>-13.385754533553838851521634520</v>
      </c>
      <c r="J69" s="337">
        <v>115.71026304131717241663377417</v>
      </c>
      <c r="K69" s="338">
        <v>-2.0040320804459550934802441200</v>
      </c>
      <c r="L69" s="339">
        <v>107.34827964298258642903610856</v>
      </c>
      <c r="M69" s="338">
        <v>-4.6157375036353587616145223500</v>
      </c>
      <c r="N69" s="338">
        <v>107.78958305258918346374730842</v>
      </c>
      <c r="O69" s="340">
        <v>2.738088396155829594040730600</v>
      </c>
      <c r="P69" s="337">
        <v>58.680107236843602979239747907</v>
      </c>
      <c r="Q69" s="338">
        <v>-3.3708677908162479844336595400</v>
      </c>
      <c r="R69" s="339">
        <v>63.305982404400374014986571905</v>
      </c>
      <c r="S69" s="338">
        <v>8.589359666684351577282664530</v>
      </c>
      <c r="T69" s="338">
        <v>92.69283092708963066095283304</v>
      </c>
      <c r="U69" s="340">
        <v>-11.014179929055302029539016470</v>
      </c>
    </row>
    <row r="70" ht="5.1" customHeight="1">
      <c r="B70" s="54"/>
      <c r="C70" s="54"/>
      <c r="D70" s="161"/>
      <c r="E70" s="161"/>
      <c r="F70" s="161"/>
      <c r="G70" s="161"/>
      <c r="H70" s="161"/>
      <c r="I70" s="161"/>
      <c r="J70" s="162"/>
      <c r="K70" s="161"/>
      <c r="L70" s="162"/>
      <c r="M70" s="161"/>
      <c r="N70" s="161"/>
      <c r="O70" s="161"/>
      <c r="P70" s="162"/>
      <c r="Q70" s="161"/>
      <c r="R70" s="162"/>
      <c r="S70" s="161"/>
      <c r="T70" s="161"/>
      <c r="U70" s="161"/>
    </row>
    <row r="71" s="4" customFormat="1" ht="5.1" customHeight="1">
      <c r="A71" s="54"/>
      <c r="B71" s="54"/>
      <c r="C71" s="54"/>
      <c r="D71" s="161"/>
      <c r="E71" s="161"/>
      <c r="F71" s="161"/>
      <c r="G71" s="161"/>
      <c r="H71" s="161"/>
      <c r="I71" s="161"/>
      <c r="J71" s="162"/>
      <c r="K71" s="161"/>
      <c r="L71" s="162"/>
      <c r="M71" s="161"/>
      <c r="N71" s="161"/>
      <c r="O71" s="161"/>
      <c r="P71" s="162"/>
      <c r="Q71" s="161"/>
      <c r="R71" s="162"/>
      <c r="S71" s="161"/>
      <c r="T71" s="161"/>
      <c r="U71" s="161"/>
      <c r="W71" s="281"/>
      <c r="X71" s="281"/>
      <c r="Y71" s="281"/>
      <c r="Z71" s="281"/>
      <c r="AA71" s="281"/>
      <c r="AB71" s="281"/>
      <c r="AC71" s="281"/>
      <c r="AD71" s="281"/>
      <c r="AE71" s="281"/>
      <c r="AF71" s="281"/>
      <c r="AG71" s="281"/>
      <c r="AH71" s="281"/>
      <c r="AI71" s="281"/>
      <c r="AJ71" s="281"/>
      <c r="AK71" s="281"/>
    </row>
    <row r="72" ht="15.95" customHeight="1">
      <c r="B72" s="347" t="s">
        <v>12</v>
      </c>
      <c r="C72" s="348" t="s">
        <v>42</v>
      </c>
      <c r="D72" s="238">
        <v>39.264654873395768296912937910</v>
      </c>
      <c r="E72" s="327">
        <v>14.285714285785130165140304960</v>
      </c>
      <c r="F72" s="327">
        <v>58.929674947472500308985292300</v>
      </c>
      <c r="G72" s="327">
        <v>57.437675417009656995540994350</v>
      </c>
      <c r="H72" s="327">
        <v>66.629681749265291578949342570</v>
      </c>
      <c r="I72" s="239">
        <v>-27.40891658689483165252280100</v>
      </c>
      <c r="J72" s="326">
        <v>101.51461572438162544169611307</v>
      </c>
      <c r="K72" s="327">
        <v>-4.7333158259348886703761159500</v>
      </c>
      <c r="L72" s="328">
        <v>94.04999790268456375838926174</v>
      </c>
      <c r="M72" s="327">
        <v>-7.8468567168646061840479345800</v>
      </c>
      <c r="N72" s="327">
        <v>107.93686123141033072627855331</v>
      </c>
      <c r="O72" s="239">
        <v>3.3786594574183002909012282600</v>
      </c>
      <c r="P72" s="326">
        <v>39.859363510232396808879639265</v>
      </c>
      <c r="Q72" s="327">
        <v>8.876210484540829558418880230</v>
      </c>
      <c r="R72" s="328">
        <v>55.423358052156717340254603881</v>
      </c>
      <c r="S72" s="327">
        <v>45.083766608546528189186739120</v>
      </c>
      <c r="T72" s="327">
        <v>71.917987128624013593218051080</v>
      </c>
      <c r="U72" s="239">
        <v>-24.956311081774054841755019590</v>
      </c>
    </row>
    <row r="73" ht="15.95" customHeight="1">
      <c r="B73" s="345"/>
      <c r="C73" s="304" t="s">
        <v>58</v>
      </c>
      <c r="D73" s="240">
        <v>37.999469003053232443913447500</v>
      </c>
      <c r="E73" s="121">
        <v>-2.0966278038798965281830471200</v>
      </c>
      <c r="F73" s="121">
        <v>53.196789808113775759582485850</v>
      </c>
      <c r="G73" s="121">
        <v>25.208717239838148280029830370</v>
      </c>
      <c r="H73" s="121">
        <v>71.431883653376486014932337390</v>
      </c>
      <c r="I73" s="241">
        <v>-21.807862619817222347050587360</v>
      </c>
      <c r="J73" s="329">
        <v>108.52796855895196506550218341</v>
      </c>
      <c r="K73" s="121">
        <v>-4.0120773009750611976113412500</v>
      </c>
      <c r="L73" s="136">
        <v>101.97502326684252645306618453</v>
      </c>
      <c r="M73" s="121">
        <v>-6.6600292996185307182308653200</v>
      </c>
      <c r="N73" s="121">
        <v>106.42602971024318160592459478</v>
      </c>
      <c r="O73" s="241">
        <v>2.8368896826905904069643157300</v>
      </c>
      <c r="P73" s="329">
        <v>41.240051772202309836718438869</v>
      </c>
      <c r="Q73" s="121">
        <v>-6.0245867766983078444289619800</v>
      </c>
      <c r="R73" s="136">
        <v>54.247438784037336612900682718</v>
      </c>
      <c r="S73" s="121">
        <v>16.869779986045055945029385350</v>
      </c>
      <c r="T73" s="121">
        <v>76.022117719529735055147334400</v>
      </c>
      <c r="U73" s="241">
        <v>-19.589637941821752861808713470</v>
      </c>
    </row>
    <row r="74" ht="15.95" customHeight="1">
      <c r="B74" s="345"/>
      <c r="C74" s="305" t="s">
        <v>44</v>
      </c>
      <c r="D74" s="341">
        <v>38.896680691912108461898083220</v>
      </c>
      <c r="E74" s="156">
        <v>10.344827586348852099149546940</v>
      </c>
      <c r="F74" s="156">
        <v>56.251041146093619856738297520</v>
      </c>
      <c r="G74" s="156">
        <v>31.091376716798693861707880460</v>
      </c>
      <c r="H74" s="156">
        <v>69.148374677877220187835216290</v>
      </c>
      <c r="I74" s="331">
        <v>-15.826021245775912350437672480</v>
      </c>
      <c r="J74" s="330">
        <v>101.89845552884615384615384615</v>
      </c>
      <c r="K74" s="156">
        <v>-6.048783201277223786715798100</v>
      </c>
      <c r="L74" s="186">
        <v>102.02068705115865847338417117</v>
      </c>
      <c r="M74" s="156">
        <v>-4.8456162474789561730113265700</v>
      </c>
      <c r="N74" s="156">
        <v>99.88018947344228022670676455</v>
      </c>
      <c r="O74" s="331">
        <v>-1.2644367042971375634778556100</v>
      </c>
      <c r="P74" s="330">
        <v>39.635116877045348293595137915</v>
      </c>
      <c r="Q74" s="156">
        <v>3.6703081915240987877239274800</v>
      </c>
      <c r="R74" s="186">
        <v>57.387698650674662668665667166</v>
      </c>
      <c r="S74" s="156">
        <v>24.739191667326638356319576530</v>
      </c>
      <c r="T74" s="156">
        <v>69.065527646074878104687011640</v>
      </c>
      <c r="U74" s="331">
        <v>-16.890347928379088460978751320</v>
      </c>
    </row>
    <row r="75" ht="15.95" customHeight="1">
      <c r="B75" s="346"/>
      <c r="C75" s="349" t="s">
        <v>45</v>
      </c>
      <c r="D75" s="244">
        <v>38.014435115628222124024156720</v>
      </c>
      <c r="E75" s="333">
        <v>-9.066703505700466539787648400</v>
      </c>
      <c r="F75" s="333">
        <v>49.810003673962105705138298430</v>
      </c>
      <c r="G75" s="333">
        <v>17.85179174373491940666633100</v>
      </c>
      <c r="H75" s="333">
        <v>76.318876353488666727264688140</v>
      </c>
      <c r="I75" s="245">
        <v>-22.840972420722808358569020570</v>
      </c>
      <c r="J75" s="332">
        <v>110.80437616243025418474891507</v>
      </c>
      <c r="K75" s="333">
        <v>-1.5621994832293909964744090100</v>
      </c>
      <c r="L75" s="334">
        <v>102.77677007049302972508772115</v>
      </c>
      <c r="M75" s="333">
        <v>-4.8676205202692719948402321300</v>
      </c>
      <c r="N75" s="333">
        <v>107.81072034704310744546994843</v>
      </c>
      <c r="O75" s="245">
        <v>3.474548891867458379815296400</v>
      </c>
      <c r="P75" s="332">
        <v>42.121657681543673589630284283</v>
      </c>
      <c r="Q75" s="333">
        <v>-10.487262993585747320588677520</v>
      </c>
      <c r="R75" s="334">
        <v>51.193112948092163963680260326</v>
      </c>
      <c r="S75" s="333">
        <v>12.115213745257264124347066370</v>
      </c>
      <c r="T75" s="333">
        <v>82.27993035752085919288325014</v>
      </c>
      <c r="U75" s="245">
        <v>-20.160044282829257518999985950</v>
      </c>
    </row>
    <row r="76" ht="9.95" customHeight="1"/>
    <row r="77" ht="24" customHeight="1">
      <c r="B77" s="816" t="s">
        <v>126</v>
      </c>
      <c r="C77" s="816"/>
      <c r="D77" s="816"/>
      <c r="E77" s="816"/>
      <c r="F77" s="816"/>
      <c r="G77" s="816"/>
      <c r="H77" s="816"/>
      <c r="I77" s="816"/>
      <c r="J77" s="816"/>
      <c r="K77" s="816"/>
      <c r="L77" s="816"/>
      <c r="M77" s="816"/>
      <c r="N77" s="816"/>
      <c r="O77" s="816"/>
      <c r="P77" s="816"/>
      <c r="Q77" s="816"/>
      <c r="R77" s="816"/>
      <c r="S77" s="816"/>
      <c r="T77" s="816"/>
      <c r="U77" s="816"/>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78"/>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0" width="10.28515625" customWidth="1"/>
    <col min="31" max="33" width="10.28515625" style="34" customWidth="1"/>
    <col min="34" max="34" width="2.7109375" customWidth="1"/>
    <col min="35" max="38" width="9.28515625" style="236" customWidth="1"/>
    <col min="39" max="49" width="9.140625" style="236" customWidth="1"/>
  </cols>
  <sheetData>
    <row r="1" ht="39.95" customHeight="1">
      <c r="A1" s="7"/>
      <c r="B1" s="656" t="s">
        <v>137</v>
      </c>
      <c r="AA1" s="955"/>
      <c r="AB1" s="955"/>
      <c r="AC1" s="955"/>
      <c r="AD1" s="955"/>
      <c r="AE1" s="955"/>
      <c r="AF1" s="955"/>
      <c r="AG1" s="955"/>
      <c r="AH1"/>
    </row>
    <row r="2" ht="21.95" customHeight="1">
      <c r="A2" s="6"/>
      <c r="B2" s="935" t="s">
        <v>170</v>
      </c>
      <c r="C2" s="935"/>
      <c r="D2" s="935"/>
      <c r="E2" s="935"/>
      <c r="F2" s="935"/>
      <c r="G2" s="935"/>
      <c r="H2" s="935"/>
      <c r="I2" s="935"/>
      <c r="J2" s="935"/>
      <c r="K2" s="935"/>
      <c r="L2" s="935"/>
      <c r="M2" s="935"/>
      <c r="N2" s="935"/>
      <c r="O2" s="935"/>
      <c r="P2" s="935"/>
      <c r="Q2" s="935"/>
      <c r="R2" s="935"/>
      <c r="S2" s="935"/>
      <c r="T2" s="935"/>
      <c r="U2" s="935"/>
      <c r="V2" s="935"/>
      <c r="W2" s="935"/>
      <c r="X2" s="935"/>
      <c r="Y2" s="935"/>
      <c r="Z2" s="935"/>
      <c r="AA2" s="935"/>
      <c r="AB2" s="935"/>
      <c r="AC2" s="935"/>
      <c r="AD2" s="935"/>
      <c r="AE2" s="935"/>
      <c r="AF2" s="935"/>
      <c r="AG2" s="935"/>
    </row>
    <row r="3" ht="21.95" customHeight="1">
      <c r="A3" s="6"/>
      <c r="B3" s="935" t="s">
        <v>171</v>
      </c>
      <c r="C3" s="935"/>
      <c r="D3" s="935"/>
      <c r="E3" s="935"/>
      <c r="F3" s="935"/>
      <c r="G3" s="935"/>
      <c r="H3" s="935"/>
      <c r="I3" s="935"/>
      <c r="J3" s="935"/>
      <c r="K3" s="935"/>
      <c r="L3" s="935"/>
      <c r="M3" s="935"/>
      <c r="N3" s="935"/>
      <c r="O3" s="935"/>
      <c r="P3" s="935"/>
      <c r="Q3" s="935"/>
      <c r="R3" s="935"/>
      <c r="S3" s="935"/>
      <c r="T3" s="935"/>
      <c r="U3" s="956"/>
      <c r="V3" s="956"/>
      <c r="W3" s="956"/>
      <c r="X3" s="956"/>
      <c r="Y3" s="956"/>
      <c r="Z3" s="956"/>
      <c r="AA3" s="956"/>
      <c r="AB3" s="956"/>
      <c r="AC3" s="956"/>
      <c r="AD3" s="956"/>
      <c r="AE3" s="956"/>
      <c r="AF3" s="956"/>
      <c r="AG3" s="956"/>
    </row>
    <row r="4" ht="21.95" customHeight="1">
      <c r="A4" s="6"/>
      <c r="B4" s="935" t="s">
        <v>238</v>
      </c>
      <c r="C4" s="935"/>
      <c r="D4" s="935"/>
      <c r="E4" s="935"/>
      <c r="F4" s="935"/>
      <c r="G4" s="935"/>
      <c r="H4" s="935"/>
      <c r="I4" s="935"/>
      <c r="J4" s="935"/>
      <c r="K4" s="935"/>
      <c r="L4" s="935"/>
      <c r="M4" s="935"/>
      <c r="N4" s="935"/>
      <c r="O4" s="935"/>
      <c r="P4" s="935"/>
      <c r="Q4" s="935"/>
      <c r="R4" s="935"/>
      <c r="S4" s="935"/>
      <c r="T4" s="935"/>
      <c r="U4" s="935"/>
      <c r="V4" s="935"/>
      <c r="W4" s="935"/>
      <c r="X4" s="935"/>
      <c r="Y4" s="935"/>
      <c r="Z4" s="935"/>
      <c r="AA4" s="935"/>
      <c r="AB4" s="935"/>
      <c r="AC4" s="935"/>
      <c r="AD4" s="935"/>
      <c r="AE4" s="935"/>
      <c r="AF4" s="935"/>
      <c r="AG4" s="935"/>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792"/>
      <c r="Y22" s="792"/>
      <c r="Z22" s="792"/>
      <c r="AA22" s="792"/>
      <c r="AB22" s="792"/>
      <c r="AC22" s="792"/>
      <c r="AD22" s="792"/>
      <c r="AE22"/>
      <c r="AF22"/>
      <c r="AG22"/>
    </row>
    <row r="23" s="82" customFormat="1" ht="21.95" customHeight="1">
      <c r="B23" s="25"/>
      <c r="C23" s="41" t="s">
        <v>239</v>
      </c>
      <c r="D23" s="41" t="s">
        <v>241</v>
      </c>
      <c r="E23" s="41" t="s">
        <v>242</v>
      </c>
      <c r="F23" s="41" t="s">
        <v>243</v>
      </c>
      <c r="G23" s="41" t="s">
        <v>244</v>
      </c>
      <c r="H23" s="41" t="s">
        <v>245</v>
      </c>
      <c r="I23" s="41" t="s">
        <v>246</v>
      </c>
      <c r="J23" s="41" t="s">
        <v>239</v>
      </c>
      <c r="K23" s="41" t="s">
        <v>241</v>
      </c>
      <c r="L23" s="41" t="s">
        <v>242</v>
      </c>
      <c r="M23" s="41" t="s">
        <v>243</v>
      </c>
      <c r="N23" s="41" t="s">
        <v>244</v>
      </c>
      <c r="O23" s="41" t="s">
        <v>245</v>
      </c>
      <c r="P23" s="41" t="s">
        <v>246</v>
      </c>
      <c r="Q23" s="41" t="s">
        <v>239</v>
      </c>
      <c r="R23" s="41" t="s">
        <v>241</v>
      </c>
      <c r="S23" s="41" t="s">
        <v>242</v>
      </c>
      <c r="T23" s="41" t="s">
        <v>243</v>
      </c>
      <c r="U23" s="41" t="s">
        <v>244</v>
      </c>
      <c r="V23" s="41" t="s">
        <v>245</v>
      </c>
      <c r="W23" s="41" t="s">
        <v>246</v>
      </c>
      <c r="X23" s="42" t="s">
        <v>239</v>
      </c>
      <c r="Y23" s="42" t="s">
        <v>241</v>
      </c>
      <c r="Z23" s="42" t="s">
        <v>242</v>
      </c>
      <c r="AA23" s="42" t="s">
        <v>243</v>
      </c>
      <c r="AB23" s="42" t="s">
        <v>244</v>
      </c>
      <c r="AC23" s="42" t="s">
        <v>245</v>
      </c>
      <c r="AD23" s="42" t="s">
        <v>246</v>
      </c>
      <c r="AE23" s="42" t="s">
        <v>239</v>
      </c>
      <c r="AF23" s="42" t="s">
        <v>241</v>
      </c>
      <c r="AG23" s="42" t="s">
        <v>242</v>
      </c>
      <c r="AH23" s="96"/>
      <c r="AI23" s="236"/>
      <c r="AJ23" s="236"/>
      <c r="AK23" s="236"/>
      <c r="AL23" s="236"/>
      <c r="AM23" s="236"/>
      <c r="AN23" s="236"/>
      <c r="AO23" s="236"/>
      <c r="AP23" s="236"/>
      <c r="AQ23" s="236"/>
      <c r="AR23" s="236"/>
      <c r="AS23" s="236"/>
      <c r="AT23" s="236"/>
      <c r="AU23" s="236"/>
      <c r="AV23" s="236"/>
      <c r="AW23" s="236"/>
    </row>
    <row r="24" s="35" customFormat="1" ht="20.1" customHeight="1">
      <c r="B24" s="784" t="s">
        <v>22</v>
      </c>
      <c r="C24" s="350" t="s">
        <v>240</v>
      </c>
      <c r="D24" s="351"/>
      <c r="E24" s="351"/>
      <c r="F24" s="351"/>
      <c r="G24" s="351"/>
      <c r="H24" s="351"/>
      <c r="I24" s="351"/>
      <c r="J24" s="351"/>
      <c r="K24" s="351"/>
      <c r="L24" s="351"/>
      <c r="M24" s="351"/>
      <c r="N24" s="351"/>
      <c r="O24" s="351"/>
      <c r="P24" s="351"/>
      <c r="Q24" s="351"/>
      <c r="R24" s="351"/>
      <c r="S24" s="352"/>
      <c r="T24" s="352"/>
      <c r="U24" s="352"/>
      <c r="V24" s="352"/>
      <c r="W24" s="352"/>
      <c r="X24" s="352"/>
      <c r="Y24" s="352"/>
      <c r="Z24" s="352"/>
      <c r="AA24" s="352"/>
      <c r="AB24" s="352"/>
      <c r="AC24" s="352"/>
      <c r="AD24" s="352"/>
      <c r="AE24" s="352"/>
      <c r="AF24" s="352"/>
      <c r="AG24" s="353"/>
      <c r="AH24" s="529"/>
      <c r="AI24" s="236"/>
      <c r="AJ24" s="236"/>
      <c r="AK24" s="236"/>
      <c r="AL24" s="236"/>
      <c r="AM24" s="236"/>
      <c r="AN24" s="236"/>
      <c r="AO24" s="236"/>
      <c r="AP24" s="236"/>
      <c r="AQ24" s="236"/>
      <c r="AR24" s="236"/>
      <c r="AS24" s="236"/>
      <c r="AT24" s="236"/>
      <c r="AU24" s="236"/>
      <c r="AV24" s="236"/>
      <c r="AW24" s="236"/>
    </row>
    <row r="25" s="36" customFormat="1" ht="20.1" customHeight="1">
      <c r="B25" s="964"/>
      <c r="C25" s="354">
        <v>1</v>
      </c>
      <c r="D25" s="355">
        <v>2</v>
      </c>
      <c r="E25" s="355">
        <v>3</v>
      </c>
      <c r="F25" s="355">
        <v>4</v>
      </c>
      <c r="G25" s="355">
        <v>5</v>
      </c>
      <c r="H25" s="355">
        <v>6</v>
      </c>
      <c r="I25" s="355">
        <v>7</v>
      </c>
      <c r="J25" s="355">
        <v>8</v>
      </c>
      <c r="K25" s="355">
        <v>9</v>
      </c>
      <c r="L25" s="355">
        <v>10</v>
      </c>
      <c r="M25" s="355">
        <v>11</v>
      </c>
      <c r="N25" s="355">
        <v>12</v>
      </c>
      <c r="O25" s="355">
        <v>13</v>
      </c>
      <c r="P25" s="355">
        <v>14</v>
      </c>
      <c r="Q25" s="355">
        <v>15</v>
      </c>
      <c r="R25" s="355">
        <v>16</v>
      </c>
      <c r="S25" s="355">
        <v>17</v>
      </c>
      <c r="T25" s="355">
        <v>18</v>
      </c>
      <c r="U25" s="355">
        <v>19</v>
      </c>
      <c r="V25" s="355">
        <v>20</v>
      </c>
      <c r="W25" s="355">
        <v>21</v>
      </c>
      <c r="X25" s="355">
        <v>22</v>
      </c>
      <c r="Y25" s="355">
        <v>23</v>
      </c>
      <c r="Z25" s="355">
        <v>24</v>
      </c>
      <c r="AA25" s="355">
        <v>25</v>
      </c>
      <c r="AB25" s="355">
        <v>26</v>
      </c>
      <c r="AC25" s="355">
        <v>27</v>
      </c>
      <c r="AD25" s="355">
        <v>28</v>
      </c>
      <c r="AE25" s="355">
        <v>29</v>
      </c>
      <c r="AF25" s="355">
        <v>30</v>
      </c>
      <c r="AG25" s="356">
        <v>31</v>
      </c>
      <c r="AH25" s="529"/>
      <c r="AI25" s="236"/>
      <c r="AJ25" s="236"/>
      <c r="AK25" s="236"/>
      <c r="AL25" s="236"/>
      <c r="AM25" s="236"/>
      <c r="AN25" s="236"/>
      <c r="AO25" s="236"/>
      <c r="AP25" s="236"/>
      <c r="AQ25" s="236"/>
      <c r="AR25" s="236"/>
      <c r="AS25" s="236"/>
      <c r="AT25" s="236"/>
      <c r="AU25" s="236"/>
      <c r="AV25" s="236"/>
      <c r="AW25" s="236"/>
    </row>
    <row r="26" ht="24.95" customHeight="1">
      <c r="B26" s="263" t="s">
        <v>19</v>
      </c>
      <c r="C26" s="573">
        <v>39.247311827956989247311827960</v>
      </c>
      <c r="D26" s="574">
        <v>47.311827956989247311827956990</v>
      </c>
      <c r="E26" s="574">
        <v>15.053763440860215053763440860</v>
      </c>
      <c r="F26" s="574">
        <v>18.817204301075268817204301080</v>
      </c>
      <c r="G26" s="574">
        <v>33.870967741935483870967741940</v>
      </c>
      <c r="H26" s="574">
        <v>40.860215053763440860215053760</v>
      </c>
      <c r="I26" s="574">
        <v>33.333333333333333333333333330</v>
      </c>
      <c r="J26" s="574">
        <v>70.967741935483870967741935480</v>
      </c>
      <c r="K26" s="574">
        <v>65.053763440860215053763440860</v>
      </c>
      <c r="L26" s="574">
        <v>24.193548387096774193548387100</v>
      </c>
      <c r="M26" s="574">
        <v>38.709677419354838709677419350</v>
      </c>
      <c r="N26" s="574">
        <v>41.397849462365591397849462370</v>
      </c>
      <c r="O26" s="574">
        <v>36.559139784946236559139784950</v>
      </c>
      <c r="P26" s="574">
        <v>43.010752688172043010752688170</v>
      </c>
      <c r="Q26" s="574">
        <v>47.311827956989247311827956990</v>
      </c>
      <c r="R26" s="574">
        <v>55.376344086021505376344086020</v>
      </c>
      <c r="S26" s="574">
        <v>23.118279569892473118279569890</v>
      </c>
      <c r="T26" s="574">
        <v>30.107526881720430107526881720</v>
      </c>
      <c r="U26" s="574">
        <v>36.021505376344086021505376340</v>
      </c>
      <c r="V26" s="574">
        <v>34.946236559139784946236559140</v>
      </c>
      <c r="W26" s="574">
        <v>31.182795698924731182795698920</v>
      </c>
      <c r="X26" s="574">
        <v>41.935483870967741935483870970</v>
      </c>
      <c r="Y26" s="574">
        <v>44.623655913978494623655913980</v>
      </c>
      <c r="Z26" s="574">
        <v>16.129032258064516129032258060</v>
      </c>
      <c r="AA26" s="574">
        <v>28.494623655913978494623655910</v>
      </c>
      <c r="AB26" s="574">
        <v>25.806451612903225806451612900</v>
      </c>
      <c r="AC26" s="574">
        <v>30.645161290322580645161290320</v>
      </c>
      <c r="AD26" s="574">
        <v>33.333333333333333333333333330</v>
      </c>
      <c r="AE26" s="574">
        <v>54.301075268817204301075268820</v>
      </c>
      <c r="AF26" s="574">
        <v>68.817204301075268817204301080</v>
      </c>
      <c r="AG26" s="575">
        <v>66.666666666666666666666666670</v>
      </c>
      <c r="AH26" s="530"/>
    </row>
    <row r="27" ht="24.95" customHeight="1">
      <c r="B27" s="38" t="s">
        <v>35</v>
      </c>
      <c r="C27" s="271">
        <v>60.153256704980842911877394640</v>
      </c>
      <c r="D27" s="97">
        <v>47.701149425287356321839080460</v>
      </c>
      <c r="E27" s="97">
        <v>31.417624521072796934865900380</v>
      </c>
      <c r="F27" s="97">
        <v>38.505747126436781609195402300</v>
      </c>
      <c r="G27" s="97">
        <v>43.295019157088122605363984670</v>
      </c>
      <c r="H27" s="97">
        <v>43.486590038314176245210727970</v>
      </c>
      <c r="I27" s="97">
        <v>42.145593869731800766283524900</v>
      </c>
      <c r="J27" s="97">
        <v>47.892720306513409961685823750</v>
      </c>
      <c r="K27" s="97">
        <v>68.582375478927203065134099620</v>
      </c>
      <c r="L27" s="97">
        <v>56.896551724137931034482758620</v>
      </c>
      <c r="M27" s="97">
        <v>65.517241379310344827586206900</v>
      </c>
      <c r="N27" s="97">
        <v>73.371647509578544061302681990</v>
      </c>
      <c r="O27" s="97">
        <v>73.563218390804597701149425290</v>
      </c>
      <c r="P27" s="97">
        <v>64.367816091954022988505747130</v>
      </c>
      <c r="Q27" s="97">
        <v>69.348659003831417624521072800</v>
      </c>
      <c r="R27" s="97">
        <v>69.540229885057471264367816090</v>
      </c>
      <c r="S27" s="97">
        <v>50.383141762452107279693486590</v>
      </c>
      <c r="T27" s="97">
        <v>63.218390804597701149425287360</v>
      </c>
      <c r="U27" s="97">
        <v>69.348659003831417624521072800</v>
      </c>
      <c r="V27" s="97">
        <v>69.540229885057471264367816090</v>
      </c>
      <c r="W27" s="97">
        <v>60.153256704980842911877394640</v>
      </c>
      <c r="X27" s="97">
        <v>60.344827586206896551724137930</v>
      </c>
      <c r="Y27" s="97">
        <v>59.386973180076628352490421460</v>
      </c>
      <c r="Z27" s="97">
        <v>45.210727969348659003831417620</v>
      </c>
      <c r="AA27" s="97">
        <v>57.088122605363984674329501920</v>
      </c>
      <c r="AB27" s="97">
        <v>68.007662835249042145593869730</v>
      </c>
      <c r="AC27" s="97">
        <v>62.260536398467432950191570880</v>
      </c>
      <c r="AD27" s="97">
        <v>62.452107279693486590038314180</v>
      </c>
      <c r="AE27" s="97">
        <v>66.858237547892720306513409960</v>
      </c>
      <c r="AF27" s="97">
        <v>73.946360153256704980842911880</v>
      </c>
      <c r="AG27" s="272">
        <v>62.835249042145593869731800770</v>
      </c>
      <c r="AH27" s="530"/>
    </row>
    <row r="28" ht="24.95" customHeight="1">
      <c r="A28" s="23"/>
      <c r="B28" s="40" t="s">
        <v>97</v>
      </c>
      <c r="C28" s="581">
        <v>65.245531127984152337528585290</v>
      </c>
      <c r="D28" s="582">
        <v>99.18383210257767455363623864</v>
      </c>
      <c r="E28" s="582">
        <v>47.915027537330660513135458380</v>
      </c>
      <c r="F28" s="582">
        <v>48.868560423734691971054737440</v>
      </c>
      <c r="G28" s="582">
        <v>78.232943191528637779501267770</v>
      </c>
      <c r="H28" s="582">
        <v>93.96049452894920354901938460</v>
      </c>
      <c r="I28" s="582">
        <v>79.090909090968768595041367340</v>
      </c>
      <c r="J28" s="582">
        <v>148.18064516133181316129033419</v>
      </c>
      <c r="K28" s="582">
        <v>94.85492881604050742445920078</v>
      </c>
      <c r="L28" s="582">
        <v>42.521994134925708699902267190</v>
      </c>
      <c r="M28" s="582">
        <v>59.083191850603556429273524830</v>
      </c>
      <c r="N28" s="582">
        <v>56.422134254173679975563843090</v>
      </c>
      <c r="O28" s="582">
        <v>49.697580645164396421370967940</v>
      </c>
      <c r="P28" s="582">
        <v>66.820276497648123765635320460</v>
      </c>
      <c r="Q28" s="582">
        <v>68.223133131380043344220275900</v>
      </c>
      <c r="R28" s="582">
        <v>79.63209810712272033242928832</v>
      </c>
      <c r="S28" s="582">
        <v>45.884950324990113042436075870</v>
      </c>
      <c r="T28" s="582">
        <v>47.624633431083312183417755330</v>
      </c>
      <c r="U28" s="582">
        <v>51.942612725027987546167710050</v>
      </c>
      <c r="V28" s="582">
        <v>50.253265795757056520465084860</v>
      </c>
      <c r="W28" s="582">
        <v>51.838915142781929254474766380</v>
      </c>
      <c r="X28" s="582">
        <v>69.493087557611628703094141790</v>
      </c>
      <c r="Y28" s="582">
        <v>75.140478668024538887583510010</v>
      </c>
      <c r="Z28" s="582">
        <v>35.675232367452283594814286390</v>
      </c>
      <c r="AA28" s="582">
        <v>49.913401169052728371724048560</v>
      </c>
      <c r="AB28" s="582">
        <v>37.946388005479431398020125830</v>
      </c>
      <c r="AC28" s="582">
        <v>49.220843672430829394922708630</v>
      </c>
      <c r="AD28" s="582">
        <v>53.374233128828789190409876750</v>
      </c>
      <c r="AE28" s="582">
        <v>81.21822719289253396139816736</v>
      </c>
      <c r="AF28" s="582">
        <v>93.06368042782450241140921458</v>
      </c>
      <c r="AG28" s="583">
        <v>106.09756097568674152290308978</v>
      </c>
      <c r="AH28" s="531"/>
    </row>
    <row r="29" ht="24.95" customHeight="1">
      <c r="B29" s="25" t="s">
        <v>68</v>
      </c>
      <c r="R29" s="4"/>
      <c r="S29" s="4"/>
      <c r="T29" s="4"/>
      <c r="U29" s="4"/>
      <c r="V29" s="4"/>
      <c r="W29" s="4"/>
      <c r="X29" s="4"/>
      <c r="Y29" s="4"/>
      <c r="Z29" s="4"/>
      <c r="AA29" s="4"/>
      <c r="AB29" s="4"/>
      <c r="AC29" s="4"/>
      <c r="AD29" s="4"/>
      <c r="AE29" s="4"/>
      <c r="AF29" s="4"/>
      <c r="AG29" s="4"/>
      <c r="AH29" s="4"/>
    </row>
    <row r="30" ht="24.95" customHeight="1">
      <c r="B30" s="37" t="s">
        <v>19</v>
      </c>
      <c r="C30" s="573">
        <v>48.979591836765097875885054110</v>
      </c>
      <c r="D30" s="574">
        <v>83.33333333335625000000000287</v>
      </c>
      <c r="E30" s="574">
        <v>-24.324324324402045288531695200</v>
      </c>
      <c r="F30" s="574">
        <v>12.903225806225806451613354870</v>
      </c>
      <c r="G30" s="574">
        <v>28.571428571454810495626827530</v>
      </c>
      <c r="H30" s="574">
        <v>28.813559322143062338408595800</v>
      </c>
      <c r="I30" s="574">
        <v>21.568627451023298731257223900</v>
      </c>
      <c r="J30" s="574">
        <v>78.378378378195178962746718460</v>
      </c>
      <c r="K30" s="574">
        <v>28.723404255324626527840652110</v>
      </c>
      <c r="L30" s="574">
        <v>24.999999999854166666666836820</v>
      </c>
      <c r="M30" s="574">
        <v>50.000000000018750000000002330</v>
      </c>
      <c r="N30" s="574">
        <v>2.666666666568106666666761300</v>
      </c>
      <c r="O30" s="574">
        <v>-20.000000000030117647058812180</v>
      </c>
      <c r="P30" s="574">
        <v>21.212121212264462809917524660</v>
      </c>
      <c r="Q30" s="574">
        <v>49.15254237300775639184153200</v>
      </c>
      <c r="R30" s="574">
        <v>6.1855670103267934955893322500</v>
      </c>
      <c r="S30" s="574">
        <v>-10.416666666655468749999998610</v>
      </c>
      <c r="T30" s="574">
        <v>7.6923076923532544378698417600</v>
      </c>
      <c r="U30" s="574">
        <v>9.836065573874926095135815490</v>
      </c>
      <c r="V30" s="574">
        <v>16.071428571507334183673522830</v>
      </c>
      <c r="W30" s="574">
        <v>5.4545454546106446280992138400</v>
      </c>
      <c r="X30" s="574">
        <v>9.859154929441301329101537550</v>
      </c>
      <c r="Y30" s="574">
        <v>-3.488372093054678204434819400</v>
      </c>
      <c r="Z30" s="574">
        <v>-53.124999999948730468749943940</v>
      </c>
      <c r="AA30" s="574">
        <v>-14.516129032172580645161204850</v>
      </c>
      <c r="AB30" s="574">
        <v>-38.461538461585798816568010930</v>
      </c>
      <c r="AC30" s="574">
        <v>-19.718309859254433644118107190</v>
      </c>
      <c r="AD30" s="574">
        <v>-15.068493150778007130793667950</v>
      </c>
      <c r="AE30" s="574">
        <v>14.772727272701188016528931550</v>
      </c>
      <c r="AF30" s="574">
        <v>14.285714285791836734693930180</v>
      </c>
      <c r="AG30" s="575">
        <v>45.882352941121550173010401310</v>
      </c>
      <c r="AH30" s="530"/>
    </row>
    <row r="31" ht="24.95" customHeight="1">
      <c r="B31" s="38" t="s">
        <v>35</v>
      </c>
      <c r="C31" s="271">
        <v>31.932773109245914836522844480</v>
      </c>
      <c r="D31" s="97">
        <v>19.138755980995773906275191400</v>
      </c>
      <c r="E31" s="97">
        <v>7.5180928053726699777683718500</v>
      </c>
      <c r="F31" s="97">
        <v>1.5151515150407713498623797700</v>
      </c>
      <c r="G31" s="97">
        <v>5.6074766354508516027601041500</v>
      </c>
      <c r="H31" s="97">
        <v>6.5727699531807313363752142200</v>
      </c>
      <c r="I31" s="97">
        <v>24.999999999946022727272750570</v>
      </c>
      <c r="J31" s="97">
        <v>13.636363636449380165289320880</v>
      </c>
      <c r="K31" s="97">
        <v>59.111111110971093333333456560</v>
      </c>
      <c r="L31" s="97">
        <v>143.44262295059618382155355104</v>
      </c>
      <c r="M31" s="97">
        <v>55.454545454662752066115790990</v>
      </c>
      <c r="N31" s="97">
        <v>64.377682403324831918068188730</v>
      </c>
      <c r="O31" s="97">
        <v>44.360902255724845949460167390</v>
      </c>
      <c r="P31" s="97">
        <v>48.017621145422701779580446180</v>
      </c>
      <c r="Q31" s="97">
        <v>37.121212121152909779614350640</v>
      </c>
      <c r="R31" s="97">
        <v>42.913385826823417446834912410</v>
      </c>
      <c r="S31" s="97">
        <v>132.74336283233213250841979107</v>
      </c>
      <c r="T31" s="97">
        <v>89.65517241398275862068984484</v>
      </c>
      <c r="U31" s="97">
        <v>45.381526104379135820390003930</v>
      </c>
      <c r="V31" s="97">
        <v>45.200000000040656000000011380</v>
      </c>
      <c r="W31" s="97">
        <v>51.317198543406777090603090320</v>
      </c>
      <c r="X31" s="97">
        <v>83.13953488361658328826398590</v>
      </c>
      <c r="Y31" s="97">
        <v>68.478260869535916824196602460</v>
      </c>
      <c r="Z31" s="97">
        <v>107.01754385936583564173630638</v>
      </c>
      <c r="AA31" s="97">
        <v>70.285714285507996734694127470</v>
      </c>
      <c r="AB31" s="97">
        <v>73.170731707497846519928802630</v>
      </c>
      <c r="AC31" s="97">
        <v>86.78160919558908045977030172</v>
      </c>
      <c r="AD31" s="97">
        <v>113.07189542473633217993084305</v>
      </c>
      <c r="AE31" s="97">
        <v>126.62337662347080452015520864</v>
      </c>
      <c r="AF31" s="97">
        <v>135.36585365833279298036900454</v>
      </c>
      <c r="AG31" s="272">
        <v>168.85245901614662725073927524</v>
      </c>
      <c r="AH31" s="530"/>
    </row>
    <row r="32" ht="24.95" customHeight="1">
      <c r="A32" s="23"/>
      <c r="B32" s="40" t="s">
        <v>97</v>
      </c>
      <c r="C32" s="581">
        <v>12.920837124637652267200492460</v>
      </c>
      <c r="D32" s="582">
        <v>53.882195448274461163446382240</v>
      </c>
      <c r="E32" s="582">
        <v>-29.615868640284128003760378110</v>
      </c>
      <c r="F32" s="582">
        <v>11.218103033565006637161851770</v>
      </c>
      <c r="G32" s="582">
        <v>21.744627054441545671737636250</v>
      </c>
      <c r="H32" s="582">
        <v>20.869110729373355873621525590</v>
      </c>
      <c r="I32" s="582">
        <v>-2.7450980391528241826449191900</v>
      </c>
      <c r="J32" s="582">
        <v>56.972972972970599116395066020</v>
      </c>
      <c r="K32" s="582">
        <v>-19.098419113205658709999029960</v>
      </c>
      <c r="L32" s="582">
        <v>-48.653198653108452016976800050</v>
      </c>
      <c r="M32" s="582">
        <v>-3.5087719298846519530323603200</v>
      </c>
      <c r="N32" s="582">
        <v>-37.542210617916650256253636470</v>
      </c>
      <c r="O32" s="582">
        <v>-44.583333333377215633451618810</v>
      </c>
      <c r="P32" s="582">
        <v>-18.109668109739466760813177450</v>
      </c>
      <c r="Q32" s="582">
        <v>8.774229796974387432183072600</v>
      </c>
      <c r="R32" s="582">
        <v>-25.699355315195262936569768640</v>
      </c>
      <c r="S32" s="582">
        <v>-61.509822560325425840259393690</v>
      </c>
      <c r="T32" s="582">
        <v>-43.216783216828961024988961750</v>
      </c>
      <c r="U32" s="582">
        <v>-24.449778099750076066272488880</v>
      </c>
      <c r="V32" s="582">
        <v>-20.060999606462020620979422700</v>
      </c>
      <c r="W32" s="582">
        <v>-30.308949366196290563740435240</v>
      </c>
      <c r="X32" s="582">
        <v>-40.013413816181404306347155750</v>
      </c>
      <c r="Y32" s="582">
        <v>-42.715678919756886655194584190</v>
      </c>
      <c r="Z32" s="582">
        <v>-77.356991525363247101413710050</v>
      </c>
      <c r="AA32" s="582">
        <v>-49.799740203502859209619134250</v>
      </c>
      <c r="AB32" s="582">
        <v>-64.463705308783122576423551840</v>
      </c>
      <c r="AC32" s="582">
        <v>-57.018418201592548686099322830</v>
      </c>
      <c r="AD32" s="582">
        <v>-60.139507521620022024701342570</v>
      </c>
      <c r="AE32" s="582">
        <v>-49.35530085961382768914000800</v>
      </c>
      <c r="AF32" s="582">
        <v>-51.443375277552819049933982910</v>
      </c>
      <c r="AG32" s="583">
        <v>-45.738880918120115270716793580</v>
      </c>
      <c r="AH32" s="531"/>
    </row>
    <row r="33" ht="30" customHeight="1">
      <c r="A33" s="8"/>
      <c r="B33" s="25"/>
      <c r="X33" s="792"/>
      <c r="Y33" s="792"/>
      <c r="Z33" s="792"/>
      <c r="AA33" s="792"/>
      <c r="AB33" s="792"/>
      <c r="AC33" s="792"/>
      <c r="AD33" s="792"/>
      <c r="AE33"/>
      <c r="AF33"/>
      <c r="AG33" s="4"/>
      <c r="AH33" s="4"/>
    </row>
    <row r="34" s="35" customFormat="1" ht="20.1" customHeight="1">
      <c r="B34" s="784" t="s">
        <v>9</v>
      </c>
      <c r="C34" s="350" t="s">
        <v>240</v>
      </c>
      <c r="D34" s="351"/>
      <c r="E34" s="351"/>
      <c r="F34" s="351"/>
      <c r="G34" s="351"/>
      <c r="H34" s="351"/>
      <c r="I34" s="351"/>
      <c r="J34" s="351"/>
      <c r="K34" s="351"/>
      <c r="L34" s="351"/>
      <c r="M34" s="351"/>
      <c r="N34" s="351"/>
      <c r="O34" s="351"/>
      <c r="P34" s="351"/>
      <c r="Q34" s="351"/>
      <c r="R34" s="351"/>
      <c r="S34" s="352"/>
      <c r="T34" s="352"/>
      <c r="U34" s="352"/>
      <c r="V34" s="352"/>
      <c r="W34" s="352"/>
      <c r="X34" s="352"/>
      <c r="Y34" s="352"/>
      <c r="Z34" s="352"/>
      <c r="AA34" s="352"/>
      <c r="AB34" s="352"/>
      <c r="AC34" s="352"/>
      <c r="AD34" s="352"/>
      <c r="AE34" s="352"/>
      <c r="AF34" s="352"/>
      <c r="AG34" s="353"/>
      <c r="AH34" s="529"/>
      <c r="AI34" s="236"/>
      <c r="AJ34" s="236"/>
      <c r="AK34" s="236"/>
      <c r="AL34" s="236"/>
      <c r="AM34" s="236"/>
      <c r="AN34" s="236"/>
      <c r="AO34" s="236"/>
      <c r="AP34" s="236"/>
      <c r="AQ34" s="236"/>
      <c r="AR34" s="236"/>
      <c r="AS34" s="236"/>
      <c r="AT34" s="236"/>
      <c r="AU34" s="236"/>
      <c r="AV34" s="236"/>
      <c r="AW34" s="236"/>
    </row>
    <row r="35" s="36" customFormat="1" ht="20.1" customHeight="1">
      <c r="B35" s="964"/>
      <c r="C35" s="354">
        <v>1</v>
      </c>
      <c r="D35" s="355">
        <v>2</v>
      </c>
      <c r="E35" s="355">
        <v>3</v>
      </c>
      <c r="F35" s="355">
        <v>4</v>
      </c>
      <c r="G35" s="355">
        <v>5</v>
      </c>
      <c r="H35" s="355">
        <v>6</v>
      </c>
      <c r="I35" s="355">
        <v>7</v>
      </c>
      <c r="J35" s="355">
        <v>8</v>
      </c>
      <c r="K35" s="355">
        <v>9</v>
      </c>
      <c r="L35" s="355">
        <v>10</v>
      </c>
      <c r="M35" s="355">
        <v>11</v>
      </c>
      <c r="N35" s="355">
        <v>12</v>
      </c>
      <c r="O35" s="355">
        <v>13</v>
      </c>
      <c r="P35" s="355">
        <v>14</v>
      </c>
      <c r="Q35" s="355">
        <v>15</v>
      </c>
      <c r="R35" s="355">
        <v>16</v>
      </c>
      <c r="S35" s="355">
        <v>17</v>
      </c>
      <c r="T35" s="355">
        <v>18</v>
      </c>
      <c r="U35" s="355">
        <v>19</v>
      </c>
      <c r="V35" s="355">
        <v>20</v>
      </c>
      <c r="W35" s="355">
        <v>21</v>
      </c>
      <c r="X35" s="355">
        <v>22</v>
      </c>
      <c r="Y35" s="355">
        <v>23</v>
      </c>
      <c r="Z35" s="355">
        <v>24</v>
      </c>
      <c r="AA35" s="355">
        <v>25</v>
      </c>
      <c r="AB35" s="355">
        <v>26</v>
      </c>
      <c r="AC35" s="355">
        <v>27</v>
      </c>
      <c r="AD35" s="355">
        <v>28</v>
      </c>
      <c r="AE35" s="355">
        <v>29</v>
      </c>
      <c r="AF35" s="355">
        <v>30</v>
      </c>
      <c r="AG35" s="356">
        <v>31</v>
      </c>
      <c r="AH35" s="529"/>
      <c r="AI35" s="236"/>
      <c r="AJ35" s="236"/>
      <c r="AK35" s="236"/>
      <c r="AL35" s="236"/>
      <c r="AM35" s="236"/>
      <c r="AN35" s="236"/>
      <c r="AO35" s="236"/>
      <c r="AP35" s="236"/>
      <c r="AQ35" s="236"/>
      <c r="AR35" s="236"/>
      <c r="AS35" s="236"/>
      <c r="AT35" s="236"/>
      <c r="AU35" s="236"/>
      <c r="AV35" s="236"/>
      <c r="AW35" s="236"/>
    </row>
    <row r="36" ht="24.95" customHeight="1">
      <c r="B36" s="263" t="s">
        <v>19</v>
      </c>
      <c r="C36" s="578">
        <v>94.41095890410958904109589041</v>
      </c>
      <c r="D36" s="579">
        <v>95.000000000</v>
      </c>
      <c r="E36" s="579">
        <v>87.53571428571428571428571429</v>
      </c>
      <c r="F36" s="579">
        <v>100.94285714285714285714285714</v>
      </c>
      <c r="G36" s="579">
        <v>91.14285714285714285714285714</v>
      </c>
      <c r="H36" s="579">
        <v>94.30263157894736842105263158</v>
      </c>
      <c r="I36" s="579">
        <v>97.45161290322580645161290323</v>
      </c>
      <c r="J36" s="579">
        <v>105.56060606060606060606060606</v>
      </c>
      <c r="K36" s="579">
        <v>107.97520661157024793388429752</v>
      </c>
      <c r="L36" s="579">
        <v>88.46666666666666666666666667</v>
      </c>
      <c r="M36" s="579">
        <v>97.95833333333333333333333333</v>
      </c>
      <c r="N36" s="579">
        <v>98.19480519480519480519480519</v>
      </c>
      <c r="O36" s="579">
        <v>95.88235294117647058823529412</v>
      </c>
      <c r="P36" s="579">
        <v>87.775000000</v>
      </c>
      <c r="Q36" s="579">
        <v>97.63636363636363636363636364</v>
      </c>
      <c r="R36" s="579">
        <v>94.09708737864077669902912621</v>
      </c>
      <c r="S36" s="579">
        <v>89.65116279069767441860465116</v>
      </c>
      <c r="T36" s="579">
        <v>89.92857142857142857142857143</v>
      </c>
      <c r="U36" s="579">
        <v>97.44776119402985074626865672</v>
      </c>
      <c r="V36" s="579">
        <v>92.18461538461538461538461538</v>
      </c>
      <c r="W36" s="579">
        <v>90.93103448275862068965517241</v>
      </c>
      <c r="X36" s="579">
        <v>95.19230769230769230769230769</v>
      </c>
      <c r="Y36" s="579">
        <v>104.92771084337349397590361446</v>
      </c>
      <c r="Z36" s="579">
        <v>105.03333333333333333333333333</v>
      </c>
      <c r="AA36" s="579">
        <v>92.79245283018867924528301887</v>
      </c>
      <c r="AB36" s="579">
        <v>97.750000000</v>
      </c>
      <c r="AC36" s="579">
        <v>93.78947368421052631578947368</v>
      </c>
      <c r="AD36" s="579">
        <v>86.90322580645161290322580645</v>
      </c>
      <c r="AE36" s="579">
        <v>128.92079207920792079207920792</v>
      </c>
      <c r="AF36" s="579">
        <v>144.492187500</v>
      </c>
      <c r="AG36" s="580">
        <v>116.07258064516129032258064516</v>
      </c>
      <c r="AH36" s="530"/>
    </row>
    <row r="37" ht="24.95" customHeight="1">
      <c r="B37" s="38" t="s">
        <v>35</v>
      </c>
      <c r="C37" s="276">
        <v>104.76070063694267515923566878</v>
      </c>
      <c r="D37" s="101">
        <v>99.39646586345381526104417671</v>
      </c>
      <c r="E37" s="101">
        <v>90.2486585365853658536585366</v>
      </c>
      <c r="F37" s="101">
        <v>95.47681592039800995024875621</v>
      </c>
      <c r="G37" s="101">
        <v>95.78818584070796460176991151</v>
      </c>
      <c r="H37" s="101">
        <v>102.02453744493392070484581498</v>
      </c>
      <c r="I37" s="101">
        <v>96.85254545454545454545454546</v>
      </c>
      <c r="J37" s="101">
        <v>102.10136000000000000000000001</v>
      </c>
      <c r="K37" s="101">
        <v>93.01374301675977653631284916</v>
      </c>
      <c r="L37" s="101">
        <v>85.15414141414141414141414141</v>
      </c>
      <c r="M37" s="101">
        <v>90.10400584795321637426900584</v>
      </c>
      <c r="N37" s="101">
        <v>95.16780678851174934725848564</v>
      </c>
      <c r="O37" s="101">
        <v>95.14286458333333333333333333</v>
      </c>
      <c r="P37" s="101">
        <v>91.15113095238095238095238095</v>
      </c>
      <c r="Q37" s="101">
        <v>93.25472375690607734806629834</v>
      </c>
      <c r="R37" s="101">
        <v>93.06713498622589531680440772</v>
      </c>
      <c r="S37" s="101">
        <v>88.60893536121673003802281369</v>
      </c>
      <c r="T37" s="101">
        <v>89.10545454545454545454545454</v>
      </c>
      <c r="U37" s="101">
        <v>98.67638121546961325966850828</v>
      </c>
      <c r="V37" s="101">
        <v>98.07531680440771349862258953</v>
      </c>
      <c r="W37" s="101">
        <v>86.81640127388535031847133757</v>
      </c>
      <c r="X37" s="101">
        <v>91.17736507936507936507936508</v>
      </c>
      <c r="Y37" s="101">
        <v>87.85287096774193548387096774</v>
      </c>
      <c r="Z37" s="101">
        <v>85.94584745762711864406779662</v>
      </c>
      <c r="AA37" s="101">
        <v>93.49617449664429530201342281</v>
      </c>
      <c r="AB37" s="101">
        <v>97.64501408450704225352112676</v>
      </c>
      <c r="AC37" s="101">
        <v>91.72658461538461538461538462</v>
      </c>
      <c r="AD37" s="101">
        <v>100.10512269938650306748466257</v>
      </c>
      <c r="AE37" s="101">
        <v>93.09063037249283667621776505</v>
      </c>
      <c r="AF37" s="101">
        <v>99.39427461139896373056994818</v>
      </c>
      <c r="AG37" s="277">
        <v>90.47417682926829268292682926</v>
      </c>
      <c r="AH37" s="530"/>
    </row>
    <row r="38" ht="24.95" customHeight="1">
      <c r="A38" s="23"/>
      <c r="B38" s="40" t="s">
        <v>98</v>
      </c>
      <c r="C38" s="581">
        <v>90.12058752006388571841253664</v>
      </c>
      <c r="D38" s="582">
        <v>95.57683884904155951474344041</v>
      </c>
      <c r="E38" s="582">
        <v>96.99392290713607663240103479</v>
      </c>
      <c r="F38" s="582">
        <v>105.72499320360058660440553870</v>
      </c>
      <c r="G38" s="582">
        <v>95.15041582939231699550591564</v>
      </c>
      <c r="H38" s="582">
        <v>92.43132479760276137937087252</v>
      </c>
      <c r="I38" s="582">
        <v>100.61853557479007109641985153</v>
      </c>
      <c r="J38" s="582">
        <v>103.38805091392128430616458592</v>
      </c>
      <c r="K38" s="582">
        <v>116.08521828012870233898949269</v>
      </c>
      <c r="L38" s="582">
        <v>103.89003423387012371390192800</v>
      </c>
      <c r="M38" s="582">
        <v>108.71695704471020749209846310</v>
      </c>
      <c r="N38" s="582">
        <v>103.18069577145175401784267755</v>
      </c>
      <c r="O38" s="582">
        <v>100.77723995500369836533270804</v>
      </c>
      <c r="P38" s="582">
        <v>96.29611731952832471611952085</v>
      </c>
      <c r="Q38" s="582">
        <v>104.69857150709690985454951483</v>
      </c>
      <c r="R38" s="582">
        <v>101.10667680120753485921293915</v>
      </c>
      <c r="S38" s="582">
        <v>101.17621030570924116668693972</v>
      </c>
      <c r="T38" s="582">
        <v>100.92375588819999750104812334</v>
      </c>
      <c r="U38" s="582">
        <v>98.75489959569255191630022116</v>
      </c>
      <c r="V38" s="582">
        <v>93.99369626148346224855563560</v>
      </c>
      <c r="W38" s="582">
        <v>104.73946529513153309164463437</v>
      </c>
      <c r="X38" s="582">
        <v>104.40344224623223007616409732</v>
      </c>
      <c r="Y38" s="582">
        <v>119.43572211994213851092575586</v>
      </c>
      <c r="Z38" s="582">
        <v>122.20873543093497001824289489</v>
      </c>
      <c r="AA38" s="582">
        <v>99.24732571123868636942480915</v>
      </c>
      <c r="AB38" s="582">
        <v>100.10751794803280721933459695</v>
      </c>
      <c r="AC38" s="582">
        <v>102.24895440886631173752877492</v>
      </c>
      <c r="AD38" s="582">
        <v>86.81196672362950383114368179</v>
      </c>
      <c r="AE38" s="582">
        <v>138.48954676032846604417186983</v>
      </c>
      <c r="AF38" s="582">
        <v>145.37274713751722156672698001</v>
      </c>
      <c r="AG38" s="583">
        <v>128.29360234374772983384863505</v>
      </c>
      <c r="AH38" s="531"/>
    </row>
    <row r="39" ht="24.95" customHeight="1">
      <c r="B39" s="25" t="s">
        <v>68</v>
      </c>
      <c r="S39" s="4"/>
      <c r="T39" s="4"/>
      <c r="U39" s="4"/>
      <c r="V39" s="4"/>
      <c r="W39" s="4"/>
      <c r="X39" s="4"/>
      <c r="Y39" s="4"/>
      <c r="Z39" s="4"/>
      <c r="AA39" s="4"/>
      <c r="AB39" s="4"/>
      <c r="AC39" s="4"/>
      <c r="AD39" s="4"/>
      <c r="AE39" s="4"/>
      <c r="AF39" s="4"/>
      <c r="AG39" s="4"/>
      <c r="AH39" s="4"/>
    </row>
    <row r="40" ht="24.95" customHeight="1">
      <c r="B40" s="37" t="s">
        <v>19</v>
      </c>
      <c r="C40" s="573">
        <v>-16.706211985923904718153240720</v>
      </c>
      <c r="D40" s="574">
        <v>-6.1148857319332921556516368100</v>
      </c>
      <c r="E40" s="574">
        <v>-12.107966660210236435226815490</v>
      </c>
      <c r="F40" s="574">
        <v>11.718263885319150329319219470</v>
      </c>
      <c r="G40" s="574">
        <v>-11.651829871395216026282598370</v>
      </c>
      <c r="H40" s="574">
        <v>-8.308252090327894758254587070</v>
      </c>
      <c r="I40" s="574">
        <v>-2.5292751899850130366568389900</v>
      </c>
      <c r="J40" s="574">
        <v>-3.0472278952054456932504885700</v>
      </c>
      <c r="K40" s="574">
        <v>-5.0190022319833167347685903600</v>
      </c>
      <c r="L40" s="574">
        <v>-10.186125211505922165820642970</v>
      </c>
      <c r="M40" s="574">
        <v>7.0582877959927140255009107400</v>
      </c>
      <c r="N40" s="574">
        <v>-5.3148574233990424038930912100</v>
      </c>
      <c r="O40" s="574">
        <v>-12.899433579157230002441133430</v>
      </c>
      <c r="P40" s="574">
        <v>-8.769291338562563308326612220</v>
      </c>
      <c r="Q40" s="574">
        <v>-11.348946528970552174755630470</v>
      </c>
      <c r="R40" s="574">
        <v>-3.8612020673311722454368103100</v>
      </c>
      <c r="S40" s="574">
        <v>-37.233725000663759736099582330</v>
      </c>
      <c r="T40" s="574">
        <v>-49.711950593759353238980959220</v>
      </c>
      <c r="U40" s="574">
        <v>-6.226322245859332190840814100</v>
      </c>
      <c r="V40" s="574">
        <v>-4.5954821375261220021892725700</v>
      </c>
      <c r="W40" s="574">
        <v>-16.395738940932861532059247320</v>
      </c>
      <c r="X40" s="574">
        <v>-28.751277185803277055450936050</v>
      </c>
      <c r="Y40" s="574">
        <v>0.3981211896763742712941401400</v>
      </c>
      <c r="Z40" s="574">
        <v>6.7344130411770932571186620100</v>
      </c>
      <c r="AA40" s="574">
        <v>-10.721103732620848304124773640</v>
      </c>
      <c r="AB40" s="574">
        <v>-5.6840672933957654792907955900</v>
      </c>
      <c r="AC40" s="574">
        <v>-0.3583326114386894347207425900</v>
      </c>
      <c r="AD40" s="574">
        <v>-3.9234365610721052493250372700</v>
      </c>
      <c r="AE40" s="574">
        <v>16.886768009124475159515818240</v>
      </c>
      <c r="AF40" s="574">
        <v>40.735063918660364232264507330</v>
      </c>
      <c r="AG40" s="575">
        <v>26.765634778795310960146511960</v>
      </c>
      <c r="AH40" s="530"/>
    </row>
    <row r="41" ht="24.95" customHeight="1">
      <c r="B41" s="38" t="s">
        <v>35</v>
      </c>
      <c r="C41" s="271">
        <v>2.344804230840345375697306400</v>
      </c>
      <c r="D41" s="97">
        <v>8.160690378804648757588145020</v>
      </c>
      <c r="E41" s="97">
        <v>-6.836140793453012047683138100</v>
      </c>
      <c r="F41" s="97">
        <v>-5.716677611133236955461937100</v>
      </c>
      <c r="G41" s="97">
        <v>-10.278968334290222296396563310</v>
      </c>
      <c r="H41" s="97">
        <v>1.4921562889741181005482323100</v>
      </c>
      <c r="I41" s="97">
        <v>-5.6980542740939732404273200200</v>
      </c>
      <c r="J41" s="97">
        <v>2.6460371991731959361816573300</v>
      </c>
      <c r="K41" s="97">
        <v>-9.705057759620698765429157850</v>
      </c>
      <c r="L41" s="97">
        <v>9.899325850634951820221768200</v>
      </c>
      <c r="M41" s="97">
        <v>-19.768060241497390246014176010</v>
      </c>
      <c r="N41" s="97">
        <v>-12.478976411519958158106361560</v>
      </c>
      <c r="O41" s="97">
        <v>0.2798308665718525773177667900</v>
      </c>
      <c r="P41" s="97">
        <v>-12.251575147194763375523552280</v>
      </c>
      <c r="Q41" s="97">
        <v>-10.710799058241907603814966880</v>
      </c>
      <c r="R41" s="97">
        <v>-10.702384551569286357253414660</v>
      </c>
      <c r="S41" s="97">
        <v>-8.036597814615697050712939800</v>
      </c>
      <c r="T41" s="97">
        <v>-13.987056791997526873030462910</v>
      </c>
      <c r="U41" s="97">
        <v>-8.455487760887269997561785400</v>
      </c>
      <c r="V41" s="97">
        <v>-1.9133836173850092544435223600</v>
      </c>
      <c r="W41" s="97">
        <v>-8.695858389335938739472742690</v>
      </c>
      <c r="X41" s="97">
        <v>26.633286421176428336957810740</v>
      </c>
      <c r="Y41" s="97">
        <v>-10.673632341394871539024187320</v>
      </c>
      <c r="Z41" s="97">
        <v>-9.170219298993886213838714530</v>
      </c>
      <c r="AA41" s="97">
        <v>8.810760532115742868498992470</v>
      </c>
      <c r="AB41" s="97">
        <v>-47.103075060027752837857900830</v>
      </c>
      <c r="AC41" s="97">
        <v>-11.366027865218059251125069640</v>
      </c>
      <c r="AD41" s="97">
        <v>11.523609606949731478403245390</v>
      </c>
      <c r="AE41" s="97">
        <v>-4.0931971435979366254733517100</v>
      </c>
      <c r="AF41" s="97">
        <v>4.4791606899255544713069671900</v>
      </c>
      <c r="AG41" s="272">
        <v>5.7202500730114314314526665900</v>
      </c>
      <c r="AH41" s="530"/>
    </row>
    <row r="42" ht="24.95" customHeight="1">
      <c r="A42" s="23"/>
      <c r="B42" s="40" t="s">
        <v>98</v>
      </c>
      <c r="C42" s="581">
        <v>-18.614541656418631572192647360</v>
      </c>
      <c r="D42" s="582">
        <v>-13.198488342471472733254577310</v>
      </c>
      <c r="E42" s="582">
        <v>-5.6586598190287334001887521600</v>
      </c>
      <c r="F42" s="582">
        <v>18.49207373561449934450632900</v>
      </c>
      <c r="G42" s="582">
        <v>-1.5301446178699923641035372500</v>
      </c>
      <c r="H42" s="582">
        <v>-9.656320978555931100786056650</v>
      </c>
      <c r="I42" s="582">
        <v>3.360247829205679518935471800</v>
      </c>
      <c r="J42" s="582">
        <v>-5.5465025730421528981034574900</v>
      </c>
      <c r="K42" s="582">
        <v>5.1897209425933762553846600600</v>
      </c>
      <c r="L42" s="582">
        <v>-18.276227726259655709554772580</v>
      </c>
      <c r="M42" s="582">
        <v>33.435995836757019835993570970</v>
      </c>
      <c r="N42" s="582">
        <v>8.185597807709428112003325110</v>
      </c>
      <c r="O42" s="582">
        <v>-13.142487708454188337062201200</v>
      </c>
      <c r="P42" s="582">
        <v>3.968485832581470859560519100</v>
      </c>
      <c r="Q42" s="582">
        <v>-0.71469725794136440762490100</v>
      </c>
      <c r="R42" s="582">
        <v>7.6611032107959083833055434900</v>
      </c>
      <c r="S42" s="582">
        <v>-31.748637492969403812369405830</v>
      </c>
      <c r="T42" s="582">
        <v>-41.534323172036302304878423270</v>
      </c>
      <c r="U42" s="582">
        <v>2.4350618737374748383094141100</v>
      </c>
      <c r="V42" s="582">
        <v>-2.7344184345281626181457467400</v>
      </c>
      <c r="W42" s="582">
        <v>-8.433221555786297626124991490</v>
      </c>
      <c r="X42" s="582">
        <v>-43.736181198689360525557974680</v>
      </c>
      <c r="Y42" s="582">
        <v>12.394720418333832504089131800</v>
      </c>
      <c r="Z42" s="582">
        <v>17.510371837747568001135119090</v>
      </c>
      <c r="AA42" s="582">
        <v>-17.950305805358565903838432440</v>
      </c>
      <c r="AB42" s="582">
        <v>78.301352703640229643747252290</v>
      </c>
      <c r="AC42" s="582">
        <v>12.419273319939691133220392310</v>
      </c>
      <c r="AD42" s="582">
        <v>-13.850920197560708006484171380</v>
      </c>
      <c r="AE42" s="582">
        <v>21.875367052057680641334657380</v>
      </c>
      <c r="AF42" s="582">
        <v>34.701564397411574802772258720</v>
      </c>
      <c r="AG42" s="583">
        <v>19.906673216633076156964306160</v>
      </c>
      <c r="AH42" s="531"/>
    </row>
    <row r="43" ht="30" customHeight="1">
      <c r="A43" s="8"/>
      <c r="B43" s="25"/>
      <c r="X43" s="792"/>
      <c r="Y43" s="792"/>
      <c r="Z43" s="792"/>
      <c r="AA43" s="792"/>
      <c r="AB43" s="792"/>
      <c r="AC43" s="792"/>
      <c r="AD43" s="792"/>
      <c r="AE43"/>
      <c r="AF43"/>
      <c r="AG43" s="4"/>
      <c r="AH43" s="4"/>
    </row>
    <row r="44" s="35" customFormat="1" ht="20.1" customHeight="1">
      <c r="B44" s="784" t="s">
        <v>10</v>
      </c>
      <c r="C44" s="350" t="s">
        <v>240</v>
      </c>
      <c r="D44" s="351"/>
      <c r="E44" s="351"/>
      <c r="F44" s="351"/>
      <c r="G44" s="351"/>
      <c r="H44" s="351"/>
      <c r="I44" s="351"/>
      <c r="J44" s="351"/>
      <c r="K44" s="351"/>
      <c r="L44" s="351"/>
      <c r="M44" s="351"/>
      <c r="N44" s="351"/>
      <c r="O44" s="351"/>
      <c r="P44" s="351"/>
      <c r="Q44" s="351"/>
      <c r="R44" s="351"/>
      <c r="S44" s="352"/>
      <c r="T44" s="352"/>
      <c r="U44" s="352"/>
      <c r="V44" s="352"/>
      <c r="W44" s="352"/>
      <c r="X44" s="352"/>
      <c r="Y44" s="352"/>
      <c r="Z44" s="352"/>
      <c r="AA44" s="352"/>
      <c r="AB44" s="352"/>
      <c r="AC44" s="352"/>
      <c r="AD44" s="352"/>
      <c r="AE44" s="352"/>
      <c r="AF44" s="352"/>
      <c r="AG44" s="353"/>
      <c r="AH44" s="529"/>
      <c r="AI44" s="236"/>
      <c r="AJ44" s="236"/>
      <c r="AK44" s="236"/>
      <c r="AL44" s="236"/>
      <c r="AM44" s="236"/>
      <c r="AN44" s="236"/>
      <c r="AO44" s="236"/>
      <c r="AP44" s="236"/>
      <c r="AQ44" s="236"/>
      <c r="AR44" s="236"/>
      <c r="AS44" s="236"/>
      <c r="AT44" s="236"/>
      <c r="AU44" s="236"/>
      <c r="AV44" s="236"/>
      <c r="AW44" s="236"/>
    </row>
    <row r="45" s="36" customFormat="1" ht="20.1" customHeight="1">
      <c r="B45" s="964"/>
      <c r="C45" s="354">
        <v>1</v>
      </c>
      <c r="D45" s="355">
        <v>2</v>
      </c>
      <c r="E45" s="355">
        <v>3</v>
      </c>
      <c r="F45" s="355">
        <v>4</v>
      </c>
      <c r="G45" s="355">
        <v>5</v>
      </c>
      <c r="H45" s="355">
        <v>6</v>
      </c>
      <c r="I45" s="355">
        <v>7</v>
      </c>
      <c r="J45" s="355">
        <v>8</v>
      </c>
      <c r="K45" s="355">
        <v>9</v>
      </c>
      <c r="L45" s="355">
        <v>10</v>
      </c>
      <c r="M45" s="355">
        <v>11</v>
      </c>
      <c r="N45" s="355">
        <v>12</v>
      </c>
      <c r="O45" s="355">
        <v>13</v>
      </c>
      <c r="P45" s="355">
        <v>14</v>
      </c>
      <c r="Q45" s="355">
        <v>15</v>
      </c>
      <c r="R45" s="355">
        <v>16</v>
      </c>
      <c r="S45" s="355">
        <v>17</v>
      </c>
      <c r="T45" s="355">
        <v>18</v>
      </c>
      <c r="U45" s="355">
        <v>19</v>
      </c>
      <c r="V45" s="355">
        <v>20</v>
      </c>
      <c r="W45" s="355">
        <v>21</v>
      </c>
      <c r="X45" s="355">
        <v>22</v>
      </c>
      <c r="Y45" s="355">
        <v>23</v>
      </c>
      <c r="Z45" s="355">
        <v>24</v>
      </c>
      <c r="AA45" s="355">
        <v>25</v>
      </c>
      <c r="AB45" s="355">
        <v>26</v>
      </c>
      <c r="AC45" s="355">
        <v>27</v>
      </c>
      <c r="AD45" s="355">
        <v>28</v>
      </c>
      <c r="AE45" s="355">
        <v>29</v>
      </c>
      <c r="AF45" s="355">
        <v>30</v>
      </c>
      <c r="AG45" s="356">
        <v>31</v>
      </c>
      <c r="AH45" s="529"/>
      <c r="AI45" s="236"/>
      <c r="AJ45" s="236"/>
      <c r="AK45" s="236"/>
      <c r="AL45" s="236"/>
      <c r="AM45" s="236"/>
      <c r="AN45" s="236"/>
      <c r="AO45" s="236"/>
      <c r="AP45" s="236"/>
      <c r="AQ45" s="236"/>
      <c r="AR45" s="236"/>
      <c r="AS45" s="236"/>
      <c r="AT45" s="236"/>
      <c r="AU45" s="236"/>
      <c r="AV45" s="236"/>
      <c r="AW45" s="236"/>
    </row>
    <row r="46" ht="24.95" customHeight="1">
      <c r="B46" s="263" t="s">
        <v>19</v>
      </c>
      <c r="C46" s="578">
        <v>37.05376344086021505376344086</v>
      </c>
      <c r="D46" s="579">
        <v>44.94623655913978494623655914</v>
      </c>
      <c r="E46" s="579">
        <v>13.177419354838709677419354839</v>
      </c>
      <c r="F46" s="579">
        <v>18.994623655913978494623655914</v>
      </c>
      <c r="G46" s="579">
        <v>30.870967741935483870967741935</v>
      </c>
      <c r="H46" s="579">
        <v>38.532258064516129032258064516</v>
      </c>
      <c r="I46" s="579">
        <v>32.483870967741935483870967742</v>
      </c>
      <c r="J46" s="579">
        <v>74.913978494623655913978494624</v>
      </c>
      <c r="K46" s="579">
        <v>70.241935483870967741935483871</v>
      </c>
      <c r="L46" s="579">
        <v>21.403225806451612903225806452</v>
      </c>
      <c r="M46" s="579">
        <v>37.91935483870967741935483871</v>
      </c>
      <c r="N46" s="579">
        <v>40.650537634408602150537634409</v>
      </c>
      <c r="O46" s="579">
        <v>35.05376344086021505376344086</v>
      </c>
      <c r="P46" s="579">
        <v>37.752688172043010752688172043</v>
      </c>
      <c r="Q46" s="579">
        <v>46.193548387096774193548387097</v>
      </c>
      <c r="R46" s="579">
        <v>52.10752688172043010752688172</v>
      </c>
      <c r="S46" s="579">
        <v>20.725806451612903225806451613</v>
      </c>
      <c r="T46" s="579">
        <v>27.075268817204301075268817204</v>
      </c>
      <c r="U46" s="579">
        <v>35.102150537634408602150537634</v>
      </c>
      <c r="V46" s="579">
        <v>32.215053763440860215053763441</v>
      </c>
      <c r="W46" s="579">
        <v>28.354838709677419354838709677</v>
      </c>
      <c r="X46" s="579">
        <v>39.91935483870967741935483871</v>
      </c>
      <c r="Y46" s="579">
        <v>46.822580645161290322580645161</v>
      </c>
      <c r="Z46" s="579">
        <v>16.940860215053763440860215054</v>
      </c>
      <c r="AA46" s="579">
        <v>26.440860215053763440860215054</v>
      </c>
      <c r="AB46" s="579">
        <v>25.225806451612903225806451613</v>
      </c>
      <c r="AC46" s="579">
        <v>28.741935483870967741935483871</v>
      </c>
      <c r="AD46" s="579">
        <v>28.967741935483870967741935484</v>
      </c>
      <c r="AE46" s="579">
        <v>70.005376344086021505376344086</v>
      </c>
      <c r="AF46" s="579">
        <v>99.43548387096774193548387097</v>
      </c>
      <c r="AG46" s="580">
        <v>77.381720430107526881720430108</v>
      </c>
      <c r="AH46" s="530"/>
    </row>
    <row r="47" ht="24.95" customHeight="1">
      <c r="B47" s="38" t="s">
        <v>35</v>
      </c>
      <c r="C47" s="276">
        <v>63.016973180076628352490421456</v>
      </c>
      <c r="D47" s="101">
        <v>47.413256704980842911877394636</v>
      </c>
      <c r="E47" s="101">
        <v>28.353984674329501915708812261</v>
      </c>
      <c r="F47" s="101">
        <v>36.764061302681992337164750958</v>
      </c>
      <c r="G47" s="101">
        <v>41.471513409961685823754789272</v>
      </c>
      <c r="H47" s="101">
        <v>44.36699233716475095785440613</v>
      </c>
      <c r="I47" s="101">
        <v>40.819080459770114942528735632</v>
      </c>
      <c r="J47" s="101">
        <v>48.899118773946360153256704981</v>
      </c>
      <c r="K47" s="101">
        <v>63.791034482758620689655172414</v>
      </c>
      <c r="L47" s="101">
        <v>48.449770114942528735632183908</v>
      </c>
      <c r="M47" s="101">
        <v>59.033659003831417624521072797</v>
      </c>
      <c r="N47" s="101">
        <v>69.826187739463601532567049808</v>
      </c>
      <c r="O47" s="101">
        <v>69.990153256704980842911877395</v>
      </c>
      <c r="P47" s="101">
        <v>58.67199233716475095785440613</v>
      </c>
      <c r="Q47" s="101">
        <v>64.670900383141762452107279693</v>
      </c>
      <c r="R47" s="101">
        <v>64.719099616858237547892720307</v>
      </c>
      <c r="S47" s="101">
        <v>44.643965517241379310344827586</v>
      </c>
      <c r="T47" s="101">
        <v>56.331034482758620689655172414</v>
      </c>
      <c r="U47" s="101">
        <v>68.430747126436781609195402299</v>
      </c>
      <c r="V47" s="101">
        <v>68.201800766283524904214559387</v>
      </c>
      <c r="W47" s="101">
        <v>52.222892720306513409961685824</v>
      </c>
      <c r="X47" s="101">
        <v>55.020823754789272030651340996</v>
      </c>
      <c r="Y47" s="101">
        <v>52.173160919540229885057471264</v>
      </c>
      <c r="Z47" s="101">
        <v>38.856743295019157088122605364</v>
      </c>
      <c r="AA47" s="101">
        <v>53.375210727969348659003831418</v>
      </c>
      <c r="AB47" s="101">
        <v>66.406091954022988505747126437</v>
      </c>
      <c r="AC47" s="101">
        <v>57.109463601532567049808429119</v>
      </c>
      <c r="AD47" s="101">
        <v>62.517758620689655172413793103</v>
      </c>
      <c r="AE47" s="101">
        <v>62.238754789272030651340996169</v>
      </c>
      <c r="AF47" s="101">
        <v>73.498448275862068965517241379</v>
      </c>
      <c r="AG47" s="277">
        <v>56.849674329501915708812260536</v>
      </c>
      <c r="AH47" s="530"/>
    </row>
    <row r="48" ht="24.95" customHeight="1">
      <c r="A48" s="23"/>
      <c r="B48" s="40" t="s">
        <v>99</v>
      </c>
      <c r="C48" s="581">
        <v>58.799655983098449727509337680</v>
      </c>
      <c r="D48" s="582">
        <v>94.79677137301548488143777919</v>
      </c>
      <c r="E48" s="582">
        <v>46.474664870587655177652621850</v>
      </c>
      <c r="F48" s="582">
        <v>51.666282186617366116689036830</v>
      </c>
      <c r="G48" s="582">
        <v>74.438970762257224002686189730</v>
      </c>
      <c r="H48" s="582">
        <v>86.84892987936062349923123496</v>
      </c>
      <c r="I48" s="582">
        <v>79.58011449996562640076409745</v>
      </c>
      <c r="J48" s="582">
        <v>153.20108086407712120060254185</v>
      </c>
      <c r="K48" s="582">
        <v>110.11255116549383838946901555</v>
      </c>
      <c r="L48" s="582">
        <v>44.176114263686406796668229890</v>
      </c>
      <c r="M48" s="582">
        <v>64.233448304921784339621928070</v>
      </c>
      <c r="N48" s="582">
        <v>58.216750692538503898566590900</v>
      </c>
      <c r="O48" s="582">
        <v>50.083850098591685962850492690</v>
      </c>
      <c r="P48" s="582">
        <v>64.345331849429199125219598120</v>
      </c>
      <c r="Q48" s="582">
        <v>71.428645825948969373146013780</v>
      </c>
      <c r="R48" s="582">
        <v>80.51336806316395493371816523</v>
      </c>
      <c r="S48" s="582">
        <v>46.424653839560607055397055170</v>
      </c>
      <c r="T48" s="582">
        <v>48.064568786627568337252458870</v>
      </c>
      <c r="U48" s="582">
        <v>51.295875044000940902389021610</v>
      </c>
      <c r="V48" s="582">
        <v>47.234902013553610146935196560</v>
      </c>
      <c r="W48" s="582">
        <v>54.295802535379989473766878900</v>
      </c>
      <c r="X48" s="582">
        <v>72.553175533340002009247487160</v>
      </c>
      <c r="Y48" s="582">
        <v>89.74457330159786912348847294</v>
      </c>
      <c r="Z48" s="582">
        <v>43.598250338271853981581126880</v>
      </c>
      <c r="AA48" s="582">
        <v>49.537715831786314630810528970</v>
      </c>
      <c r="AB48" s="582">
        <v>37.987187183198507344895051180</v>
      </c>
      <c r="AC48" s="582">
        <v>50.327798006346623735125196510</v>
      </c>
      <c r="AD48" s="582">
        <v>46.335221502794695708530141500</v>
      </c>
      <c r="AE48" s="582">
        <v>112.47875472618107112431773570</v>
      </c>
      <c r="AF48" s="582">
        <v>135.28922882521922042041492064</v>
      </c>
      <c r="AG48" s="583">
        <v>136.11638297451634459801664765</v>
      </c>
      <c r="AH48" s="531"/>
    </row>
    <row r="49" ht="24.95" customHeight="1">
      <c r="B49" s="25" t="s">
        <v>68</v>
      </c>
      <c r="S49" s="4"/>
      <c r="T49" s="4"/>
      <c r="U49" s="4"/>
      <c r="V49" s="4"/>
      <c r="W49" s="4"/>
      <c r="X49" s="4"/>
      <c r="Y49" s="4"/>
      <c r="Z49" s="4"/>
      <c r="AA49" s="4"/>
      <c r="AB49" s="4"/>
      <c r="AC49" s="4"/>
      <c r="AD49" s="4"/>
      <c r="AE49" s="4"/>
      <c r="AF49" s="4"/>
      <c r="AG49" s="4"/>
      <c r="AH49" s="4"/>
    </row>
    <row r="50" ht="24.95" customHeight="1">
      <c r="B50" s="37" t="s">
        <v>19</v>
      </c>
      <c r="C50" s="573">
        <v>24.090745408562510430540470820</v>
      </c>
      <c r="D50" s="574">
        <v>72.122709491498156732837100640</v>
      </c>
      <c r="E50" s="574">
        <v>-33.487109905056452043470797040</v>
      </c>
      <c r="F50" s="574">
        <v>26.133523741908157195351806550</v>
      </c>
      <c r="G50" s="574">
        <v>13.590504451200366297141175590</v>
      </c>
      <c r="H50" s="574">
        <v>18.111404086935984572124630200</v>
      </c>
      <c r="I50" s="574">
        <v>18.493822318203838560149067840</v>
      </c>
      <c r="J50" s="574">
        <v>72.942782673352918356671537370</v>
      </c>
      <c r="K50" s="574">
        <v>22.262773722682655934294298780</v>
      </c>
      <c r="L50" s="574">
        <v>12.267343485807558956828777600</v>
      </c>
      <c r="M50" s="574">
        <v>60.587431694032947385708752170</v>
      </c>
      <c r="N50" s="574">
        <v>-2.7899202880492628396342213100</v>
      </c>
      <c r="O50" s="574">
        <v>-30.319546863306422114792987480</v>
      </c>
      <c r="P50" s="574">
        <v>10.582677165472749953500033810</v>
      </c>
      <c r="Q50" s="574">
        <v>32.225300092214011726599987060</v>
      </c>
      <c r="R50" s="574">
        <v>2.0855277016826850472989570300</v>
      </c>
      <c r="S50" s="574">
        <v>-43.771878646496842360735679910</v>
      </c>
      <c r="T50" s="574">
        <v>-45.843639100963457733268362730</v>
      </c>
      <c r="U50" s="574">
        <v>2.9973181889595527413251100800</v>
      </c>
      <c r="V50" s="574">
        <v>10.737386804513923173603474870</v>
      </c>
      <c r="W50" s="574">
        <v>-11.835506519611733897781577690</v>
      </c>
      <c r="X50" s="574">
        <v>-21.726755218216318785578747630</v>
      </c>
      <c r="Y50" s="574">
        <v>-3.1041388518800233867675193400</v>
      </c>
      <c r="Z50" s="574">
        <v>-49.968243887002257215237914360</v>
      </c>
      <c r="AA50" s="574">
        <v>-23.680943513296005580812514470</v>
      </c>
      <c r="AB50" s="574">
        <v>-41.959426026722317692922972670</v>
      </c>
      <c r="AC50" s="574">
        <v>-20.005985335967676140933369730</v>
      </c>
      <c r="AD50" s="574">
        <v>-18.400726942298955020445252160</v>
      </c>
      <c r="AE50" s="574">
        <v>34.154131465136730785569712440</v>
      </c>
      <c r="AF50" s="574">
        <v>60.840073049729711407430380570</v>
      </c>
      <c r="AG50" s="575">
        <v>84.92869073624372718626959318</v>
      </c>
      <c r="AH50" s="530"/>
    </row>
    <row r="51" ht="24.95" customHeight="1">
      <c r="B51" s="38" t="s">
        <v>35</v>
      </c>
      <c r="C51" s="271">
        <v>35.026338355039639163819287190</v>
      </c>
      <c r="D51" s="97">
        <v>28.86130097760685893005552400</v>
      </c>
      <c r="E51" s="97">
        <v>0.1680046029457465084496592500</v>
      </c>
      <c r="F51" s="97">
        <v>-4.2881424234746883537859131100</v>
      </c>
      <c r="G51" s="97">
        <v>-5.2478824465091717817706334700</v>
      </c>
      <c r="H51" s="97">
        <v>8.163002242343074746911013420</v>
      </c>
      <c r="I51" s="97">
        <v>17.877432157344710481341071530</v>
      </c>
      <c r="J51" s="97">
        <v>16.643224089980201334511408210</v>
      </c>
      <c r="K51" s="97">
        <v>43.669285875747722481326572570</v>
      </c>
      <c r="L51" s="97">
        <v>167.54180145567468984314813986</v>
      </c>
      <c r="M51" s="97">
        <v>24.724197260820781874179854930</v>
      </c>
      <c r="N51" s="97">
        <v>43.865030190676737985871214060</v>
      </c>
      <c r="O51" s="97">
        <v>44.764868619387905963582364060</v>
      </c>
      <c r="P51" s="97">
        <v>29.883131059608177655082390830</v>
      </c>
      <c r="Q51" s="97">
        <v>22.434434624616838009182689450</v>
      </c>
      <c r="R51" s="97">
        <v>27.618245699953487429806567750</v>
      </c>
      <c r="S51" s="97">
        <v>114.03871482084822596538066242</v>
      </c>
      <c r="T51" s="97">
        <v>63.127995739315035240804294490</v>
      </c>
      <c r="U51" s="97">
        <v>33.088808958121056209039304580</v>
      </c>
      <c r="V51" s="97">
        <v>42.421766987658382543764254410</v>
      </c>
      <c r="W51" s="97">
        <v>38.158869239628650754872352710</v>
      </c>
      <c r="X51" s="97">
        <v>131.91561175991863915315378929</v>
      </c>
      <c r="Y51" s="97">
        <v>50.495510729143408446321469250</v>
      </c>
      <c r="Z51" s="97">
        <v>88.03358110052716480525747006</v>
      </c>
      <c r="AA51" s="97">
        <v>85.28918079192133170985366872</v>
      </c>
      <c r="AB51" s="97">
        <v>-8.398008030741520891359001050</v>
      </c>
      <c r="AC51" s="97">
        <v>65.551959447310146969781604970</v>
      </c>
      <c r="AD51" s="97">
        <v>137.62546883559837834599147681</v>
      </c>
      <c r="AE51" s="97">
        <v>117.34723504468302080488016087</v>
      </c>
      <c r="AF51" s="97">
        <v>145.90826845304811296568577975</v>
      </c>
      <c r="AG51" s="272">
        <v>184.23149199900002122977553053</v>
      </c>
      <c r="AH51" s="530"/>
    </row>
    <row r="52" ht="24.95" customHeight="1">
      <c r="A52" s="23"/>
      <c r="B52" s="40" t="s">
        <v>99</v>
      </c>
      <c r="C52" s="581">
        <v>-8.098859140868824059672515310</v>
      </c>
      <c r="D52" s="582">
        <v>33.572071821034049558757662230</v>
      </c>
      <c r="E52" s="582">
        <v>-33.59866720049031456141310500</v>
      </c>
      <c r="F52" s="582">
        <v>31.784636653342817368494920280</v>
      </c>
      <c r="G52" s="582">
        <v>19.881758195814517111811871200</v>
      </c>
      <c r="H52" s="582">
        <v>9.197601433367486586288879050</v>
      </c>
      <c r="I52" s="582">
        <v>0.5229076927298188086048833200</v>
      </c>
      <c r="J52" s="582">
        <v>48.266462988168190690734708660</v>
      </c>
      <c r="K52" s="582">
        <v>-14.899852827072393031178259150</v>
      </c>
      <c r="L52" s="582">
        <v>-58.037456997424772007534240710</v>
      </c>
      <c r="M52" s="582">
        <v>28.754031070842670158955660440</v>
      </c>
      <c r="N52" s="582">
        <v>-32.429667179626596661744146900</v>
      </c>
      <c r="O52" s="582">
        <v>-51.866461938440989565240702770</v>
      </c>
      <c r="P52" s="582">
        <v>-14.859861890375507143532935780</v>
      </c>
      <c r="Q52" s="582">
        <v>7.996823359268373945140989110</v>
      </c>
      <c r="R52" s="582">
        <v>-20.007106239639896493376578220</v>
      </c>
      <c r="S52" s="582">
        <v>-73.729929465946737902764805040</v>
      </c>
      <c r="T52" s="582">
        <v>-66.801307983013581845767418300</v>
      </c>
      <c r="U52" s="582">
        <v>-22.610083450832513783042569010</v>
      </c>
      <c r="V52" s="582">
        <v>-22.246866369701932626808603210</v>
      </c>
      <c r="W52" s="582">
        <v>-36.186150070825908577050756450</v>
      </c>
      <c r="X52" s="582">
        <v>-66.249255844489009786557537310</v>
      </c>
      <c r="Y52" s="582">
        <v>-35.615447478257058730065770950</v>
      </c>
      <c r="Z52" s="582">
        <v>-73.392116546292296833842700680</v>
      </c>
      <c r="AA52" s="582">
        <v>-58.810840352118451790171515860</v>
      </c>
      <c r="AB52" s="582">
        <v>-36.638305864811848880522660930</v>
      </c>
      <c r="AC52" s="582">
        <v>-51.680418080722488342645814550</v>
      </c>
      <c r="AD52" s="582">
        <v>-65.660552525143965014447456650</v>
      </c>
      <c r="AE52" s="582">
        <v>-38.276587030243639377774517190</v>
      </c>
      <c r="AF52" s="582">
        <v>-34.593466880324739868362700480</v>
      </c>
      <c r="AG52" s="583">
        <v>-34.937297258782471416292058470</v>
      </c>
      <c r="AH52" s="531"/>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89</v>
      </c>
      <c r="C54" s="357"/>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9"/>
      <c r="AH54" s="532"/>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816" t="s">
        <v>126</v>
      </c>
      <c r="C56" s="816"/>
      <c r="D56" s="816"/>
      <c r="E56" s="816"/>
      <c r="F56" s="816"/>
      <c r="G56" s="816"/>
      <c r="H56" s="816"/>
      <c r="I56" s="816"/>
      <c r="J56" s="816"/>
      <c r="K56" s="816"/>
      <c r="L56" s="816"/>
      <c r="M56" s="816"/>
      <c r="N56" s="816"/>
      <c r="O56" s="816"/>
      <c r="P56" s="816"/>
      <c r="Q56" s="816"/>
      <c r="R56" s="816"/>
      <c r="S56" s="816"/>
      <c r="T56" s="816"/>
      <c r="U56" s="816"/>
      <c r="V56" s="816"/>
      <c r="W56" s="816"/>
      <c r="X56" s="816"/>
      <c r="Y56" s="816"/>
      <c r="Z56" s="816"/>
      <c r="AA56" s="816"/>
      <c r="AB56" s="816"/>
      <c r="AC56" s="816"/>
      <c r="AD56" s="816"/>
      <c r="AE56" s="816"/>
      <c r="AF56" s="816"/>
      <c r="AG56" s="816"/>
    </row>
    <row r="57" ht="15" customHeight="1">
      <c r="A57"/>
      <c r="AE57"/>
      <c r="AF57"/>
      <c r="AG57"/>
    </row>
    <row r="58" s="282" customFormat="1"/>
    <row r="59" s="282" customFormat="1"/>
    <row r="60" s="282" customFormat="1">
      <c r="C60" s="282">
        <v>100</v>
      </c>
      <c r="D60" s="282">
        <v>100</v>
      </c>
      <c r="E60" s="282">
        <v>100</v>
      </c>
      <c r="F60" s="282">
        <v>100</v>
      </c>
      <c r="G60" s="282">
        <v>100</v>
      </c>
      <c r="H60" s="282">
        <v>100</v>
      </c>
      <c r="I60" s="282">
        <v>100</v>
      </c>
      <c r="J60" s="282">
        <v>100</v>
      </c>
      <c r="K60" s="282">
        <v>100</v>
      </c>
      <c r="L60" s="282">
        <v>100</v>
      </c>
      <c r="M60" s="282">
        <v>100</v>
      </c>
      <c r="N60" s="282">
        <v>100</v>
      </c>
      <c r="O60" s="282">
        <v>100</v>
      </c>
      <c r="P60" s="282">
        <v>100</v>
      </c>
      <c r="Q60" s="282">
        <v>100</v>
      </c>
      <c r="R60" s="282">
        <v>100</v>
      </c>
      <c r="S60" s="282">
        <v>100</v>
      </c>
      <c r="T60" s="282">
        <v>100</v>
      </c>
      <c r="U60" s="282">
        <v>100</v>
      </c>
      <c r="V60" s="282">
        <v>100</v>
      </c>
      <c r="W60" s="282">
        <v>100</v>
      </c>
      <c r="X60" s="282">
        <v>100</v>
      </c>
      <c r="Y60" s="282">
        <v>100</v>
      </c>
      <c r="Z60" s="282">
        <v>100</v>
      </c>
      <c r="AA60" s="282">
        <v>100</v>
      </c>
      <c r="AB60" s="282">
        <v>100</v>
      </c>
      <c r="AC60" s="282">
        <v>100</v>
      </c>
      <c r="AD60" s="282">
        <v>100</v>
      </c>
      <c r="AE60" s="282">
        <v>100</v>
      </c>
      <c r="AF60" s="282">
        <v>100</v>
      </c>
      <c r="AG60" s="282">
        <v>100</v>
      </c>
    </row>
    <row r="61" s="282" customFormat="1"/>
    <row r="62" s="282" customFormat="1"/>
    <row r="63" s="282" customFormat="1"/>
    <row r="64" s="282" customFormat="1"/>
    <row r="65" s="282" customFormat="1" ht="10.5" customHeight="1">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c r="AH65" s="1014"/>
      <c r="AI65" s="1014"/>
    </row>
    <row r="66" s="282" customFormat="1">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c r="AH66" s="1014"/>
      <c r="AI66" s="1014"/>
    </row>
    <row r="67" s="282" customFormat="1">
      <c r="B67" s="1014"/>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c r="AH67" s="1014"/>
      <c r="AI67" s="1014"/>
    </row>
    <row r="68" s="282" customFormat="1">
      <c r="B68" s="1014"/>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c r="AH68" s="1014"/>
      <c r="AI68" s="1014"/>
    </row>
    <row r="69" s="282" customFormat="1">
      <c r="B69" s="1014"/>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c r="AH69" s="1014"/>
      <c r="AI69" s="1014"/>
    </row>
    <row r="70" s="282" customFormat="1">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c r="AH70" s="1014"/>
      <c r="AI70" s="1014"/>
    </row>
    <row r="71" s="282" customFormat="1"/>
    <row r="72" s="282" customFormat="1"/>
    <row r="73" s="282" customFormat="1"/>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81"/>
</worksheet>
</file>

<file path=xl/worksheets/sheet2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4">
    <pageSetUpPr fitToPage="1"/>
  </sheetPr>
  <dimension ref="A1:AI86"/>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236" customWidth="1"/>
  </cols>
  <sheetData>
    <row r="1" ht="39.95" customHeight="1">
      <c r="B1" s="656" t="s">
        <v>159</v>
      </c>
      <c r="AD1" s="75"/>
      <c r="AG1" s="688"/>
      <c r="AI1" s="236"/>
    </row>
    <row r="2" ht="21" customHeight="1">
      <c r="B2" s="66" t="s">
        <v>170</v>
      </c>
    </row>
    <row r="3" ht="21" customHeight="1">
      <c r="B3" s="66" t="s">
        <v>171</v>
      </c>
      <c r="U3" s="99" t="s">
        <v>247</v>
      </c>
      <c r="V3" s="99"/>
      <c r="W3" s="99"/>
      <c r="X3" s="99"/>
      <c r="Y3" s="99"/>
      <c r="Z3" s="99"/>
      <c r="AA3" s="99"/>
      <c r="AB3" s="99"/>
      <c r="AC3" s="99"/>
      <c r="AD3" s="99"/>
      <c r="AE3" s="99"/>
      <c r="AF3" s="99"/>
      <c r="AG3" s="99"/>
    </row>
    <row r="4" ht="21" customHeight="1">
      <c r="A4" s="54"/>
      <c r="B4" s="211" t="s">
        <v>172</v>
      </c>
      <c r="C4" s="88"/>
      <c r="D4" s="88"/>
      <c r="E4" s="88"/>
      <c r="F4" s="88"/>
      <c r="G4" s="88"/>
      <c r="H4" s="212"/>
      <c r="I4" s="212"/>
      <c r="J4" s="212"/>
      <c r="K4" s="212"/>
      <c r="L4" s="212"/>
      <c r="M4" s="212"/>
      <c r="N4" s="212"/>
      <c r="O4" s="212"/>
      <c r="P4" s="212"/>
      <c r="Q4" s="212"/>
      <c r="R4" s="212"/>
      <c r="S4" s="212"/>
      <c r="T4" s="212"/>
      <c r="U4" s="212"/>
      <c r="V4" s="212"/>
      <c r="W4" s="212"/>
      <c r="X4" s="54"/>
      <c r="Y4" s="54"/>
      <c r="AC4" s="212"/>
    </row>
    <row r="5" ht="24.95" customHeight="1"/>
    <row r="6" ht="24.95" customHeight="1">
      <c r="D6" s="802" t="s">
        <v>91</v>
      </c>
      <c r="E6" s="802"/>
      <c r="F6" s="802"/>
      <c r="G6" s="802"/>
      <c r="H6" s="802"/>
      <c r="I6" s="802"/>
      <c r="J6" s="802"/>
      <c r="K6" s="802"/>
      <c r="L6" s="802"/>
      <c r="M6" s="802"/>
      <c r="N6" s="802"/>
      <c r="O6" s="960"/>
      <c r="Q6" s="802" t="s">
        <v>70</v>
      </c>
      <c r="R6" s="802"/>
      <c r="S6" s="802"/>
      <c r="T6" s="802"/>
      <c r="U6" s="802"/>
      <c r="V6" s="802"/>
      <c r="W6" s="802"/>
      <c r="X6" s="802"/>
      <c r="Y6" s="802"/>
      <c r="Z6" s="802"/>
      <c r="AA6" s="802"/>
      <c r="AB6" s="960"/>
      <c r="AD6" s="802" t="s">
        <v>77</v>
      </c>
      <c r="AE6" s="802"/>
      <c r="AF6" s="802"/>
      <c r="AG6" s="960"/>
    </row>
    <row r="7" ht="24.95" customHeight="1">
      <c r="D7" s="839" t="s">
        <v>20</v>
      </c>
      <c r="E7" s="839"/>
      <c r="F7" s="283"/>
      <c r="G7" s="839" t="s">
        <v>18</v>
      </c>
      <c r="H7" s="839"/>
      <c r="I7" s="283"/>
      <c r="J7" s="839" t="s">
        <v>17</v>
      </c>
      <c r="K7" s="839"/>
      <c r="L7" s="283"/>
      <c r="M7" s="839" t="s">
        <v>101</v>
      </c>
      <c r="N7" s="839"/>
      <c r="O7" s="283"/>
      <c r="Q7" s="839" t="s">
        <v>20</v>
      </c>
      <c r="R7" s="839"/>
      <c r="S7" s="283"/>
      <c r="T7" s="839" t="s">
        <v>18</v>
      </c>
      <c r="U7" s="839"/>
      <c r="V7" s="283"/>
      <c r="W7" s="839" t="s">
        <v>17</v>
      </c>
      <c r="X7" s="839"/>
      <c r="Y7" s="283"/>
      <c r="Z7" s="839" t="s">
        <v>101</v>
      </c>
      <c r="AA7" s="839"/>
      <c r="AB7" s="283"/>
      <c r="AD7" s="839" t="s">
        <v>78</v>
      </c>
      <c r="AE7" s="839"/>
      <c r="AF7" s="839"/>
      <c r="AG7" s="283"/>
    </row>
    <row r="8" ht="30" customHeight="1">
      <c r="A8" s="57"/>
      <c r="B8" s="845"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2024</v>
      </c>
      <c r="C9" s="285" t="s">
        <v>180</v>
      </c>
      <c r="D9" s="434">
        <v>114.08175337186897880539499037</v>
      </c>
      <c r="E9" s="435">
        <v>110.19483008274231678486997636</v>
      </c>
      <c r="F9" s="436">
        <v>127.50264370932754880694143167</v>
      </c>
      <c r="G9" s="434"/>
      <c r="H9" s="435"/>
      <c r="I9" s="436"/>
      <c r="J9" s="434"/>
      <c r="K9" s="435"/>
      <c r="L9" s="436"/>
      <c r="M9" s="434"/>
      <c r="N9" s="435"/>
      <c r="O9" s="436"/>
      <c r="P9" s="75"/>
      <c r="Q9" s="415">
        <v>3.878622823206542039004647600</v>
      </c>
      <c r="R9" s="416">
        <v>6.5218231688860950450389560700</v>
      </c>
      <c r="S9" s="417">
        <v>6.8940976291338897261490894300</v>
      </c>
      <c r="T9" s="415"/>
      <c r="U9" s="416"/>
      <c r="V9" s="417"/>
      <c r="W9" s="415"/>
      <c r="X9" s="416"/>
      <c r="Y9" s="417"/>
      <c r="Z9" s="415"/>
      <c r="AA9" s="416"/>
      <c r="AB9" s="417"/>
      <c r="AC9" s="75"/>
      <c r="AD9" s="460" t="s">
        <v>182</v>
      </c>
      <c r="AE9" s="461"/>
      <c r="AF9" s="461"/>
      <c r="AG9" s="462"/>
    </row>
    <row r="10" ht="20.1" customHeight="1">
      <c r="A10" s="58"/>
      <c r="B10" s="286"/>
      <c r="C10" s="287" t="s">
        <v>183</v>
      </c>
      <c r="D10" s="437">
        <v>117.82745454545454545454545455</v>
      </c>
      <c r="E10" s="147">
        <v>110.84335284810126582278481013</v>
      </c>
      <c r="F10" s="438">
        <v>129.81345628415300546448087432</v>
      </c>
      <c r="G10" s="437"/>
      <c r="H10" s="147"/>
      <c r="I10" s="438"/>
      <c r="J10" s="437"/>
      <c r="K10" s="147"/>
      <c r="L10" s="438"/>
      <c r="M10" s="437"/>
      <c r="N10" s="147"/>
      <c r="O10" s="438"/>
      <c r="P10" s="75"/>
      <c r="Q10" s="446">
        <v>5.476468327719782638637544500</v>
      </c>
      <c r="R10" s="148">
        <v>8.138494960016295802545820840</v>
      </c>
      <c r="S10" s="447">
        <v>7.4213032338823601633928926300</v>
      </c>
      <c r="T10" s="446"/>
      <c r="U10" s="148"/>
      <c r="V10" s="447"/>
      <c r="W10" s="446"/>
      <c r="X10" s="148"/>
      <c r="Y10" s="447"/>
      <c r="Z10" s="446"/>
      <c r="AA10" s="148"/>
      <c r="AB10" s="447"/>
      <c r="AC10" s="75"/>
      <c r="AD10" s="446" t="s">
        <v>182</v>
      </c>
      <c r="AE10" s="148"/>
      <c r="AF10" s="148"/>
      <c r="AG10" s="447"/>
    </row>
    <row r="11" ht="20.1" customHeight="1">
      <c r="A11" s="58"/>
      <c r="B11" s="288"/>
      <c r="C11" s="289" t="s">
        <v>185</v>
      </c>
      <c r="D11" s="439">
        <v>117.52575480329368709972552608</v>
      </c>
      <c r="E11" s="149">
        <v>110.75142503438789546079779918</v>
      </c>
      <c r="F11" s="442">
        <v>132.11236370758884850595225141</v>
      </c>
      <c r="G11" s="439"/>
      <c r="H11" s="149"/>
      <c r="I11" s="442"/>
      <c r="J11" s="439"/>
      <c r="K11" s="149"/>
      <c r="L11" s="442"/>
      <c r="M11" s="439"/>
      <c r="N11" s="149"/>
      <c r="O11" s="442"/>
      <c r="P11" s="75"/>
      <c r="Q11" s="497">
        <v>10.226214005229359300678140410</v>
      </c>
      <c r="R11" s="216">
        <v>8.880027338714872903562104830</v>
      </c>
      <c r="S11" s="498">
        <v>8.174776967958106466911479970</v>
      </c>
      <c r="T11" s="497"/>
      <c r="U11" s="216"/>
      <c r="V11" s="498"/>
      <c r="W11" s="497"/>
      <c r="X11" s="216"/>
      <c r="Y11" s="498"/>
      <c r="Z11" s="497"/>
      <c r="AA11" s="216"/>
      <c r="AB11" s="498"/>
      <c r="AC11" s="75"/>
      <c r="AD11" s="448" t="s">
        <v>182</v>
      </c>
      <c r="AE11" s="150"/>
      <c r="AF11" s="150"/>
      <c r="AG11" s="449"/>
    </row>
    <row r="12" ht="20.1" customHeight="1">
      <c r="A12" s="58"/>
      <c r="B12" s="286"/>
      <c r="C12" s="287" t="s">
        <v>187</v>
      </c>
      <c r="D12" s="437">
        <v>109.39709314227226202661207779</v>
      </c>
      <c r="E12" s="147">
        <v>108.96732014865941067162198035</v>
      </c>
      <c r="F12" s="438">
        <v>127.45271568945038332793434834</v>
      </c>
      <c r="G12" s="437"/>
      <c r="H12" s="147"/>
      <c r="I12" s="438"/>
      <c r="J12" s="437"/>
      <c r="K12" s="147"/>
      <c r="L12" s="438"/>
      <c r="M12" s="437"/>
      <c r="N12" s="147"/>
      <c r="O12" s="438"/>
      <c r="P12" s="75"/>
      <c r="Q12" s="446">
        <v>-1.3795264710813315756653270900</v>
      </c>
      <c r="R12" s="148">
        <v>1.9065746686097255689903930100</v>
      </c>
      <c r="S12" s="447">
        <v>2.9931422383351941752657794600</v>
      </c>
      <c r="T12" s="446"/>
      <c r="U12" s="148"/>
      <c r="V12" s="447"/>
      <c r="W12" s="446"/>
      <c r="X12" s="148"/>
      <c r="Y12" s="447"/>
      <c r="Z12" s="446"/>
      <c r="AA12" s="148"/>
      <c r="AB12" s="447"/>
      <c r="AC12" s="75"/>
      <c r="AD12" s="446" t="s">
        <v>181</v>
      </c>
      <c r="AE12" s="148"/>
      <c r="AF12" s="148"/>
      <c r="AG12" s="447"/>
    </row>
    <row r="13" ht="20.1" customHeight="1">
      <c r="A13" s="58"/>
      <c r="B13" s="288"/>
      <c r="C13" s="289" t="s">
        <v>188</v>
      </c>
      <c r="D13" s="439">
        <v>109.38009060562708631378159275</v>
      </c>
      <c r="E13" s="149">
        <v>109.78790763968072976054732041</v>
      </c>
      <c r="F13" s="442">
        <v>125.11385161361872019518686925</v>
      </c>
      <c r="G13" s="439"/>
      <c r="H13" s="149"/>
      <c r="I13" s="442"/>
      <c r="J13" s="439"/>
      <c r="K13" s="149"/>
      <c r="L13" s="442"/>
      <c r="M13" s="439"/>
      <c r="N13" s="149"/>
      <c r="O13" s="442"/>
      <c r="P13" s="75"/>
      <c r="Q13" s="448">
        <v>0.7102988985575264292281716200</v>
      </c>
      <c r="R13" s="150">
        <v>6.516462985793977669054166700</v>
      </c>
      <c r="S13" s="498">
        <v>4.1094534793265940288027053900</v>
      </c>
      <c r="T13" s="448"/>
      <c r="U13" s="150"/>
      <c r="V13" s="498"/>
      <c r="W13" s="448"/>
      <c r="X13" s="150"/>
      <c r="Y13" s="498"/>
      <c r="Z13" s="448"/>
      <c r="AA13" s="150"/>
      <c r="AB13" s="498"/>
      <c r="AC13" s="75"/>
      <c r="AD13" s="448" t="s">
        <v>182</v>
      </c>
      <c r="AE13" s="150"/>
      <c r="AF13" s="150"/>
      <c r="AG13" s="449"/>
    </row>
    <row r="14" ht="20.1" customHeight="1">
      <c r="A14" s="58"/>
      <c r="B14" s="286"/>
      <c r="C14" s="287" t="s">
        <v>189</v>
      </c>
      <c r="D14" s="437">
        <v>106.55835941443715295305401312</v>
      </c>
      <c r="E14" s="147">
        <v>102.05837213141819382532606902</v>
      </c>
      <c r="F14" s="438">
        <v>123.2612169489898747540668938</v>
      </c>
      <c r="G14" s="437"/>
      <c r="H14" s="147"/>
      <c r="I14" s="438"/>
      <c r="J14" s="437"/>
      <c r="K14" s="147"/>
      <c r="L14" s="438"/>
      <c r="M14" s="437"/>
      <c r="N14" s="147"/>
      <c r="O14" s="438"/>
      <c r="P14" s="75"/>
      <c r="Q14" s="446">
        <v>2.4680984472401921575587216500</v>
      </c>
      <c r="R14" s="148">
        <v>2.2902445283072318388812953200</v>
      </c>
      <c r="S14" s="447">
        <v>3.4644204847495866121546140900</v>
      </c>
      <c r="T14" s="446"/>
      <c r="U14" s="148"/>
      <c r="V14" s="447"/>
      <c r="W14" s="446"/>
      <c r="X14" s="148"/>
      <c r="Y14" s="447"/>
      <c r="Z14" s="446"/>
      <c r="AA14" s="148"/>
      <c r="AB14" s="447"/>
      <c r="AC14" s="75"/>
      <c r="AD14" s="446" t="s">
        <v>182</v>
      </c>
      <c r="AE14" s="148"/>
      <c r="AF14" s="148"/>
      <c r="AG14" s="447"/>
    </row>
    <row r="15" ht="20.1" customHeight="1">
      <c r="A15" s="58"/>
      <c r="B15" s="288"/>
      <c r="C15" s="289" t="s">
        <v>190</v>
      </c>
      <c r="D15" s="439">
        <v>113.41747701736465781409601634</v>
      </c>
      <c r="E15" s="149">
        <v>105.13613036303630363036303632</v>
      </c>
      <c r="F15" s="442">
        <v>126.21182538220666789463989685</v>
      </c>
      <c r="G15" s="439"/>
      <c r="H15" s="149"/>
      <c r="I15" s="442"/>
      <c r="J15" s="439"/>
      <c r="K15" s="149"/>
      <c r="L15" s="442"/>
      <c r="M15" s="439"/>
      <c r="N15" s="149"/>
      <c r="O15" s="442"/>
      <c r="P15" s="75"/>
      <c r="Q15" s="448">
        <v>3.0511771464398959703073851300</v>
      </c>
      <c r="R15" s="150">
        <v>0.7313224553821407980288518400</v>
      </c>
      <c r="S15" s="498">
        <v>5.3016260696120401847664599200</v>
      </c>
      <c r="T15" s="448"/>
      <c r="U15" s="150"/>
      <c r="V15" s="498"/>
      <c r="W15" s="448"/>
      <c r="X15" s="150"/>
      <c r="Y15" s="498"/>
      <c r="Z15" s="448"/>
      <c r="AA15" s="150"/>
      <c r="AB15" s="498"/>
      <c r="AC15" s="75"/>
      <c r="AD15" s="448" t="s">
        <v>182</v>
      </c>
      <c r="AE15" s="150"/>
      <c r="AF15" s="150"/>
      <c r="AG15" s="449"/>
    </row>
    <row r="16" ht="20.1" customHeight="1">
      <c r="A16" s="58"/>
      <c r="B16" s="286"/>
      <c r="C16" s="287" t="s">
        <v>191</v>
      </c>
      <c r="D16" s="437">
        <v>115.5049691738594327990135635</v>
      </c>
      <c r="E16" s="147">
        <v>110.56920047108086888249149438</v>
      </c>
      <c r="F16" s="438">
        <v>132.62477944657227697207040496</v>
      </c>
      <c r="G16" s="437"/>
      <c r="H16" s="147"/>
      <c r="I16" s="438"/>
      <c r="J16" s="437"/>
      <c r="K16" s="147"/>
      <c r="L16" s="438"/>
      <c r="M16" s="437"/>
      <c r="N16" s="147"/>
      <c r="O16" s="438"/>
      <c r="P16" s="75"/>
      <c r="Q16" s="446">
        <v>-3.9553383285127001908727005800</v>
      </c>
      <c r="R16" s="148">
        <v>-1.9211098624567267269316392200</v>
      </c>
      <c r="S16" s="447">
        <v>0.7027861737643878804031561400</v>
      </c>
      <c r="T16" s="446"/>
      <c r="U16" s="148"/>
      <c r="V16" s="447"/>
      <c r="W16" s="446"/>
      <c r="X16" s="148"/>
      <c r="Y16" s="447"/>
      <c r="Z16" s="446"/>
      <c r="AA16" s="148"/>
      <c r="AB16" s="447"/>
      <c r="AC16" s="75"/>
      <c r="AD16" s="446" t="s">
        <v>182</v>
      </c>
      <c r="AE16" s="148"/>
      <c r="AF16" s="148"/>
      <c r="AG16" s="447"/>
    </row>
    <row r="17" ht="20.1" customHeight="1">
      <c r="A17" s="58"/>
      <c r="B17" s="288"/>
      <c r="C17" s="289" t="s">
        <v>192</v>
      </c>
      <c r="D17" s="439">
        <v>119.96041147807255008121277748</v>
      </c>
      <c r="E17" s="149">
        <v>105.12325328120636693660988551</v>
      </c>
      <c r="F17" s="442">
        <v>129.33809876543209876543209877</v>
      </c>
      <c r="G17" s="439"/>
      <c r="H17" s="149"/>
      <c r="I17" s="442"/>
      <c r="J17" s="439"/>
      <c r="K17" s="149"/>
      <c r="L17" s="442"/>
      <c r="M17" s="439"/>
      <c r="N17" s="149"/>
      <c r="O17" s="442"/>
      <c r="P17" s="75"/>
      <c r="Q17" s="448">
        <v>8.674807644302534639762149560</v>
      </c>
      <c r="R17" s="150">
        <v>-0.1895946825461018546474168500</v>
      </c>
      <c r="S17" s="498">
        <v>6.3370804429546164173161859900</v>
      </c>
      <c r="T17" s="448"/>
      <c r="U17" s="150"/>
      <c r="V17" s="498"/>
      <c r="W17" s="448"/>
      <c r="X17" s="150"/>
      <c r="Y17" s="498"/>
      <c r="Z17" s="448"/>
      <c r="AA17" s="150"/>
      <c r="AB17" s="498"/>
      <c r="AC17" s="75"/>
      <c r="AD17" s="448" t="s">
        <v>193</v>
      </c>
      <c r="AE17" s="150"/>
      <c r="AF17" s="150"/>
      <c r="AG17" s="449"/>
    </row>
    <row r="18" ht="20.1" customHeight="1">
      <c r="A18" s="58"/>
      <c r="B18" s="286"/>
      <c r="C18" s="287" t="s">
        <v>194</v>
      </c>
      <c r="D18" s="437">
        <v>112.97590395480225988700564972</v>
      </c>
      <c r="E18" s="147">
        <v>97.20555860387136107300716354</v>
      </c>
      <c r="F18" s="438">
        <v>121.94267718202508865717461494</v>
      </c>
      <c r="G18" s="437"/>
      <c r="H18" s="147"/>
      <c r="I18" s="438"/>
      <c r="J18" s="437"/>
      <c r="K18" s="147"/>
      <c r="L18" s="438"/>
      <c r="M18" s="437"/>
      <c r="N18" s="147"/>
      <c r="O18" s="438"/>
      <c r="P18" s="75"/>
      <c r="Q18" s="446">
        <v>6.9165239108966313909585985800</v>
      </c>
      <c r="R18" s="148">
        <v>0.0810342337489159118092818200</v>
      </c>
      <c r="S18" s="447">
        <v>5.2341377781561400717476950700</v>
      </c>
      <c r="T18" s="446"/>
      <c r="U18" s="148"/>
      <c r="V18" s="447"/>
      <c r="W18" s="446"/>
      <c r="X18" s="148"/>
      <c r="Y18" s="447"/>
      <c r="Z18" s="446"/>
      <c r="AA18" s="148"/>
      <c r="AB18" s="447"/>
      <c r="AC18" s="75"/>
      <c r="AD18" s="446" t="s">
        <v>193</v>
      </c>
      <c r="AE18" s="148"/>
      <c r="AF18" s="148"/>
      <c r="AG18" s="447"/>
    </row>
    <row r="19" ht="20.1" customHeight="1">
      <c r="A19" s="58"/>
      <c r="B19" s="288">
        <v>2025</v>
      </c>
      <c r="C19" s="289" t="s">
        <v>195</v>
      </c>
      <c r="D19" s="439">
        <v>109.71301504251144538914323087</v>
      </c>
      <c r="E19" s="149">
        <v>98.37507539159713072756551017</v>
      </c>
      <c r="F19" s="442">
        <v>123.58492955516859268640177299</v>
      </c>
      <c r="G19" s="439"/>
      <c r="H19" s="149"/>
      <c r="I19" s="442"/>
      <c r="J19" s="439"/>
      <c r="K19" s="149"/>
      <c r="L19" s="442"/>
      <c r="M19" s="439"/>
      <c r="N19" s="149"/>
      <c r="O19" s="442"/>
      <c r="P19" s="75"/>
      <c r="Q19" s="448">
        <v>-0.4817835894056870062383912400</v>
      </c>
      <c r="R19" s="150">
        <v>-7.7002466967947080034678307700</v>
      </c>
      <c r="S19" s="498">
        <v>1.7641851455423863723925596400</v>
      </c>
      <c r="T19" s="448"/>
      <c r="U19" s="150"/>
      <c r="V19" s="498"/>
      <c r="W19" s="448"/>
      <c r="X19" s="150"/>
      <c r="Y19" s="498"/>
      <c r="Z19" s="448"/>
      <c r="AA19" s="150"/>
      <c r="AB19" s="498"/>
      <c r="AC19" s="75"/>
      <c r="AD19" s="448" t="s">
        <v>193</v>
      </c>
      <c r="AE19" s="150"/>
      <c r="AF19" s="150"/>
      <c r="AG19" s="449"/>
    </row>
    <row r="20" ht="20.1" customHeight="1">
      <c r="A20" s="58"/>
      <c r="B20" s="286"/>
      <c r="C20" s="287" t="s">
        <v>196</v>
      </c>
      <c r="D20" s="437">
        <v>117.42785225718194254445964432</v>
      </c>
      <c r="E20" s="147">
        <v>106.63674356806377581833554776</v>
      </c>
      <c r="F20" s="438">
        <v>131.88390204159877312374197259</v>
      </c>
      <c r="G20" s="437"/>
      <c r="H20" s="147"/>
      <c r="I20" s="438"/>
      <c r="J20" s="437"/>
      <c r="K20" s="147"/>
      <c r="L20" s="438"/>
      <c r="M20" s="437"/>
      <c r="N20" s="147"/>
      <c r="O20" s="438"/>
      <c r="P20" s="75"/>
      <c r="Q20" s="446">
        <v>-0.1637646159289581345597669700</v>
      </c>
      <c r="R20" s="148">
        <v>-6.2053795133691070324545519600</v>
      </c>
      <c r="S20" s="447">
        <v>2.5939786970344522131003786100</v>
      </c>
      <c r="T20" s="446"/>
      <c r="U20" s="148"/>
      <c r="V20" s="447"/>
      <c r="W20" s="446"/>
      <c r="X20" s="148"/>
      <c r="Y20" s="447"/>
      <c r="Z20" s="446"/>
      <c r="AA20" s="148"/>
      <c r="AB20" s="447"/>
      <c r="AC20" s="75"/>
      <c r="AD20" s="446" t="s">
        <v>193</v>
      </c>
      <c r="AE20" s="148"/>
      <c r="AF20" s="148"/>
      <c r="AG20" s="447"/>
    </row>
    <row r="21" ht="20.1" customHeight="1">
      <c r="A21" s="58"/>
      <c r="B21" s="288"/>
      <c r="C21" s="289" t="s">
        <v>180</v>
      </c>
      <c r="D21" s="439">
        <v>114.9407459831675592960979342</v>
      </c>
      <c r="E21" s="149">
        <v>98.54346316023080337328007101</v>
      </c>
      <c r="F21" s="442">
        <v>127.54082913236764299236381426</v>
      </c>
      <c r="G21" s="439"/>
      <c r="H21" s="149"/>
      <c r="I21" s="442"/>
      <c r="J21" s="439"/>
      <c r="K21" s="149"/>
      <c r="L21" s="442"/>
      <c r="M21" s="439"/>
      <c r="N21" s="149"/>
      <c r="O21" s="442"/>
      <c r="P21" s="75"/>
      <c r="Q21" s="448">
        <v>0.7529623150753060801343672300</v>
      </c>
      <c r="R21" s="150">
        <v>-10.573424282904175036848984870</v>
      </c>
      <c r="S21" s="498">
        <v>0.0299487304394283398164138800</v>
      </c>
      <c r="T21" s="448"/>
      <c r="U21" s="150"/>
      <c r="V21" s="498"/>
      <c r="W21" s="448"/>
      <c r="X21" s="150"/>
      <c r="Y21" s="498"/>
      <c r="Z21" s="448"/>
      <c r="AA21" s="150"/>
      <c r="AB21" s="498"/>
      <c r="AC21" s="75"/>
      <c r="AD21" s="448" t="s">
        <v>193</v>
      </c>
      <c r="AE21" s="150"/>
      <c r="AF21" s="150"/>
      <c r="AG21" s="449"/>
    </row>
    <row r="22" ht="20.1" customHeight="1">
      <c r="A22" s="58"/>
      <c r="B22" s="286"/>
      <c r="C22" s="287" t="s">
        <v>183</v>
      </c>
      <c r="D22" s="437">
        <v>110.37336654431043523859465128</v>
      </c>
      <c r="E22" s="147">
        <v>102.26124778537079220450518856</v>
      </c>
      <c r="F22" s="438">
        <v>130.83379408748383644713960851</v>
      </c>
      <c r="G22" s="437"/>
      <c r="H22" s="147"/>
      <c r="I22" s="438"/>
      <c r="J22" s="437"/>
      <c r="K22" s="147"/>
      <c r="L22" s="438"/>
      <c r="M22" s="437"/>
      <c r="N22" s="147"/>
      <c r="O22" s="438"/>
      <c r="P22" s="75"/>
      <c r="Q22" s="446">
        <v>-6.3262743220096551817564348800</v>
      </c>
      <c r="R22" s="148">
        <v>-7.7425527487337426727080031200</v>
      </c>
      <c r="S22" s="447">
        <v>0.786003109762377491278663500</v>
      </c>
      <c r="T22" s="446"/>
      <c r="U22" s="148"/>
      <c r="V22" s="447"/>
      <c r="W22" s="446"/>
      <c r="X22" s="148"/>
      <c r="Y22" s="447"/>
      <c r="Z22" s="446"/>
      <c r="AA22" s="148"/>
      <c r="AB22" s="447"/>
      <c r="AC22" s="75"/>
      <c r="AD22" s="446" t="s">
        <v>182</v>
      </c>
      <c r="AE22" s="148"/>
      <c r="AF22" s="148"/>
      <c r="AG22" s="447"/>
    </row>
    <row r="23" ht="20.1" customHeight="1">
      <c r="A23" s="58"/>
      <c r="B23" s="288"/>
      <c r="C23" s="289" t="s">
        <v>185</v>
      </c>
      <c r="D23" s="439">
        <v>109.63275043936731107205623902</v>
      </c>
      <c r="E23" s="149">
        <v>103.56587322274881516587677725</v>
      </c>
      <c r="F23" s="442">
        <v>129.97679302959096674915261286</v>
      </c>
      <c r="G23" s="439"/>
      <c r="H23" s="149"/>
      <c r="I23" s="442"/>
      <c r="J23" s="439"/>
      <c r="K23" s="149"/>
      <c r="L23" s="442"/>
      <c r="M23" s="439"/>
      <c r="N23" s="149"/>
      <c r="O23" s="442"/>
      <c r="P23" s="75"/>
      <c r="Q23" s="448">
        <v>-6.7159784484201088825050433900</v>
      </c>
      <c r="R23" s="150">
        <v>-6.4879994179933242703951838100</v>
      </c>
      <c r="S23" s="498">
        <v>-1.6164805609985318340129726400</v>
      </c>
      <c r="T23" s="448"/>
      <c r="U23" s="150"/>
      <c r="V23" s="498"/>
      <c r="W23" s="448"/>
      <c r="X23" s="150"/>
      <c r="Y23" s="498"/>
      <c r="Z23" s="448"/>
      <c r="AA23" s="150"/>
      <c r="AB23" s="498"/>
      <c r="AC23" s="75"/>
      <c r="AD23" s="448" t="s">
        <v>182</v>
      </c>
      <c r="AE23" s="150"/>
      <c r="AF23" s="150"/>
      <c r="AG23" s="449"/>
    </row>
    <row r="24" ht="20.1" customHeight="1">
      <c r="A24" s="59"/>
      <c r="B24" s="286"/>
      <c r="C24" s="287" t="s">
        <v>187</v>
      </c>
      <c r="D24" s="437">
        <v>103.99178947368421052631578947</v>
      </c>
      <c r="E24" s="147">
        <v>107.94234583239213914614863339</v>
      </c>
      <c r="F24" s="438">
        <v>129.41200064174554789026151131</v>
      </c>
      <c r="G24" s="437"/>
      <c r="H24" s="147"/>
      <c r="I24" s="438"/>
      <c r="J24" s="437"/>
      <c r="K24" s="147"/>
      <c r="L24" s="438"/>
      <c r="M24" s="437"/>
      <c r="N24" s="147"/>
      <c r="O24" s="438"/>
      <c r="P24" s="96"/>
      <c r="Q24" s="446">
        <v>-4.9409938722821046016522355700</v>
      </c>
      <c r="R24" s="148">
        <v>-0.9406254232086747196683072500</v>
      </c>
      <c r="S24" s="447">
        <v>1.537264185895225008360108200</v>
      </c>
      <c r="T24" s="446"/>
      <c r="U24" s="148"/>
      <c r="V24" s="447"/>
      <c r="W24" s="446"/>
      <c r="X24" s="148"/>
      <c r="Y24" s="447"/>
      <c r="Z24" s="446"/>
      <c r="AA24" s="148"/>
      <c r="AB24" s="447"/>
      <c r="AC24" s="96"/>
      <c r="AD24" s="446" t="s">
        <v>184</v>
      </c>
      <c r="AE24" s="148"/>
      <c r="AF24" s="148"/>
      <c r="AG24" s="447"/>
    </row>
    <row r="25" ht="20.1" customHeight="1">
      <c r="A25" s="60"/>
      <c r="B25" s="288"/>
      <c r="C25" s="289" t="s">
        <v>188</v>
      </c>
      <c r="D25" s="439">
        <v>100.05007102272727272727272727</v>
      </c>
      <c r="E25" s="149">
        <v>104.75469967532467532467532468</v>
      </c>
      <c r="F25" s="442">
        <v>129.7553249260845954262957823</v>
      </c>
      <c r="G25" s="439"/>
      <c r="H25" s="149"/>
      <c r="I25" s="442"/>
      <c r="J25" s="439"/>
      <c r="K25" s="149"/>
      <c r="L25" s="442"/>
      <c r="M25" s="439"/>
      <c r="N25" s="149"/>
      <c r="O25" s="442"/>
      <c r="P25" s="96"/>
      <c r="Q25" s="448">
        <v>-8.529906613914481894155664330</v>
      </c>
      <c r="R25" s="150">
        <v>-4.5844830023477785302036371500</v>
      </c>
      <c r="S25" s="498">
        <v>3.7097997165168102496890089400</v>
      </c>
      <c r="T25" s="448"/>
      <c r="U25" s="150"/>
      <c r="V25" s="498"/>
      <c r="W25" s="448"/>
      <c r="X25" s="150"/>
      <c r="Y25" s="498"/>
      <c r="Z25" s="448"/>
      <c r="AA25" s="150"/>
      <c r="AB25" s="498"/>
      <c r="AC25" s="96"/>
      <c r="AD25" s="448" t="s">
        <v>181</v>
      </c>
      <c r="AE25" s="150"/>
      <c r="AF25" s="150"/>
      <c r="AG25" s="449"/>
    </row>
    <row r="26" ht="20.1" customHeight="1">
      <c r="A26" s="60"/>
      <c r="B26" s="290"/>
      <c r="C26" s="291" t="s">
        <v>189</v>
      </c>
      <c r="D26" s="443">
        <v>101.51461572438162544169611307</v>
      </c>
      <c r="E26" s="444">
        <v>94.04999790268456375838926174</v>
      </c>
      <c r="F26" s="445">
        <v>128.37403508771929824561403509</v>
      </c>
      <c r="G26" s="443"/>
      <c r="H26" s="444"/>
      <c r="I26" s="445"/>
      <c r="J26" s="443"/>
      <c r="K26" s="444"/>
      <c r="L26" s="445"/>
      <c r="M26" s="443"/>
      <c r="N26" s="444"/>
      <c r="O26" s="445"/>
      <c r="P26" s="184"/>
      <c r="Q26" s="450">
        <v>-4.7333158259348886703761159500</v>
      </c>
      <c r="R26" s="451">
        <v>-7.8468567168646061840479345800</v>
      </c>
      <c r="S26" s="452">
        <v>4.1479536429003087025282190200</v>
      </c>
      <c r="T26" s="450"/>
      <c r="U26" s="451"/>
      <c r="V26" s="452"/>
      <c r="W26" s="450"/>
      <c r="X26" s="451"/>
      <c r="Y26" s="452"/>
      <c r="Z26" s="450"/>
      <c r="AA26" s="451"/>
      <c r="AB26" s="452"/>
      <c r="AC26" s="184"/>
      <c r="AD26" s="450" t="s">
        <v>181</v>
      </c>
      <c r="AE26" s="451"/>
      <c r="AF26" s="451"/>
      <c r="AG26" s="452"/>
    </row>
    <row r="27" ht="21" customHeight="1">
      <c r="A27" s="112"/>
      <c r="B27" s="114"/>
      <c r="C27" s="114"/>
      <c r="D27" s="151"/>
      <c r="E27" s="151"/>
      <c r="F27" s="151"/>
      <c r="G27" s="151"/>
      <c r="H27" s="151"/>
      <c r="I27" s="151"/>
      <c r="J27" s="151"/>
      <c r="K27" s="151"/>
      <c r="L27" s="151"/>
      <c r="M27" s="151"/>
      <c r="N27" s="151"/>
      <c r="O27" s="151"/>
      <c r="P27" s="152"/>
      <c r="Q27" s="151"/>
      <c r="R27" s="151"/>
      <c r="S27" s="151"/>
      <c r="T27" s="151"/>
      <c r="U27" s="151"/>
      <c r="V27" s="151"/>
      <c r="W27" s="151"/>
      <c r="X27" s="151"/>
      <c r="Y27" s="151"/>
      <c r="Z27" s="151"/>
      <c r="AA27" s="151"/>
      <c r="AB27" s="151"/>
      <c r="AC27" s="152"/>
      <c r="AD27" s="151"/>
      <c r="AE27" s="151"/>
      <c r="AF27" s="151"/>
      <c r="AG27" s="151"/>
      <c r="AH27" s="9"/>
    </row>
    <row r="28" ht="24.95" customHeight="1">
      <c r="A28" s="112"/>
      <c r="B28" s="847" t="s">
        <v>58</v>
      </c>
      <c r="C28" s="847"/>
      <c r="D28" s="847"/>
      <c r="E28" s="847"/>
      <c r="F28" s="847"/>
      <c r="G28" s="847"/>
      <c r="H28" s="847"/>
      <c r="I28" s="847"/>
      <c r="J28" s="847"/>
      <c r="K28" s="847"/>
      <c r="L28" s="847"/>
      <c r="M28" s="847"/>
      <c r="N28" s="847"/>
      <c r="O28" s="973"/>
      <c r="P28" s="433"/>
      <c r="Q28" s="836"/>
      <c r="R28" s="836"/>
      <c r="S28" s="836"/>
      <c r="T28" s="836"/>
      <c r="U28" s="836"/>
      <c r="V28" s="836"/>
      <c r="W28" s="836"/>
      <c r="X28" s="836"/>
      <c r="Y28" s="836"/>
      <c r="Z28" s="836"/>
      <c r="AA28" s="836"/>
      <c r="AB28" s="971"/>
      <c r="AC28" s="433"/>
      <c r="AD28" s="836"/>
      <c r="AE28" s="836"/>
      <c r="AF28" s="836"/>
      <c r="AG28" s="971"/>
      <c r="AH28" s="9"/>
    </row>
    <row r="29" ht="20.1" customHeight="1">
      <c r="A29" s="58"/>
      <c r="B29" s="284">
        <v>2023</v>
      </c>
      <c r="C29" s="285"/>
      <c r="D29" s="454">
        <v>108.30113641722072900457396143</v>
      </c>
      <c r="E29" s="455">
        <v>102.9658524279035319168633986</v>
      </c>
      <c r="F29" s="436">
        <v>120.29873227232105264587560677</v>
      </c>
      <c r="G29" s="454"/>
      <c r="H29" s="455"/>
      <c r="I29" s="436"/>
      <c r="J29" s="454"/>
      <c r="K29" s="455"/>
      <c r="L29" s="436"/>
      <c r="M29" s="454"/>
      <c r="N29" s="455"/>
      <c r="O29" s="436"/>
      <c r="P29" s="217"/>
      <c r="Q29" s="460">
        <v>-7.2198574573712131710914071900</v>
      </c>
      <c r="R29" s="461">
        <v>-1.6412211227733426828209002100</v>
      </c>
      <c r="S29" s="417">
        <v>0.485617939365052059717984400</v>
      </c>
      <c r="T29" s="460"/>
      <c r="U29" s="461"/>
      <c r="V29" s="417"/>
      <c r="W29" s="460"/>
      <c r="X29" s="461"/>
      <c r="Y29" s="417"/>
      <c r="Z29" s="460"/>
      <c r="AA29" s="461"/>
      <c r="AB29" s="417"/>
      <c r="AC29" s="75"/>
      <c r="AD29" s="460" t="s">
        <v>182</v>
      </c>
      <c r="AE29" s="461"/>
      <c r="AF29" s="461"/>
      <c r="AG29" s="462"/>
    </row>
    <row r="30" ht="20.1" customHeight="1">
      <c r="A30" s="58"/>
      <c r="B30" s="286">
        <v>2024</v>
      </c>
      <c r="C30" s="287"/>
      <c r="D30" s="437">
        <v>113.06419131422083451603746807</v>
      </c>
      <c r="E30" s="147">
        <v>109.251184140816953113774108</v>
      </c>
      <c r="F30" s="438">
        <v>127.0612349690314906949420519</v>
      </c>
      <c r="G30" s="437"/>
      <c r="H30" s="147"/>
      <c r="I30" s="438"/>
      <c r="J30" s="437"/>
      <c r="K30" s="147"/>
      <c r="L30" s="438"/>
      <c r="M30" s="437"/>
      <c r="N30" s="147"/>
      <c r="O30" s="438"/>
      <c r="P30" s="217"/>
      <c r="Q30" s="446">
        <v>4.3979731465351301104476921200</v>
      </c>
      <c r="R30" s="148">
        <v>6.1042875523398832044936099500</v>
      </c>
      <c r="S30" s="447">
        <v>5.6214247390607168914130531400</v>
      </c>
      <c r="T30" s="446"/>
      <c r="U30" s="148"/>
      <c r="V30" s="447"/>
      <c r="W30" s="446"/>
      <c r="X30" s="148"/>
      <c r="Y30" s="447"/>
      <c r="Z30" s="446"/>
      <c r="AA30" s="148"/>
      <c r="AB30" s="447"/>
      <c r="AC30" s="75"/>
      <c r="AD30" s="446" t="s">
        <v>182</v>
      </c>
      <c r="AE30" s="148"/>
      <c r="AF30" s="148"/>
      <c r="AG30" s="447"/>
    </row>
    <row r="31" ht="20.1" customHeight="1">
      <c r="A31" s="58"/>
      <c r="B31" s="425">
        <v>2025</v>
      </c>
      <c r="C31" s="426"/>
      <c r="D31" s="457">
        <v>108.52796855895196506550218341</v>
      </c>
      <c r="E31" s="458">
        <v>101.97502326684252645306618453</v>
      </c>
      <c r="F31" s="499">
        <v>129.00953422391961329949431891</v>
      </c>
      <c r="G31" s="457"/>
      <c r="H31" s="458"/>
      <c r="I31" s="499"/>
      <c r="J31" s="457"/>
      <c r="K31" s="458"/>
      <c r="L31" s="499"/>
      <c r="M31" s="457"/>
      <c r="N31" s="458"/>
      <c r="O31" s="499"/>
      <c r="P31" s="496"/>
      <c r="Q31" s="463">
        <v>-4.0120773009750611976113412500</v>
      </c>
      <c r="R31" s="464">
        <v>-6.6600292996185307182308653200</v>
      </c>
      <c r="S31" s="500">
        <v>1.5333545714355391057227926600</v>
      </c>
      <c r="T31" s="463"/>
      <c r="U31" s="464"/>
      <c r="V31" s="500"/>
      <c r="W31" s="463"/>
      <c r="X31" s="464"/>
      <c r="Y31" s="500"/>
      <c r="Z31" s="463"/>
      <c r="AA31" s="464"/>
      <c r="AB31" s="500"/>
      <c r="AC31" s="184"/>
      <c r="AD31" s="463" t="s">
        <v>181</v>
      </c>
      <c r="AE31" s="464"/>
      <c r="AF31" s="464"/>
      <c r="AG31" s="465"/>
    </row>
    <row r="32" ht="21" customHeight="1"/>
    <row r="33" ht="24.95" customHeight="1">
      <c r="A33" s="112"/>
      <c r="B33" s="842" t="s">
        <v>44</v>
      </c>
      <c r="C33" s="842"/>
      <c r="D33" s="842"/>
      <c r="E33" s="842"/>
      <c r="F33" s="842"/>
      <c r="G33" s="842"/>
      <c r="H33" s="842"/>
      <c r="I33" s="842"/>
      <c r="J33" s="842"/>
      <c r="K33" s="842"/>
      <c r="L33" s="842"/>
      <c r="M33" s="842"/>
      <c r="N33" s="842"/>
      <c r="O33" s="972"/>
      <c r="P33" s="433"/>
      <c r="Q33" s="836"/>
      <c r="R33" s="836"/>
      <c r="S33" s="836"/>
      <c r="T33" s="836"/>
      <c r="U33" s="836"/>
      <c r="V33" s="836"/>
      <c r="W33" s="836"/>
      <c r="X33" s="836"/>
      <c r="Y33" s="836"/>
      <c r="Z33" s="836"/>
      <c r="AA33" s="836"/>
      <c r="AB33" s="971"/>
      <c r="AC33" s="433"/>
      <c r="AD33" s="836"/>
      <c r="AE33" s="836"/>
      <c r="AF33" s="836"/>
      <c r="AG33" s="971"/>
      <c r="AH33" s="9"/>
    </row>
    <row r="34" ht="20.1" customHeight="1">
      <c r="A34" s="58"/>
      <c r="B34" s="284">
        <v>2023</v>
      </c>
      <c r="C34" s="285"/>
      <c r="D34" s="454">
        <v>108.32863471654003506721215663</v>
      </c>
      <c r="E34" s="455">
        <v>103.77778614916286149162861492</v>
      </c>
      <c r="F34" s="436">
        <v>121.16011516340845663377900305</v>
      </c>
      <c r="G34" s="454"/>
      <c r="H34" s="455"/>
      <c r="I34" s="436"/>
      <c r="J34" s="454"/>
      <c r="K34" s="455"/>
      <c r="L34" s="436"/>
      <c r="M34" s="454"/>
      <c r="N34" s="455"/>
      <c r="O34" s="436"/>
      <c r="P34" s="75"/>
      <c r="Q34" s="460">
        <v>-7.8710691693575643812767521900</v>
      </c>
      <c r="R34" s="461">
        <v>-1.0662012349825732842117683700</v>
      </c>
      <c r="S34" s="417">
        <v>0.4136620995119791959107884100</v>
      </c>
      <c r="T34" s="460"/>
      <c r="U34" s="461"/>
      <c r="V34" s="417"/>
      <c r="W34" s="460"/>
      <c r="X34" s="461"/>
      <c r="Y34" s="417"/>
      <c r="Z34" s="460"/>
      <c r="AA34" s="461"/>
      <c r="AB34" s="417"/>
      <c r="AC34" s="75"/>
      <c r="AD34" s="460" t="s">
        <v>182</v>
      </c>
      <c r="AE34" s="461"/>
      <c r="AF34" s="461"/>
      <c r="AG34" s="462"/>
    </row>
    <row r="35" ht="20.1" customHeight="1">
      <c r="A35" s="58"/>
      <c r="B35" s="286">
        <v>2024</v>
      </c>
      <c r="C35" s="287"/>
      <c r="D35" s="437">
        <v>108.45889920424403183023872679</v>
      </c>
      <c r="E35" s="147">
        <v>107.21596108118600475566555055</v>
      </c>
      <c r="F35" s="438">
        <v>125.34746896323684131421528842</v>
      </c>
      <c r="G35" s="437"/>
      <c r="H35" s="147"/>
      <c r="I35" s="438"/>
      <c r="J35" s="437"/>
      <c r="K35" s="147"/>
      <c r="L35" s="438"/>
      <c r="M35" s="437"/>
      <c r="N35" s="147"/>
      <c r="O35" s="438"/>
      <c r="P35" s="75"/>
      <c r="Q35" s="446">
        <v>0.1202493579697914222616074400</v>
      </c>
      <c r="R35" s="148">
        <v>3.3130162625005167213865784400</v>
      </c>
      <c r="S35" s="447">
        <v>3.4560497026514510159410276700</v>
      </c>
      <c r="T35" s="446"/>
      <c r="U35" s="148"/>
      <c r="V35" s="447"/>
      <c r="W35" s="446"/>
      <c r="X35" s="148"/>
      <c r="Y35" s="447"/>
      <c r="Z35" s="446"/>
      <c r="AA35" s="148"/>
      <c r="AB35" s="447"/>
      <c r="AC35" s="75"/>
      <c r="AD35" s="446" t="s">
        <v>182</v>
      </c>
      <c r="AE35" s="148"/>
      <c r="AF35" s="148"/>
      <c r="AG35" s="447"/>
    </row>
    <row r="36" ht="20.1" customHeight="1">
      <c r="A36" s="58"/>
      <c r="B36" s="425">
        <v>2025</v>
      </c>
      <c r="C36" s="426"/>
      <c r="D36" s="457">
        <v>101.89845552884615384615384615</v>
      </c>
      <c r="E36" s="458">
        <v>102.02068705115865847338417117</v>
      </c>
      <c r="F36" s="499">
        <v>129.18759330689778630440509886</v>
      </c>
      <c r="G36" s="457"/>
      <c r="H36" s="458"/>
      <c r="I36" s="499"/>
      <c r="J36" s="457"/>
      <c r="K36" s="458"/>
      <c r="L36" s="499"/>
      <c r="M36" s="457"/>
      <c r="N36" s="458"/>
      <c r="O36" s="499"/>
      <c r="P36" s="184"/>
      <c r="Q36" s="463">
        <v>-6.048783201277223786715798100</v>
      </c>
      <c r="R36" s="464">
        <v>-4.8456162474789561730113265700</v>
      </c>
      <c r="S36" s="500">
        <v>3.0635834735723184188742670500</v>
      </c>
      <c r="T36" s="463"/>
      <c r="U36" s="464"/>
      <c r="V36" s="500"/>
      <c r="W36" s="463"/>
      <c r="X36" s="464"/>
      <c r="Y36" s="500"/>
      <c r="Z36" s="463"/>
      <c r="AA36" s="464"/>
      <c r="AB36" s="500"/>
      <c r="AC36" s="184"/>
      <c r="AD36" s="463" t="s">
        <v>181</v>
      </c>
      <c r="AE36" s="464"/>
      <c r="AF36" s="464"/>
      <c r="AG36" s="465"/>
    </row>
    <row r="37" ht="21" customHeight="1"/>
    <row r="38" ht="24.95" customHeight="1">
      <c r="A38" s="112"/>
      <c r="B38" s="842" t="s">
        <v>45</v>
      </c>
      <c r="C38" s="842"/>
      <c r="D38" s="842"/>
      <c r="E38" s="842"/>
      <c r="F38" s="842"/>
      <c r="G38" s="842"/>
      <c r="H38" s="842"/>
      <c r="I38" s="842"/>
      <c r="J38" s="842"/>
      <c r="K38" s="842"/>
      <c r="L38" s="842"/>
      <c r="M38" s="842"/>
      <c r="N38" s="842"/>
      <c r="O38" s="972"/>
      <c r="P38" s="433"/>
      <c r="Q38" s="836"/>
      <c r="R38" s="836"/>
      <c r="S38" s="836"/>
      <c r="T38" s="836"/>
      <c r="U38" s="836"/>
      <c r="V38" s="836"/>
      <c r="W38" s="836"/>
      <c r="X38" s="836"/>
      <c r="Y38" s="836"/>
      <c r="Z38" s="836"/>
      <c r="AA38" s="836"/>
      <c r="AB38" s="971"/>
      <c r="AC38" s="433"/>
      <c r="AD38" s="836"/>
      <c r="AE38" s="836"/>
      <c r="AF38" s="836"/>
      <c r="AG38" s="971"/>
      <c r="AH38" s="9"/>
    </row>
    <row r="39" ht="20.1" customHeight="1">
      <c r="A39" s="58"/>
      <c r="B39" s="284">
        <v>2023</v>
      </c>
      <c r="C39" s="285"/>
      <c r="D39" s="454">
        <v>109.97207173985920214549111633</v>
      </c>
      <c r="E39" s="455">
        <v>103.61289137813248896648196142</v>
      </c>
      <c r="F39" s="436">
        <v>120.91247913962544038568514741</v>
      </c>
      <c r="G39" s="454"/>
      <c r="H39" s="455"/>
      <c r="I39" s="436"/>
      <c r="J39" s="454"/>
      <c r="K39" s="455"/>
      <c r="L39" s="436"/>
      <c r="M39" s="454"/>
      <c r="N39" s="455"/>
      <c r="O39" s="436"/>
      <c r="P39" s="75"/>
      <c r="Q39" s="460">
        <v>-8.846478132287730248601110310</v>
      </c>
      <c r="R39" s="461">
        <v>-1.1095490972697671483122982900</v>
      </c>
      <c r="S39" s="417">
        <v>1.4694497844123694822590488400</v>
      </c>
      <c r="T39" s="460"/>
      <c r="U39" s="461"/>
      <c r="V39" s="417"/>
      <c r="W39" s="460"/>
      <c r="X39" s="461"/>
      <c r="Y39" s="417"/>
      <c r="Z39" s="460"/>
      <c r="AA39" s="461"/>
      <c r="AB39" s="417"/>
      <c r="AC39" s="75"/>
      <c r="AD39" s="460" t="s">
        <v>182</v>
      </c>
      <c r="AE39" s="461"/>
      <c r="AF39" s="461"/>
      <c r="AG39" s="462"/>
    </row>
    <row r="40" ht="20.1" customHeight="1">
      <c r="A40" s="58"/>
      <c r="B40" s="286">
        <v>2024</v>
      </c>
      <c r="C40" s="287"/>
      <c r="D40" s="437">
        <v>112.56283214448856249341157455</v>
      </c>
      <c r="E40" s="147">
        <v>108.03552968254545982221681954</v>
      </c>
      <c r="F40" s="438">
        <v>125.63203551832656738069890146</v>
      </c>
      <c r="G40" s="437"/>
      <c r="H40" s="147"/>
      <c r="I40" s="438"/>
      <c r="J40" s="437"/>
      <c r="K40" s="147"/>
      <c r="L40" s="438"/>
      <c r="M40" s="437"/>
      <c r="N40" s="147"/>
      <c r="O40" s="438"/>
      <c r="P40" s="75"/>
      <c r="Q40" s="446">
        <v>2.3558348620694251988397104100</v>
      </c>
      <c r="R40" s="148">
        <v>4.2684247545091139532221523300</v>
      </c>
      <c r="S40" s="447">
        <v>3.9032831121406287238148378100</v>
      </c>
      <c r="T40" s="446"/>
      <c r="U40" s="148"/>
      <c r="V40" s="447"/>
      <c r="W40" s="446"/>
      <c r="X40" s="148"/>
      <c r="Y40" s="447"/>
      <c r="Z40" s="446"/>
      <c r="AA40" s="148"/>
      <c r="AB40" s="447"/>
      <c r="AC40" s="75"/>
      <c r="AD40" s="446" t="s">
        <v>182</v>
      </c>
      <c r="AE40" s="148"/>
      <c r="AF40" s="148"/>
      <c r="AG40" s="447"/>
    </row>
    <row r="41" ht="20.1" customHeight="1">
      <c r="A41" s="58"/>
      <c r="B41" s="425">
        <v>2025</v>
      </c>
      <c r="C41" s="426"/>
      <c r="D41" s="457">
        <v>110.80437616243025418474891507</v>
      </c>
      <c r="E41" s="458">
        <v>102.77677007049302972508772115</v>
      </c>
      <c r="F41" s="499">
        <v>128.62280264643580340229370212</v>
      </c>
      <c r="G41" s="457"/>
      <c r="H41" s="458"/>
      <c r="I41" s="499"/>
      <c r="J41" s="457"/>
      <c r="K41" s="458"/>
      <c r="L41" s="499"/>
      <c r="M41" s="457"/>
      <c r="N41" s="458"/>
      <c r="O41" s="499"/>
      <c r="P41" s="184"/>
      <c r="Q41" s="463">
        <v>-1.5621994832293909964744090100</v>
      </c>
      <c r="R41" s="464">
        <v>-4.8676205202692719948402321300</v>
      </c>
      <c r="S41" s="500">
        <v>2.3805768296257190248837411700</v>
      </c>
      <c r="T41" s="463"/>
      <c r="U41" s="464"/>
      <c r="V41" s="500"/>
      <c r="W41" s="463"/>
      <c r="X41" s="464"/>
      <c r="Y41" s="500"/>
      <c r="Z41" s="463"/>
      <c r="AA41" s="464"/>
      <c r="AB41" s="500"/>
      <c r="AC41" s="184"/>
      <c r="AD41" s="463" t="s">
        <v>182</v>
      </c>
      <c r="AE41" s="464"/>
      <c r="AF41" s="464"/>
      <c r="AG41" s="465"/>
    </row>
    <row r="42" ht="14.1" customHeight="1"/>
    <row r="43" ht="20.1" customHeight="1">
      <c r="B43" s="167" t="s">
        <v>102</v>
      </c>
    </row>
    <row r="44" ht="14.1" customHeight="1">
      <c r="B44" s="167"/>
    </row>
    <row r="45" ht="24" customHeight="1">
      <c r="B45" s="816" t="s">
        <v>126</v>
      </c>
      <c r="C45" s="816"/>
      <c r="D45" s="816"/>
      <c r="E45" s="816"/>
      <c r="F45" s="816"/>
      <c r="G45" s="816"/>
      <c r="H45" s="816"/>
      <c r="I45" s="816"/>
      <c r="J45" s="816"/>
      <c r="K45" s="816"/>
      <c r="L45" s="816"/>
      <c r="M45" s="816"/>
      <c r="N45" s="816"/>
      <c r="O45" s="816"/>
      <c r="P45" s="816"/>
      <c r="Q45" s="816"/>
      <c r="R45" s="816"/>
      <c r="S45" s="816"/>
      <c r="T45" s="816"/>
      <c r="U45" s="816"/>
      <c r="V45" s="816"/>
      <c r="W45" s="816"/>
      <c r="X45" s="816"/>
      <c r="Y45" s="816"/>
      <c r="Z45" s="816"/>
      <c r="AA45" s="816"/>
      <c r="AB45" s="816"/>
      <c r="AC45" s="816"/>
      <c r="AD45" s="816"/>
      <c r="AE45" s="816"/>
      <c r="AF45" s="816"/>
      <c r="AG45" s="816"/>
    </row>
    <row r="46" ht="14.1" customHeight="1"/>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row>
    <row r="50">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row>
    <row r="5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row>
    <row r="52">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row>
    <row r="53">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4">
    <mergeCell ref="U3:AG3"/>
    <mergeCell ref="AD6:AG6"/>
    <mergeCell ref="Q6:AB6"/>
    <mergeCell ref="Q7:S7"/>
    <mergeCell ref="AD7:AG7"/>
    <mergeCell ref="M7:O7"/>
    <mergeCell ref="T7:V7"/>
    <mergeCell ref="W7:Y7"/>
    <mergeCell ref="D6:O6"/>
    <mergeCell ref="Z7:AB7"/>
    <mergeCell ref="D7:F7"/>
    <mergeCell ref="G7:I7"/>
    <mergeCell ref="J7:L7"/>
    <mergeCell ref="B45:AG45"/>
    <mergeCell ref="B33:O33"/>
    <mergeCell ref="Q28:AB28"/>
    <mergeCell ref="B38:O38"/>
    <mergeCell ref="B28:O28"/>
    <mergeCell ref="Q33:AB33"/>
    <mergeCell ref="B8:C8"/>
    <mergeCell ref="AD38:AG38"/>
    <mergeCell ref="AD33:AG33"/>
    <mergeCell ref="AD28:AG28"/>
    <mergeCell ref="Q38:AB38"/>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7" max="16383" man="1"/>
  </rowBreaks>
  <colBreaks count="1" manualBreakCount="1">
    <brk id="35" max="1048575" man="1"/>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5">
    <pageSetUpPr fitToPage="1"/>
  </sheetPr>
  <dimension ref="A1:AW78"/>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236" customWidth="1"/>
  </cols>
  <sheetData>
    <row r="1" ht="39.95" customHeight="1">
      <c r="B1" s="656" t="s">
        <v>161</v>
      </c>
      <c r="AD1" s="75"/>
      <c r="AG1" s="688"/>
      <c r="AI1" s="236"/>
    </row>
    <row r="2" ht="21" customHeight="1">
      <c r="B2" s="66" t="s">
        <v>170</v>
      </c>
    </row>
    <row r="3" ht="21" customHeight="1">
      <c r="B3" s="66" t="s">
        <v>171</v>
      </c>
      <c r="U3" s="99" t="s">
        <v>247</v>
      </c>
      <c r="V3" s="99"/>
      <c r="W3" s="99"/>
      <c r="X3" s="99"/>
      <c r="Y3" s="99"/>
      <c r="Z3" s="99"/>
      <c r="AA3" s="99"/>
      <c r="AB3" s="99"/>
      <c r="AC3" s="99"/>
      <c r="AD3" s="99"/>
      <c r="AE3" s="99"/>
      <c r="AF3" s="99"/>
      <c r="AG3" s="99"/>
    </row>
    <row r="4" ht="21" customHeight="1">
      <c r="A4" s="54"/>
      <c r="B4" s="211" t="s">
        <v>172</v>
      </c>
      <c r="C4" s="88"/>
      <c r="D4" s="88"/>
      <c r="E4" s="88"/>
      <c r="F4" s="88"/>
      <c r="G4" s="88"/>
      <c r="H4" s="212"/>
      <c r="I4" s="212"/>
      <c r="J4" s="212"/>
      <c r="K4" s="212"/>
      <c r="L4" s="212"/>
      <c r="M4" s="212"/>
      <c r="N4" s="212"/>
      <c r="O4" s="212"/>
      <c r="P4" s="212"/>
      <c r="Q4" s="212"/>
      <c r="R4" s="212"/>
      <c r="S4" s="212"/>
      <c r="T4" s="212"/>
      <c r="U4" s="212"/>
      <c r="V4" s="212"/>
      <c r="W4" s="212"/>
      <c r="X4" s="54"/>
      <c r="Y4" s="54"/>
      <c r="AC4" s="212"/>
    </row>
    <row r="5" ht="24.95" customHeight="1"/>
    <row r="6" ht="24.95" customHeight="1">
      <c r="D6" s="802" t="s">
        <v>92</v>
      </c>
      <c r="E6" s="802"/>
      <c r="F6" s="802"/>
      <c r="G6" s="802"/>
      <c r="H6" s="802"/>
      <c r="I6" s="802"/>
      <c r="J6" s="802"/>
      <c r="K6" s="802"/>
      <c r="L6" s="802"/>
      <c r="M6" s="802"/>
      <c r="N6" s="802"/>
      <c r="O6" s="960"/>
      <c r="Q6" s="802" t="s">
        <v>70</v>
      </c>
      <c r="R6" s="802"/>
      <c r="S6" s="802"/>
      <c r="T6" s="802"/>
      <c r="U6" s="802"/>
      <c r="V6" s="802"/>
      <c r="W6" s="802"/>
      <c r="X6" s="802"/>
      <c r="Y6" s="802"/>
      <c r="Z6" s="802"/>
      <c r="AA6" s="802"/>
      <c r="AB6" s="960"/>
      <c r="AD6" s="802" t="s">
        <v>77</v>
      </c>
      <c r="AE6" s="802"/>
      <c r="AF6" s="802"/>
      <c r="AG6" s="960"/>
    </row>
    <row r="7" ht="24.95" customHeight="1">
      <c r="D7" s="839" t="s">
        <v>20</v>
      </c>
      <c r="E7" s="839"/>
      <c r="F7" s="283"/>
      <c r="G7" s="839" t="s">
        <v>18</v>
      </c>
      <c r="H7" s="839"/>
      <c r="I7" s="283"/>
      <c r="J7" s="839" t="s">
        <v>17</v>
      </c>
      <c r="K7" s="839"/>
      <c r="L7" s="283"/>
      <c r="M7" s="839" t="s">
        <v>103</v>
      </c>
      <c r="N7" s="839"/>
      <c r="O7" s="283"/>
      <c r="Q7" s="839" t="s">
        <v>20</v>
      </c>
      <c r="R7" s="839"/>
      <c r="S7" s="283"/>
      <c r="T7" s="839" t="s">
        <v>18</v>
      </c>
      <c r="U7" s="839"/>
      <c r="V7" s="283"/>
      <c r="W7" s="839" t="s">
        <v>17</v>
      </c>
      <c r="X7" s="839"/>
      <c r="Y7" s="283"/>
      <c r="Z7" s="839" t="s">
        <v>103</v>
      </c>
      <c r="AA7" s="839"/>
      <c r="AB7" s="283"/>
      <c r="AD7" s="839" t="s">
        <v>78</v>
      </c>
      <c r="AE7" s="839"/>
      <c r="AF7" s="839"/>
      <c r="AG7" s="283"/>
    </row>
    <row r="8" ht="30" customHeight="1">
      <c r="A8" s="57"/>
      <c r="B8" s="845"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2024</v>
      </c>
      <c r="C9" s="285" t="s">
        <v>180</v>
      </c>
      <c r="D9" s="434">
        <v>51.342724592438432188692334374</v>
      </c>
      <c r="E9" s="435">
        <v>46.088160301569645284884439501</v>
      </c>
      <c r="F9" s="436">
        <v>82.55075707702435813034891376</v>
      </c>
      <c r="G9" s="434"/>
      <c r="H9" s="435"/>
      <c r="I9" s="436"/>
      <c r="J9" s="434"/>
      <c r="K9" s="435"/>
      <c r="L9" s="436"/>
      <c r="M9" s="434"/>
      <c r="N9" s="435"/>
      <c r="O9" s="436"/>
      <c r="P9" s="75"/>
      <c r="Q9" s="415">
        <v>-4.9153346644153312349941984500</v>
      </c>
      <c r="R9" s="416">
        <v>-17.275995501182469439366984020</v>
      </c>
      <c r="S9" s="417">
        <v>-2.1408881578316269599369272900</v>
      </c>
      <c r="T9" s="415"/>
      <c r="U9" s="416"/>
      <c r="V9" s="417"/>
      <c r="W9" s="415"/>
      <c r="X9" s="416"/>
      <c r="Y9" s="417"/>
      <c r="Z9" s="415"/>
      <c r="AA9" s="416"/>
      <c r="AB9" s="417"/>
      <c r="AC9" s="75"/>
      <c r="AD9" s="460" t="s">
        <v>182</v>
      </c>
      <c r="AE9" s="461"/>
      <c r="AF9" s="461"/>
      <c r="AG9" s="462"/>
    </row>
    <row r="10" ht="20.1" customHeight="1">
      <c r="A10" s="58"/>
      <c r="B10" s="286"/>
      <c r="C10" s="287" t="s">
        <v>183</v>
      </c>
      <c r="D10" s="437">
        <v>47.616650537634408602150537634</v>
      </c>
      <c r="E10" s="147">
        <v>44.733715836526181353767560664</v>
      </c>
      <c r="F10" s="438">
        <v>86.18907029478458049886621315</v>
      </c>
      <c r="G10" s="437"/>
      <c r="H10" s="147"/>
      <c r="I10" s="438"/>
      <c r="J10" s="437"/>
      <c r="K10" s="147"/>
      <c r="L10" s="438"/>
      <c r="M10" s="437"/>
      <c r="N10" s="147"/>
      <c r="O10" s="438"/>
      <c r="P10" s="75"/>
      <c r="Q10" s="446">
        <v>-9.734559362771999342678643710</v>
      </c>
      <c r="R10" s="148">
        <v>-12.503483786069532348063444510</v>
      </c>
      <c r="S10" s="447">
        <v>0.2580568242142763179342311300</v>
      </c>
      <c r="T10" s="446"/>
      <c r="U10" s="148"/>
      <c r="V10" s="447"/>
      <c r="W10" s="446"/>
      <c r="X10" s="148"/>
      <c r="Y10" s="447"/>
      <c r="Z10" s="446"/>
      <c r="AA10" s="148"/>
      <c r="AB10" s="447"/>
      <c r="AC10" s="75"/>
      <c r="AD10" s="446" t="s">
        <v>181</v>
      </c>
      <c r="AE10" s="148"/>
      <c r="AF10" s="148"/>
      <c r="AG10" s="447"/>
    </row>
    <row r="11" ht="20.1" customHeight="1">
      <c r="A11" s="58"/>
      <c r="B11" s="288"/>
      <c r="C11" s="289" t="s">
        <v>185</v>
      </c>
      <c r="D11" s="439">
        <v>44.556243496357960457856399584</v>
      </c>
      <c r="E11" s="149">
        <v>49.756696329254727474972191324</v>
      </c>
      <c r="F11" s="442">
        <v>88.80741716041255211762124205</v>
      </c>
      <c r="G11" s="439"/>
      <c r="H11" s="149"/>
      <c r="I11" s="442"/>
      <c r="J11" s="439"/>
      <c r="K11" s="149"/>
      <c r="L11" s="442"/>
      <c r="M11" s="439"/>
      <c r="N11" s="149"/>
      <c r="O11" s="442"/>
      <c r="P11" s="75"/>
      <c r="Q11" s="497">
        <v>-9.108070986195240707175412560</v>
      </c>
      <c r="R11" s="216">
        <v>-4.9522335791000322531632566200</v>
      </c>
      <c r="S11" s="498">
        <v>1.4785902064429453586473327700</v>
      </c>
      <c r="T11" s="497"/>
      <c r="U11" s="216"/>
      <c r="V11" s="498"/>
      <c r="W11" s="497"/>
      <c r="X11" s="216"/>
      <c r="Y11" s="498"/>
      <c r="Z11" s="497"/>
      <c r="AA11" s="216"/>
      <c r="AB11" s="498"/>
      <c r="AC11" s="75"/>
      <c r="AD11" s="448" t="s">
        <v>186</v>
      </c>
      <c r="AE11" s="150"/>
      <c r="AF11" s="150"/>
      <c r="AG11" s="449"/>
    </row>
    <row r="12" ht="20.1" customHeight="1">
      <c r="A12" s="58"/>
      <c r="B12" s="286"/>
      <c r="C12" s="287" t="s">
        <v>187</v>
      </c>
      <c r="D12" s="437">
        <v>38.30858781362007168458781362</v>
      </c>
      <c r="E12" s="147">
        <v>52.423996807151979565772669221</v>
      </c>
      <c r="F12" s="438">
        <v>89.21690098261526832955404384</v>
      </c>
      <c r="G12" s="437"/>
      <c r="H12" s="147"/>
      <c r="I12" s="438"/>
      <c r="J12" s="437"/>
      <c r="K12" s="147"/>
      <c r="L12" s="438"/>
      <c r="M12" s="437"/>
      <c r="N12" s="147"/>
      <c r="O12" s="438"/>
      <c r="P12" s="75"/>
      <c r="Q12" s="446">
        <v>-43.964988288624132992069287490</v>
      </c>
      <c r="R12" s="148">
        <v>-27.841716771332749435837484900</v>
      </c>
      <c r="S12" s="447">
        <v>-11.297359781584029208499387620</v>
      </c>
      <c r="T12" s="446"/>
      <c r="U12" s="148"/>
      <c r="V12" s="447"/>
      <c r="W12" s="446"/>
      <c r="X12" s="148"/>
      <c r="Y12" s="447"/>
      <c r="Z12" s="446"/>
      <c r="AA12" s="148"/>
      <c r="AB12" s="447"/>
      <c r="AC12" s="75"/>
      <c r="AD12" s="446" t="s">
        <v>186</v>
      </c>
      <c r="AE12" s="148"/>
      <c r="AF12" s="148"/>
      <c r="AG12" s="447"/>
    </row>
    <row r="13" ht="20.1" customHeight="1">
      <c r="A13" s="58"/>
      <c r="B13" s="288"/>
      <c r="C13" s="289" t="s">
        <v>188</v>
      </c>
      <c r="D13" s="439">
        <v>39.779751994450225459590704128</v>
      </c>
      <c r="E13" s="149">
        <v>47.600541342232109751575824991</v>
      </c>
      <c r="F13" s="442">
        <v>82.52151269109794455416575232</v>
      </c>
      <c r="G13" s="439"/>
      <c r="H13" s="149"/>
      <c r="I13" s="442"/>
      <c r="J13" s="439"/>
      <c r="K13" s="149"/>
      <c r="L13" s="442"/>
      <c r="M13" s="439"/>
      <c r="N13" s="149"/>
      <c r="O13" s="442"/>
      <c r="P13" s="75"/>
      <c r="Q13" s="448">
        <v>-26.414809480785131019138690630</v>
      </c>
      <c r="R13" s="150">
        <v>-15.317903194515528110631595870</v>
      </c>
      <c r="S13" s="498">
        <v>-2.7841698746347301326630807800</v>
      </c>
      <c r="T13" s="448"/>
      <c r="U13" s="150"/>
      <c r="V13" s="498"/>
      <c r="W13" s="448"/>
      <c r="X13" s="150"/>
      <c r="Y13" s="498"/>
      <c r="Z13" s="448"/>
      <c r="AA13" s="150"/>
      <c r="AB13" s="498"/>
      <c r="AC13" s="75"/>
      <c r="AD13" s="448" t="s">
        <v>186</v>
      </c>
      <c r="AE13" s="150"/>
      <c r="AF13" s="150"/>
      <c r="AG13" s="449"/>
    </row>
    <row r="14" ht="20.1" customHeight="1">
      <c r="A14" s="58"/>
      <c r="B14" s="286"/>
      <c r="C14" s="287" t="s">
        <v>189</v>
      </c>
      <c r="D14" s="437">
        <v>36.609800554977454040929587236</v>
      </c>
      <c r="E14" s="147">
        <v>38.200936843406253862316153751</v>
      </c>
      <c r="F14" s="438">
        <v>75.15589203423304805793285056</v>
      </c>
      <c r="G14" s="437"/>
      <c r="H14" s="147"/>
      <c r="I14" s="438"/>
      <c r="J14" s="437"/>
      <c r="K14" s="147"/>
      <c r="L14" s="438"/>
      <c r="M14" s="437"/>
      <c r="N14" s="147"/>
      <c r="O14" s="438"/>
      <c r="P14" s="75"/>
      <c r="Q14" s="446">
        <v>-9.621859739982332590239049250</v>
      </c>
      <c r="R14" s="148">
        <v>-9.087012309985004823797296240</v>
      </c>
      <c r="S14" s="447">
        <v>-4.6439760080648529808986196900</v>
      </c>
      <c r="T14" s="446"/>
      <c r="U14" s="148"/>
      <c r="V14" s="447"/>
      <c r="W14" s="446"/>
      <c r="X14" s="148"/>
      <c r="Y14" s="447"/>
      <c r="Z14" s="446"/>
      <c r="AA14" s="148"/>
      <c r="AB14" s="447"/>
      <c r="AC14" s="75"/>
      <c r="AD14" s="446" t="s">
        <v>181</v>
      </c>
      <c r="AE14" s="148"/>
      <c r="AF14" s="148"/>
      <c r="AG14" s="447"/>
    </row>
    <row r="15" ht="20.1" customHeight="1">
      <c r="A15" s="58"/>
      <c r="B15" s="288"/>
      <c r="C15" s="289" t="s">
        <v>190</v>
      </c>
      <c r="D15" s="439">
        <v>59.69661827956989247311827957</v>
      </c>
      <c r="E15" s="149">
        <v>40.684862707535121328224776501</v>
      </c>
      <c r="F15" s="442">
        <v>82.86669690098261526832955404</v>
      </c>
      <c r="G15" s="439"/>
      <c r="H15" s="149"/>
      <c r="I15" s="442"/>
      <c r="J15" s="439"/>
      <c r="K15" s="149"/>
      <c r="L15" s="442"/>
      <c r="M15" s="439"/>
      <c r="N15" s="149"/>
      <c r="O15" s="442"/>
      <c r="P15" s="75"/>
      <c r="Q15" s="448">
        <v>0.252172003579827430114328600</v>
      </c>
      <c r="R15" s="150">
        <v>-0.2562395295616795347697629200</v>
      </c>
      <c r="S15" s="498">
        <v>5.3695563417602688554153482900</v>
      </c>
      <c r="T15" s="448"/>
      <c r="U15" s="150"/>
      <c r="V15" s="498"/>
      <c r="W15" s="448"/>
      <c r="X15" s="150"/>
      <c r="Y15" s="498"/>
      <c r="Z15" s="448"/>
      <c r="AA15" s="150"/>
      <c r="AB15" s="498"/>
      <c r="AC15" s="75"/>
      <c r="AD15" s="448" t="s">
        <v>182</v>
      </c>
      <c r="AE15" s="150"/>
      <c r="AF15" s="150"/>
      <c r="AG15" s="449"/>
    </row>
    <row r="16" ht="20.1" customHeight="1">
      <c r="A16" s="58"/>
      <c r="B16" s="286"/>
      <c r="C16" s="287" t="s">
        <v>191</v>
      </c>
      <c r="D16" s="437">
        <v>48.73804890738813735691987513</v>
      </c>
      <c r="E16" s="147">
        <v>52.216649981460882461994809047</v>
      </c>
      <c r="F16" s="438">
        <v>90.17049228293467924804330334</v>
      </c>
      <c r="G16" s="437"/>
      <c r="H16" s="147"/>
      <c r="I16" s="438"/>
      <c r="J16" s="437"/>
      <c r="K16" s="147"/>
      <c r="L16" s="438"/>
      <c r="M16" s="437"/>
      <c r="N16" s="147"/>
      <c r="O16" s="438"/>
      <c r="P16" s="75"/>
      <c r="Q16" s="446">
        <v>-15.731459846152867457443652470</v>
      </c>
      <c r="R16" s="148">
        <v>-8.983742752707587720661325750</v>
      </c>
      <c r="S16" s="447">
        <v>0.3056557211828672499248984700</v>
      </c>
      <c r="T16" s="446"/>
      <c r="U16" s="148"/>
      <c r="V16" s="447"/>
      <c r="W16" s="446"/>
      <c r="X16" s="148"/>
      <c r="Y16" s="447"/>
      <c r="Z16" s="446"/>
      <c r="AA16" s="148"/>
      <c r="AB16" s="447"/>
      <c r="AC16" s="75"/>
      <c r="AD16" s="446" t="s">
        <v>184</v>
      </c>
      <c r="AE16" s="148"/>
      <c r="AF16" s="148"/>
      <c r="AG16" s="447"/>
    </row>
    <row r="17" ht="20.1" customHeight="1">
      <c r="A17" s="58"/>
      <c r="B17" s="288"/>
      <c r="C17" s="289" t="s">
        <v>192</v>
      </c>
      <c r="D17" s="439">
        <v>39.707326164874551971326164875</v>
      </c>
      <c r="E17" s="149">
        <v>48.077441890166028097062579821</v>
      </c>
      <c r="F17" s="442">
        <v>80.16824303642485460667278849</v>
      </c>
      <c r="G17" s="439"/>
      <c r="H17" s="149"/>
      <c r="I17" s="442"/>
      <c r="J17" s="439"/>
      <c r="K17" s="149"/>
      <c r="L17" s="442"/>
      <c r="M17" s="439"/>
      <c r="N17" s="149"/>
      <c r="O17" s="442"/>
      <c r="P17" s="75"/>
      <c r="Q17" s="448">
        <v>-22.471081607120345418385740430</v>
      </c>
      <c r="R17" s="150">
        <v>12.325914972204516079284144640</v>
      </c>
      <c r="S17" s="498">
        <v>5.9728265531350781303469955200</v>
      </c>
      <c r="T17" s="448"/>
      <c r="U17" s="150"/>
      <c r="V17" s="498"/>
      <c r="W17" s="448"/>
      <c r="X17" s="150"/>
      <c r="Y17" s="498"/>
      <c r="Z17" s="448"/>
      <c r="AA17" s="150"/>
      <c r="AB17" s="498"/>
      <c r="AC17" s="75"/>
      <c r="AD17" s="448" t="s">
        <v>186</v>
      </c>
      <c r="AE17" s="150"/>
      <c r="AF17" s="150"/>
      <c r="AG17" s="449"/>
    </row>
    <row r="18" ht="20.1" customHeight="1">
      <c r="A18" s="58"/>
      <c r="B18" s="286"/>
      <c r="C18" s="287" t="s">
        <v>194</v>
      </c>
      <c r="D18" s="437">
        <v>27.744342698577870274020117933</v>
      </c>
      <c r="E18" s="147">
        <v>39.412042392782103571869978989</v>
      </c>
      <c r="F18" s="438">
        <v>68.244408898367842649367576054</v>
      </c>
      <c r="G18" s="437"/>
      <c r="H18" s="147"/>
      <c r="I18" s="438"/>
      <c r="J18" s="437"/>
      <c r="K18" s="147"/>
      <c r="L18" s="438"/>
      <c r="M18" s="437"/>
      <c r="N18" s="147"/>
      <c r="O18" s="438"/>
      <c r="P18" s="75"/>
      <c r="Q18" s="446">
        <v>-38.532765790520028260549492340</v>
      </c>
      <c r="R18" s="148">
        <v>10.992506018824906253450566210</v>
      </c>
      <c r="S18" s="447">
        <v>8.943252366667545639573321190</v>
      </c>
      <c r="T18" s="446"/>
      <c r="U18" s="148"/>
      <c r="V18" s="447"/>
      <c r="W18" s="446"/>
      <c r="X18" s="148"/>
      <c r="Y18" s="447"/>
      <c r="Z18" s="446"/>
      <c r="AA18" s="148"/>
      <c r="AB18" s="447"/>
      <c r="AC18" s="75"/>
      <c r="AD18" s="446" t="s">
        <v>186</v>
      </c>
      <c r="AE18" s="148"/>
      <c r="AF18" s="148"/>
      <c r="AG18" s="447"/>
    </row>
    <row r="19" ht="20.1" customHeight="1">
      <c r="A19" s="58"/>
      <c r="B19" s="288">
        <v>2025</v>
      </c>
      <c r="C19" s="289" t="s">
        <v>195</v>
      </c>
      <c r="D19" s="439">
        <v>29.093166840097121054457162678</v>
      </c>
      <c r="E19" s="149">
        <v>41.527631936719812136942281547</v>
      </c>
      <c r="F19" s="442">
        <v>68.526311169629141979372394119</v>
      </c>
      <c r="G19" s="439"/>
      <c r="H19" s="149"/>
      <c r="I19" s="442"/>
      <c r="J19" s="439"/>
      <c r="K19" s="149"/>
      <c r="L19" s="442"/>
      <c r="M19" s="439"/>
      <c r="N19" s="149"/>
      <c r="O19" s="442"/>
      <c r="P19" s="75"/>
      <c r="Q19" s="448">
        <v>-30.168263932104018744927954770</v>
      </c>
      <c r="R19" s="150">
        <v>4.681988181074219247520359500</v>
      </c>
      <c r="S19" s="498">
        <v>5.5082787259138651526686600800</v>
      </c>
      <c r="T19" s="448"/>
      <c r="U19" s="150"/>
      <c r="V19" s="498"/>
      <c r="W19" s="448"/>
      <c r="X19" s="150"/>
      <c r="Y19" s="498"/>
      <c r="Z19" s="448"/>
      <c r="AA19" s="150"/>
      <c r="AB19" s="498"/>
      <c r="AC19" s="75"/>
      <c r="AD19" s="448" t="s">
        <v>186</v>
      </c>
      <c r="AE19" s="150"/>
      <c r="AF19" s="150"/>
      <c r="AG19" s="449"/>
    </row>
    <row r="20" ht="20.1" customHeight="1">
      <c r="A20" s="58"/>
      <c r="B20" s="286"/>
      <c r="C20" s="287" t="s">
        <v>196</v>
      </c>
      <c r="D20" s="437">
        <v>49.446866359447004608294930876</v>
      </c>
      <c r="E20" s="147">
        <v>60.402681992337164750957854406</v>
      </c>
      <c r="F20" s="438">
        <v>89.14446064139941690962099125</v>
      </c>
      <c r="G20" s="437"/>
      <c r="H20" s="147"/>
      <c r="I20" s="438"/>
      <c r="J20" s="437"/>
      <c r="K20" s="147"/>
      <c r="L20" s="438"/>
      <c r="M20" s="437"/>
      <c r="N20" s="147"/>
      <c r="O20" s="438"/>
      <c r="P20" s="75"/>
      <c r="Q20" s="446">
        <v>-4.2397885238135176603058353200</v>
      </c>
      <c r="R20" s="148">
        <v>12.468007607706512310817120200</v>
      </c>
      <c r="S20" s="447">
        <v>4.5403960196088674982340835100</v>
      </c>
      <c r="T20" s="446"/>
      <c r="U20" s="148"/>
      <c r="V20" s="447"/>
      <c r="W20" s="446"/>
      <c r="X20" s="148"/>
      <c r="Y20" s="447"/>
      <c r="Z20" s="446"/>
      <c r="AA20" s="148"/>
      <c r="AB20" s="447"/>
      <c r="AC20" s="75"/>
      <c r="AD20" s="446" t="s">
        <v>186</v>
      </c>
      <c r="AE20" s="148"/>
      <c r="AF20" s="148"/>
      <c r="AG20" s="447"/>
    </row>
    <row r="21" ht="20.1" customHeight="1">
      <c r="A21" s="58"/>
      <c r="B21" s="288"/>
      <c r="C21" s="289" t="s">
        <v>180</v>
      </c>
      <c r="D21" s="439">
        <v>52.10806625043357613596947624</v>
      </c>
      <c r="E21" s="149">
        <v>54.880341737733283895686565319</v>
      </c>
      <c r="F21" s="442">
        <v>87.71965474361787725843025382</v>
      </c>
      <c r="G21" s="439"/>
      <c r="H21" s="149"/>
      <c r="I21" s="442"/>
      <c r="J21" s="439"/>
      <c r="K21" s="149"/>
      <c r="L21" s="442"/>
      <c r="M21" s="439"/>
      <c r="N21" s="149"/>
      <c r="O21" s="442"/>
      <c r="P21" s="75"/>
      <c r="Q21" s="448">
        <v>1.4906525980252823073191516900</v>
      </c>
      <c r="R21" s="150">
        <v>19.076876530973300470817431420</v>
      </c>
      <c r="S21" s="498">
        <v>6.2614782100623729430878830800</v>
      </c>
      <c r="T21" s="448"/>
      <c r="U21" s="150"/>
      <c r="V21" s="498"/>
      <c r="W21" s="448"/>
      <c r="X21" s="150"/>
      <c r="Y21" s="498"/>
      <c r="Z21" s="448"/>
      <c r="AA21" s="150"/>
      <c r="AB21" s="498"/>
      <c r="AC21" s="75"/>
      <c r="AD21" s="448" t="s">
        <v>181</v>
      </c>
      <c r="AE21" s="150"/>
      <c r="AF21" s="150"/>
      <c r="AG21" s="449"/>
    </row>
    <row r="22" ht="20.1" customHeight="1">
      <c r="A22" s="58"/>
      <c r="B22" s="286"/>
      <c r="C22" s="287" t="s">
        <v>183</v>
      </c>
      <c r="D22" s="437">
        <v>37.720790322580645161290322581</v>
      </c>
      <c r="E22" s="147">
        <v>51.600790549169859514687100894</v>
      </c>
      <c r="F22" s="438">
        <v>88.71381708238851095993953137</v>
      </c>
      <c r="G22" s="437"/>
      <c r="H22" s="147"/>
      <c r="I22" s="438"/>
      <c r="J22" s="437"/>
      <c r="K22" s="147"/>
      <c r="L22" s="438"/>
      <c r="M22" s="437"/>
      <c r="N22" s="147"/>
      <c r="O22" s="438"/>
      <c r="P22" s="75"/>
      <c r="Q22" s="446">
        <v>-20.782352608370028584775291310</v>
      </c>
      <c r="R22" s="148">
        <v>15.351004458848783778447697870</v>
      </c>
      <c r="S22" s="447">
        <v>2.9293120101573194304054489600</v>
      </c>
      <c r="T22" s="446"/>
      <c r="U22" s="148"/>
      <c r="V22" s="447"/>
      <c r="W22" s="446"/>
      <c r="X22" s="148"/>
      <c r="Y22" s="447"/>
      <c r="Z22" s="446"/>
      <c r="AA22" s="148"/>
      <c r="AB22" s="447"/>
      <c r="AC22" s="75"/>
      <c r="AD22" s="446" t="s">
        <v>184</v>
      </c>
      <c r="AE22" s="148"/>
      <c r="AF22" s="148"/>
      <c r="AG22" s="447"/>
    </row>
    <row r="23" ht="20.1" customHeight="1">
      <c r="A23" s="58"/>
      <c r="B23" s="288"/>
      <c r="C23" s="289" t="s">
        <v>185</v>
      </c>
      <c r="D23" s="439">
        <v>43.275084980922650017343045439</v>
      </c>
      <c r="E23" s="149">
        <v>54.016559757755530836732171549</v>
      </c>
      <c r="F23" s="442">
        <v>91.44106502816180235535074245</v>
      </c>
      <c r="G23" s="439"/>
      <c r="H23" s="149"/>
      <c r="I23" s="442"/>
      <c r="J23" s="439"/>
      <c r="K23" s="149"/>
      <c r="L23" s="442"/>
      <c r="M23" s="439"/>
      <c r="N23" s="149"/>
      <c r="O23" s="442"/>
      <c r="P23" s="75"/>
      <c r="Q23" s="448">
        <v>-2.8753737185695724921816157400</v>
      </c>
      <c r="R23" s="150">
        <v>8.561387195530191156284275930</v>
      </c>
      <c r="S23" s="498">
        <v>2.9655719668155925766634243600</v>
      </c>
      <c r="T23" s="448"/>
      <c r="U23" s="150"/>
      <c r="V23" s="498"/>
      <c r="W23" s="448"/>
      <c r="X23" s="150"/>
      <c r="Y23" s="498"/>
      <c r="Z23" s="448"/>
      <c r="AA23" s="150"/>
      <c r="AB23" s="498"/>
      <c r="AC23" s="75"/>
      <c r="AD23" s="448" t="s">
        <v>181</v>
      </c>
      <c r="AE23" s="150"/>
      <c r="AF23" s="150"/>
      <c r="AG23" s="449"/>
    </row>
    <row r="24" ht="20.1" customHeight="1">
      <c r="A24" s="59"/>
      <c r="B24" s="286"/>
      <c r="C24" s="287" t="s">
        <v>187</v>
      </c>
      <c r="D24" s="437">
        <v>42.491268817204301075268817204</v>
      </c>
      <c r="E24" s="147">
        <v>61.029471902937420178799489144</v>
      </c>
      <c r="F24" s="438">
        <v>97.55102040816326530612244898</v>
      </c>
      <c r="G24" s="437"/>
      <c r="H24" s="147"/>
      <c r="I24" s="438"/>
      <c r="J24" s="437"/>
      <c r="K24" s="147"/>
      <c r="L24" s="438"/>
      <c r="M24" s="437"/>
      <c r="N24" s="147"/>
      <c r="O24" s="438"/>
      <c r="P24" s="96"/>
      <c r="Q24" s="446">
        <v>10.918389954639361677116857900</v>
      </c>
      <c r="R24" s="148">
        <v>16.415145009614241656041119980</v>
      </c>
      <c r="S24" s="447">
        <v>9.341413267861289213273966220</v>
      </c>
      <c r="T24" s="446"/>
      <c r="U24" s="148"/>
      <c r="V24" s="447"/>
      <c r="W24" s="446"/>
      <c r="X24" s="148"/>
      <c r="Y24" s="447"/>
      <c r="Z24" s="446"/>
      <c r="AA24" s="148"/>
      <c r="AB24" s="447"/>
      <c r="AC24" s="96"/>
      <c r="AD24" s="446" t="s">
        <v>184</v>
      </c>
      <c r="AE24" s="148"/>
      <c r="AF24" s="148"/>
      <c r="AG24" s="447"/>
    </row>
    <row r="25" ht="20.1" customHeight="1">
      <c r="A25" s="60"/>
      <c r="B25" s="288"/>
      <c r="C25" s="289" t="s">
        <v>188</v>
      </c>
      <c r="D25" s="439">
        <v>36.646852237252861602497398543</v>
      </c>
      <c r="E25" s="149">
        <v>55.827742553454455567914967248</v>
      </c>
      <c r="F25" s="442">
        <v>94.37941628264208909370199693</v>
      </c>
      <c r="G25" s="439"/>
      <c r="H25" s="149"/>
      <c r="I25" s="442"/>
      <c r="J25" s="439"/>
      <c r="K25" s="149"/>
      <c r="L25" s="442"/>
      <c r="M25" s="439"/>
      <c r="N25" s="149"/>
      <c r="O25" s="442"/>
      <c r="P25" s="96"/>
      <c r="Q25" s="448">
        <v>-7.8756141005612533055346106500</v>
      </c>
      <c r="R25" s="150">
        <v>17.283839593565032125864761310</v>
      </c>
      <c r="S25" s="498">
        <v>14.369469493281564479372487520</v>
      </c>
      <c r="T25" s="448"/>
      <c r="U25" s="150"/>
      <c r="V25" s="498"/>
      <c r="W25" s="448"/>
      <c r="X25" s="150"/>
      <c r="Y25" s="498"/>
      <c r="Z25" s="448"/>
      <c r="AA25" s="150"/>
      <c r="AB25" s="498"/>
      <c r="AC25" s="96"/>
      <c r="AD25" s="448" t="s">
        <v>197</v>
      </c>
      <c r="AE25" s="150"/>
      <c r="AF25" s="150"/>
      <c r="AG25" s="449"/>
    </row>
    <row r="26" ht="20.1" customHeight="1">
      <c r="A26" s="60"/>
      <c r="B26" s="290"/>
      <c r="C26" s="291" t="s">
        <v>189</v>
      </c>
      <c r="D26" s="443">
        <v>39.859363510232396808879639265</v>
      </c>
      <c r="E26" s="444">
        <v>55.423358052156717340254603881</v>
      </c>
      <c r="F26" s="445">
        <v>90.99147099700095091800160925</v>
      </c>
      <c r="G26" s="443"/>
      <c r="H26" s="444"/>
      <c r="I26" s="445"/>
      <c r="J26" s="443"/>
      <c r="K26" s="444"/>
      <c r="L26" s="445"/>
      <c r="M26" s="443"/>
      <c r="N26" s="444"/>
      <c r="O26" s="445"/>
      <c r="P26" s="453"/>
      <c r="Q26" s="450">
        <v>8.876210484540829558418880230</v>
      </c>
      <c r="R26" s="451">
        <v>45.083766608546528189186739120</v>
      </c>
      <c r="S26" s="452">
        <v>21.070309371878528316607768510</v>
      </c>
      <c r="T26" s="450"/>
      <c r="U26" s="451"/>
      <c r="V26" s="452"/>
      <c r="W26" s="450"/>
      <c r="X26" s="451"/>
      <c r="Y26" s="452"/>
      <c r="Z26" s="450"/>
      <c r="AA26" s="451"/>
      <c r="AB26" s="452"/>
      <c r="AC26" s="453"/>
      <c r="AD26" s="450" t="s">
        <v>186</v>
      </c>
      <c r="AE26" s="451"/>
      <c r="AF26" s="451"/>
      <c r="AG26" s="452"/>
    </row>
    <row r="27" ht="21" customHeight="1">
      <c r="A27" s="112"/>
      <c r="B27" s="114"/>
      <c r="C27" s="114"/>
      <c r="D27" s="151"/>
      <c r="E27" s="151"/>
      <c r="F27" s="151"/>
      <c r="G27" s="151"/>
      <c r="H27" s="151"/>
      <c r="I27" s="151"/>
      <c r="J27" s="151"/>
      <c r="K27" s="151"/>
      <c r="L27" s="151"/>
      <c r="M27" s="151"/>
      <c r="N27" s="151"/>
      <c r="O27" s="151"/>
      <c r="P27" s="152"/>
      <c r="Q27" s="151"/>
      <c r="R27" s="151"/>
      <c r="S27" s="151"/>
      <c r="T27" s="151"/>
      <c r="U27" s="151"/>
      <c r="V27" s="151"/>
      <c r="W27" s="151"/>
      <c r="X27" s="151"/>
      <c r="Y27" s="151"/>
      <c r="Z27" s="151"/>
      <c r="AA27" s="151"/>
      <c r="AB27" s="151"/>
      <c r="AC27" s="152"/>
      <c r="AD27" s="151"/>
      <c r="AE27" s="151"/>
      <c r="AF27" s="151"/>
      <c r="AG27" s="151"/>
      <c r="AH27" s="9"/>
    </row>
    <row r="28" ht="24.95" customHeight="1">
      <c r="A28" s="112"/>
      <c r="B28" s="847" t="s">
        <v>58</v>
      </c>
      <c r="C28" s="847"/>
      <c r="D28" s="847"/>
      <c r="E28" s="847"/>
      <c r="F28" s="847"/>
      <c r="G28" s="847"/>
      <c r="H28" s="847"/>
      <c r="I28" s="847"/>
      <c r="J28" s="847"/>
      <c r="K28" s="847"/>
      <c r="L28" s="847"/>
      <c r="M28" s="847"/>
      <c r="N28" s="847"/>
      <c r="O28" s="973"/>
      <c r="P28" s="501"/>
      <c r="Q28" s="836"/>
      <c r="R28" s="836"/>
      <c r="S28" s="836"/>
      <c r="T28" s="836"/>
      <c r="U28" s="836"/>
      <c r="V28" s="836"/>
      <c r="W28" s="836"/>
      <c r="X28" s="836"/>
      <c r="Y28" s="836"/>
      <c r="Z28" s="836"/>
      <c r="AA28" s="836"/>
      <c r="AB28" s="971"/>
      <c r="AC28" s="501"/>
      <c r="AD28" s="836"/>
      <c r="AE28" s="836"/>
      <c r="AF28" s="836"/>
      <c r="AG28" s="971"/>
      <c r="AH28" s="9"/>
    </row>
    <row r="29" ht="20.1" customHeight="1">
      <c r="A29" s="58"/>
      <c r="B29" s="284">
        <v>2023</v>
      </c>
      <c r="C29" s="285"/>
      <c r="D29" s="454">
        <v>50.815128988008318952166025045</v>
      </c>
      <c r="E29" s="455">
        <v>52.607996546993992715576368195</v>
      </c>
      <c r="F29" s="436">
        <v>82.65288392448886276046769874</v>
      </c>
      <c r="G29" s="454"/>
      <c r="H29" s="455"/>
      <c r="I29" s="436"/>
      <c r="J29" s="454"/>
      <c r="K29" s="455"/>
      <c r="L29" s="436"/>
      <c r="M29" s="454"/>
      <c r="N29" s="455"/>
      <c r="O29" s="436"/>
      <c r="P29" s="75"/>
      <c r="Q29" s="460">
        <v>-5.4498566601044011951264460300</v>
      </c>
      <c r="R29" s="461">
        <v>1.8719292399021334883051389100</v>
      </c>
      <c r="S29" s="417">
        <v>13.814860095532147259017305560</v>
      </c>
      <c r="T29" s="460"/>
      <c r="U29" s="461"/>
      <c r="V29" s="417"/>
      <c r="W29" s="460"/>
      <c r="X29" s="461"/>
      <c r="Y29" s="417"/>
      <c r="Z29" s="460"/>
      <c r="AA29" s="461"/>
      <c r="AB29" s="417"/>
      <c r="AC29" s="75"/>
      <c r="AD29" s="460" t="s">
        <v>181</v>
      </c>
      <c r="AE29" s="461"/>
      <c r="AF29" s="461"/>
      <c r="AG29" s="462"/>
    </row>
    <row r="30" ht="20.1" customHeight="1">
      <c r="A30" s="58"/>
      <c r="B30" s="286">
        <v>2024</v>
      </c>
      <c r="C30" s="287"/>
      <c r="D30" s="437">
        <v>43.883873832187555085492684647</v>
      </c>
      <c r="E30" s="147">
        <v>46.416994017181842513866420699</v>
      </c>
      <c r="F30" s="438">
        <v>81.74209941864262851917172905</v>
      </c>
      <c r="G30" s="437"/>
      <c r="H30" s="147"/>
      <c r="I30" s="438"/>
      <c r="J30" s="437"/>
      <c r="K30" s="147"/>
      <c r="L30" s="438"/>
      <c r="M30" s="437"/>
      <c r="N30" s="147"/>
      <c r="O30" s="438"/>
      <c r="P30" s="75"/>
      <c r="Q30" s="446">
        <v>-13.640140827841373410364224720</v>
      </c>
      <c r="R30" s="148">
        <v>-11.768177722348947382228429910</v>
      </c>
      <c r="S30" s="447">
        <v>-1.1019391733376606153249349600</v>
      </c>
      <c r="T30" s="446"/>
      <c r="U30" s="148"/>
      <c r="V30" s="447"/>
      <c r="W30" s="446"/>
      <c r="X30" s="148"/>
      <c r="Y30" s="447"/>
      <c r="Z30" s="446"/>
      <c r="AA30" s="148"/>
      <c r="AB30" s="447"/>
      <c r="AC30" s="75"/>
      <c r="AD30" s="446" t="s">
        <v>184</v>
      </c>
      <c r="AE30" s="148"/>
      <c r="AF30" s="148"/>
      <c r="AG30" s="447"/>
    </row>
    <row r="31" ht="20.1" customHeight="1">
      <c r="A31" s="58"/>
      <c r="B31" s="425">
        <v>2025</v>
      </c>
      <c r="C31" s="426"/>
      <c r="D31" s="457">
        <v>41.240051772202309836718438869</v>
      </c>
      <c r="E31" s="458">
        <v>54.247438784037336612900682718</v>
      </c>
      <c r="F31" s="499">
        <v>88.51352052480800276214738296</v>
      </c>
      <c r="G31" s="457"/>
      <c r="H31" s="458"/>
      <c r="I31" s="499"/>
      <c r="J31" s="457"/>
      <c r="K31" s="458"/>
      <c r="L31" s="499"/>
      <c r="M31" s="457"/>
      <c r="N31" s="458"/>
      <c r="O31" s="499"/>
      <c r="P31" s="453"/>
      <c r="Q31" s="463">
        <v>-6.0245867766983078444289619800</v>
      </c>
      <c r="R31" s="464">
        <v>16.869779986045055945029385350</v>
      </c>
      <c r="S31" s="500">
        <v>8.283884503053514973190704680</v>
      </c>
      <c r="T31" s="463"/>
      <c r="U31" s="464"/>
      <c r="V31" s="500"/>
      <c r="W31" s="463"/>
      <c r="X31" s="464"/>
      <c r="Y31" s="500"/>
      <c r="Z31" s="463"/>
      <c r="AA31" s="464"/>
      <c r="AB31" s="500"/>
      <c r="AC31" s="453"/>
      <c r="AD31" s="463" t="s">
        <v>186</v>
      </c>
      <c r="AE31" s="464"/>
      <c r="AF31" s="464"/>
      <c r="AG31" s="465"/>
    </row>
    <row r="32" ht="21" customHeight="1"/>
    <row r="33" ht="24.95" customHeight="1">
      <c r="A33" s="112"/>
      <c r="B33" s="842" t="s">
        <v>44</v>
      </c>
      <c r="C33" s="842"/>
      <c r="D33" s="842"/>
      <c r="E33" s="842"/>
      <c r="F33" s="842"/>
      <c r="G33" s="842"/>
      <c r="H33" s="842"/>
      <c r="I33" s="842"/>
      <c r="J33" s="842"/>
      <c r="K33" s="842"/>
      <c r="L33" s="842"/>
      <c r="M33" s="842"/>
      <c r="N33" s="842"/>
      <c r="O33" s="972"/>
      <c r="P33" s="501"/>
      <c r="Q33" s="836"/>
      <c r="R33" s="836"/>
      <c r="S33" s="836"/>
      <c r="T33" s="836"/>
      <c r="U33" s="836"/>
      <c r="V33" s="836"/>
      <c r="W33" s="836"/>
      <c r="X33" s="836"/>
      <c r="Y33" s="836"/>
      <c r="Z33" s="836"/>
      <c r="AA33" s="836"/>
      <c r="AB33" s="971"/>
      <c r="AC33" s="501"/>
      <c r="AD33" s="836"/>
      <c r="AE33" s="836"/>
      <c r="AF33" s="836"/>
      <c r="AG33" s="971"/>
      <c r="AH33" s="9"/>
    </row>
    <row r="34" ht="20.1" customHeight="1">
      <c r="A34" s="58"/>
      <c r="B34" s="284">
        <v>2023</v>
      </c>
      <c r="C34" s="285"/>
      <c r="D34" s="454">
        <v>54.157986792893875642823749416</v>
      </c>
      <c r="E34" s="455">
        <v>56.789942945194069631850741296</v>
      </c>
      <c r="F34" s="436">
        <v>87.95784777679187617075815834</v>
      </c>
      <c r="G34" s="454"/>
      <c r="H34" s="455"/>
      <c r="I34" s="436"/>
      <c r="J34" s="454"/>
      <c r="K34" s="455"/>
      <c r="L34" s="436"/>
      <c r="M34" s="454"/>
      <c r="N34" s="455"/>
      <c r="O34" s="436"/>
      <c r="P34" s="75"/>
      <c r="Q34" s="460">
        <v>3.8149372043693094200003185100</v>
      </c>
      <c r="R34" s="461">
        <v>4.3875308766526935156593953200</v>
      </c>
      <c r="S34" s="417">
        <v>14.909508852451909052329720830</v>
      </c>
      <c r="T34" s="460"/>
      <c r="U34" s="461"/>
      <c r="V34" s="417"/>
      <c r="W34" s="460"/>
      <c r="X34" s="461"/>
      <c r="Y34" s="417"/>
      <c r="Z34" s="460"/>
      <c r="AA34" s="461"/>
      <c r="AB34" s="417"/>
      <c r="AC34" s="75"/>
      <c r="AD34" s="460" t="s">
        <v>184</v>
      </c>
      <c r="AE34" s="461"/>
      <c r="AF34" s="461"/>
      <c r="AG34" s="462"/>
    </row>
    <row r="35" ht="20.1" customHeight="1">
      <c r="A35" s="58"/>
      <c r="B35" s="286">
        <v>2024</v>
      </c>
      <c r="C35" s="287"/>
      <c r="D35" s="437">
        <v>38.231888733052828424497428705</v>
      </c>
      <c r="E35" s="147">
        <v>46.0061492170581375978677328</v>
      </c>
      <c r="F35" s="438">
        <v>82.22289756482303066153997831</v>
      </c>
      <c r="G35" s="437"/>
      <c r="H35" s="147"/>
      <c r="I35" s="438"/>
      <c r="J35" s="437"/>
      <c r="K35" s="147"/>
      <c r="L35" s="438"/>
      <c r="M35" s="437"/>
      <c r="N35" s="147"/>
      <c r="O35" s="438"/>
      <c r="P35" s="75"/>
      <c r="Q35" s="446">
        <v>-29.406739435770625941070405030</v>
      </c>
      <c r="R35" s="148">
        <v>-18.988914531130604524804397990</v>
      </c>
      <c r="S35" s="447">
        <v>-6.5201120274450773098921590800</v>
      </c>
      <c r="T35" s="446"/>
      <c r="U35" s="148"/>
      <c r="V35" s="447"/>
      <c r="W35" s="446"/>
      <c r="X35" s="148"/>
      <c r="Y35" s="447"/>
      <c r="Z35" s="446"/>
      <c r="AA35" s="148"/>
      <c r="AB35" s="447"/>
      <c r="AC35" s="75"/>
      <c r="AD35" s="446" t="s">
        <v>186</v>
      </c>
      <c r="AE35" s="148"/>
      <c r="AF35" s="148"/>
      <c r="AG35" s="447"/>
    </row>
    <row r="36" ht="20.1" customHeight="1">
      <c r="A36" s="58"/>
      <c r="B36" s="425">
        <v>2025</v>
      </c>
      <c r="C36" s="426"/>
      <c r="D36" s="457">
        <v>39.635116877045348293595137915</v>
      </c>
      <c r="E36" s="458">
        <v>57.387698650674662668665667166</v>
      </c>
      <c r="F36" s="499">
        <v>94.27204475993295869072266588</v>
      </c>
      <c r="G36" s="457"/>
      <c r="H36" s="458"/>
      <c r="I36" s="499"/>
      <c r="J36" s="457"/>
      <c r="K36" s="458"/>
      <c r="L36" s="499"/>
      <c r="M36" s="457"/>
      <c r="N36" s="458"/>
      <c r="O36" s="499"/>
      <c r="P36" s="453"/>
      <c r="Q36" s="463">
        <v>3.6703081915240987877239274800</v>
      </c>
      <c r="R36" s="464">
        <v>24.739191667326638356319576530</v>
      </c>
      <c r="S36" s="500">
        <v>14.654247845786517176256167270</v>
      </c>
      <c r="T36" s="463"/>
      <c r="U36" s="464"/>
      <c r="V36" s="500"/>
      <c r="W36" s="463"/>
      <c r="X36" s="464"/>
      <c r="Y36" s="500"/>
      <c r="Z36" s="463"/>
      <c r="AA36" s="464"/>
      <c r="AB36" s="500"/>
      <c r="AC36" s="453"/>
      <c r="AD36" s="463" t="s">
        <v>186</v>
      </c>
      <c r="AE36" s="464"/>
      <c r="AF36" s="464"/>
      <c r="AG36" s="465"/>
    </row>
    <row r="37" ht="21" customHeight="1"/>
    <row r="38" ht="24.95" customHeight="1">
      <c r="A38" s="112"/>
      <c r="B38" s="842" t="s">
        <v>45</v>
      </c>
      <c r="C38" s="842"/>
      <c r="D38" s="842"/>
      <c r="E38" s="842"/>
      <c r="F38" s="842"/>
      <c r="G38" s="842"/>
      <c r="H38" s="842"/>
      <c r="I38" s="842"/>
      <c r="J38" s="842"/>
      <c r="K38" s="842"/>
      <c r="L38" s="842"/>
      <c r="M38" s="842"/>
      <c r="N38" s="842"/>
      <c r="O38" s="972"/>
      <c r="P38" s="501"/>
      <c r="Q38" s="836"/>
      <c r="R38" s="836"/>
      <c r="S38" s="836"/>
      <c r="T38" s="836"/>
      <c r="U38" s="836"/>
      <c r="V38" s="836"/>
      <c r="W38" s="836"/>
      <c r="X38" s="836"/>
      <c r="Y38" s="836"/>
      <c r="Z38" s="836"/>
      <c r="AA38" s="836"/>
      <c r="AB38" s="971"/>
      <c r="AC38" s="501"/>
      <c r="AD38" s="836"/>
      <c r="AE38" s="836"/>
      <c r="AF38" s="836"/>
      <c r="AG38" s="971"/>
      <c r="AH38" s="9"/>
    </row>
    <row r="39" ht="20.1" customHeight="1">
      <c r="A39" s="58"/>
      <c r="B39" s="284">
        <v>2023</v>
      </c>
      <c r="C39" s="285"/>
      <c r="D39" s="454">
        <v>48.32032552658712623361319782</v>
      </c>
      <c r="E39" s="455">
        <v>50.149988085865742927622946518</v>
      </c>
      <c r="F39" s="436">
        <v>78.590820364675550585531016059</v>
      </c>
      <c r="G39" s="454"/>
      <c r="H39" s="455"/>
      <c r="I39" s="436"/>
      <c r="J39" s="454"/>
      <c r="K39" s="455"/>
      <c r="L39" s="436"/>
      <c r="M39" s="454"/>
      <c r="N39" s="455"/>
      <c r="O39" s="436"/>
      <c r="P39" s="75"/>
      <c r="Q39" s="460">
        <v>-12.929983114660578908811270790</v>
      </c>
      <c r="R39" s="461">
        <v>-4.2020831568685197885206116700</v>
      </c>
      <c r="S39" s="417">
        <v>8.157953116087444882984380870</v>
      </c>
      <c r="T39" s="460"/>
      <c r="U39" s="461"/>
      <c r="V39" s="417"/>
      <c r="W39" s="460"/>
      <c r="X39" s="461"/>
      <c r="Y39" s="417"/>
      <c r="Z39" s="460"/>
      <c r="AA39" s="461"/>
      <c r="AB39" s="417"/>
      <c r="AC39" s="75"/>
      <c r="AD39" s="460" t="s">
        <v>184</v>
      </c>
      <c r="AE39" s="461"/>
      <c r="AF39" s="461"/>
      <c r="AG39" s="462"/>
    </row>
    <row r="40" ht="20.1" customHeight="1">
      <c r="A40" s="58"/>
      <c r="B40" s="286">
        <v>2024</v>
      </c>
      <c r="C40" s="287"/>
      <c r="D40" s="437">
        <v>47.056607908807803043657089136</v>
      </c>
      <c r="E40" s="147">
        <v>45.661165187127738390352700362</v>
      </c>
      <c r="F40" s="438">
        <v>80.05702730407231385704966918</v>
      </c>
      <c r="G40" s="437"/>
      <c r="H40" s="147"/>
      <c r="I40" s="438"/>
      <c r="J40" s="437"/>
      <c r="K40" s="147"/>
      <c r="L40" s="438"/>
      <c r="M40" s="437"/>
      <c r="N40" s="147"/>
      <c r="O40" s="438"/>
      <c r="P40" s="75"/>
      <c r="Q40" s="446">
        <v>-2.6152920205318759263768450100</v>
      </c>
      <c r="R40" s="148">
        <v>-8.950795543726806549955650660</v>
      </c>
      <c r="S40" s="447">
        <v>1.8656211152503481319213230500</v>
      </c>
      <c r="T40" s="446"/>
      <c r="U40" s="148"/>
      <c r="V40" s="447"/>
      <c r="W40" s="446"/>
      <c r="X40" s="148"/>
      <c r="Y40" s="447"/>
      <c r="Z40" s="446"/>
      <c r="AA40" s="148"/>
      <c r="AB40" s="447"/>
      <c r="AC40" s="75"/>
      <c r="AD40" s="446" t="s">
        <v>182</v>
      </c>
      <c r="AE40" s="148"/>
      <c r="AF40" s="148"/>
      <c r="AG40" s="447"/>
    </row>
    <row r="41" ht="20.1" customHeight="1">
      <c r="A41" s="58"/>
      <c r="B41" s="425">
        <v>2025</v>
      </c>
      <c r="C41" s="426"/>
      <c r="D41" s="457">
        <v>42.121657681543673589630284283</v>
      </c>
      <c r="E41" s="458">
        <v>51.193112948092163963680260326</v>
      </c>
      <c r="F41" s="499">
        <v>85.8066667662709884981909365</v>
      </c>
      <c r="G41" s="457"/>
      <c r="H41" s="458"/>
      <c r="I41" s="499"/>
      <c r="J41" s="457"/>
      <c r="K41" s="458"/>
      <c r="L41" s="499"/>
      <c r="M41" s="457"/>
      <c r="N41" s="458"/>
      <c r="O41" s="499"/>
      <c r="P41" s="453"/>
      <c r="Q41" s="463">
        <v>-10.487262993585747320588677520</v>
      </c>
      <c r="R41" s="464">
        <v>12.115213745257264124347066370</v>
      </c>
      <c r="S41" s="500">
        <v>7.1819297515641445487157210200</v>
      </c>
      <c r="T41" s="463"/>
      <c r="U41" s="464"/>
      <c r="V41" s="500"/>
      <c r="W41" s="463"/>
      <c r="X41" s="464"/>
      <c r="Y41" s="500"/>
      <c r="Z41" s="463"/>
      <c r="AA41" s="464"/>
      <c r="AB41" s="500"/>
      <c r="AC41" s="453"/>
      <c r="AD41" s="463" t="s">
        <v>184</v>
      </c>
      <c r="AE41" s="464"/>
      <c r="AF41" s="464"/>
      <c r="AG41" s="465"/>
    </row>
    <row r="42" ht="12.75" customHeight="1"/>
    <row r="43" ht="20.1" customHeight="1">
      <c r="B43" s="167" t="s">
        <v>104</v>
      </c>
    </row>
    <row r="44" ht="14.1" customHeight="1">
      <c r="B44" s="167"/>
      <c r="AW44" s="236"/>
    </row>
    <row r="45" ht="24" customHeight="1">
      <c r="B45" s="816" t="s">
        <v>126</v>
      </c>
      <c r="C45" s="816"/>
      <c r="D45" s="816"/>
      <c r="E45" s="816"/>
      <c r="F45" s="816"/>
      <c r="G45" s="816"/>
      <c r="H45" s="816"/>
      <c r="I45" s="816"/>
      <c r="J45" s="816"/>
      <c r="K45" s="816"/>
      <c r="L45" s="816"/>
      <c r="M45" s="816"/>
      <c r="N45" s="816"/>
      <c r="O45" s="816"/>
      <c r="P45" s="816"/>
      <c r="Q45" s="816"/>
      <c r="R45" s="816"/>
      <c r="S45" s="816"/>
      <c r="T45" s="816"/>
      <c r="U45" s="816"/>
      <c r="V45" s="816"/>
      <c r="W45" s="816"/>
      <c r="X45" s="816"/>
      <c r="Y45" s="816"/>
      <c r="Z45" s="816"/>
      <c r="AA45" s="816"/>
      <c r="AB45" s="816"/>
      <c r="AC45" s="816"/>
      <c r="AD45" s="816"/>
      <c r="AE45" s="816"/>
      <c r="AF45" s="816"/>
      <c r="AG45" s="816"/>
      <c r="AW45" s="236"/>
    </row>
    <row r="46" ht="14.1" customHeight="1">
      <c r="A46"/>
      <c r="AW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4">
    <mergeCell ref="D6:O6"/>
    <mergeCell ref="D7:F7"/>
    <mergeCell ref="G7:I7"/>
    <mergeCell ref="J7:L7"/>
    <mergeCell ref="M7:O7"/>
    <mergeCell ref="B45:AG45"/>
    <mergeCell ref="AD38:AG38"/>
    <mergeCell ref="AD33:AG33"/>
    <mergeCell ref="AD28:AG28"/>
    <mergeCell ref="B28:O28"/>
    <mergeCell ref="B8:C8"/>
    <mergeCell ref="Q7:S7"/>
    <mergeCell ref="Q38:AB38"/>
    <mergeCell ref="Z7:AB7"/>
    <mergeCell ref="T7:V7"/>
    <mergeCell ref="W7:Y7"/>
    <mergeCell ref="B38:O38"/>
    <mergeCell ref="B33:O33"/>
    <mergeCell ref="U3:AG3"/>
    <mergeCell ref="Q6:AB6"/>
    <mergeCell ref="Q28:AB28"/>
    <mergeCell ref="Q33:AB33"/>
    <mergeCell ref="AD6:AG6"/>
    <mergeCell ref="AD7:AG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6" max="16383" man="1"/>
  </rowBreaks>
  <colBreaks count="1" manualBreakCount="1">
    <brk id="35" max="1048575" man="1"/>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133</v>
      </c>
      <c r="D1" s="65"/>
      <c r="E1" s="65"/>
      <c r="AS1" s="236"/>
    </row>
    <row r="2" ht="15" customHeight="1">
      <c r="B2" s="199"/>
      <c r="C2" s="4" t="s">
        <v>170</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199"/>
    </row>
    <row r="3" ht="15" customHeight="1">
      <c r="B3" s="199"/>
      <c r="C3" s="4" t="s">
        <v>171</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199"/>
    </row>
    <row r="4" ht="15" customHeight="1">
      <c r="B4" s="199"/>
      <c r="C4" s="4" t="s">
        <v>198</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199"/>
    </row>
    <row r="5" ht="12.75" customHeight="1">
      <c r="C5" s="67"/>
      <c r="D5" s="67"/>
      <c r="E5" s="67"/>
    </row>
    <row r="6" ht="18" customHeight="1">
      <c r="B6" s="68"/>
      <c r="C6" s="68" t="s">
        <v>7</v>
      </c>
      <c r="D6" s="69"/>
      <c r="E6" s="69"/>
      <c r="F6" s="69"/>
      <c r="H6" s="987" t="s">
        <v>200</v>
      </c>
      <c r="I6" s="987"/>
      <c r="J6" s="987"/>
      <c r="K6" s="987"/>
      <c r="L6" s="987"/>
      <c r="M6" s="987"/>
      <c r="N6" s="987"/>
      <c r="O6" s="987"/>
      <c r="P6" s="987"/>
      <c r="Q6" s="987"/>
      <c r="R6" s="987"/>
      <c r="S6" s="987"/>
      <c r="T6" s="987"/>
      <c r="U6" s="987"/>
      <c r="Z6" s="987" t="s">
        <v>201</v>
      </c>
      <c r="AA6" s="987"/>
      <c r="AB6" s="987"/>
      <c r="AC6" s="987"/>
      <c r="AD6" s="987"/>
      <c r="AE6" s="987"/>
      <c r="AF6" s="987"/>
      <c r="AG6" s="987"/>
      <c r="AH6" s="987"/>
      <c r="AI6" s="987"/>
      <c r="AJ6" s="987"/>
      <c r="AK6" s="987"/>
      <c r="AL6" s="987"/>
      <c r="AM6" s="987"/>
    </row>
    <row r="7" ht="15" customHeight="1">
      <c r="D7" s="174"/>
      <c r="E7" s="71"/>
      <c r="F7" s="71"/>
      <c r="H7" s="909" t="s">
        <v>0</v>
      </c>
      <c r="I7" s="909"/>
      <c r="J7" s="909" t="s">
        <v>1</v>
      </c>
      <c r="K7" s="909"/>
      <c r="L7" s="909" t="s">
        <v>2</v>
      </c>
      <c r="M7" s="909"/>
      <c r="N7" s="909" t="s">
        <v>3</v>
      </c>
      <c r="O7" s="909"/>
      <c r="P7" s="909" t="s">
        <v>4</v>
      </c>
      <c r="Q7" s="909"/>
      <c r="R7" s="909" t="s">
        <v>5</v>
      </c>
      <c r="S7" s="909"/>
      <c r="T7" s="909" t="s">
        <v>6</v>
      </c>
      <c r="U7" s="909"/>
      <c r="Z7" s="909" t="s">
        <v>0</v>
      </c>
      <c r="AA7" s="909"/>
      <c r="AB7" s="909" t="s">
        <v>1</v>
      </c>
      <c r="AC7" s="909"/>
      <c r="AD7" s="909" t="s">
        <v>2</v>
      </c>
      <c r="AE7" s="909"/>
      <c r="AF7" s="909" t="s">
        <v>3</v>
      </c>
      <c r="AG7" s="909"/>
      <c r="AH7" s="909" t="s">
        <v>4</v>
      </c>
      <c r="AI7" s="909"/>
      <c r="AJ7" s="909" t="s">
        <v>5</v>
      </c>
      <c r="AK7" s="909"/>
      <c r="AL7" s="909" t="s">
        <v>6</v>
      </c>
      <c r="AM7" s="909"/>
    </row>
    <row r="8" ht="15" customHeight="1">
      <c r="D8" s="175"/>
      <c r="E8" s="71"/>
      <c r="F8" s="71"/>
      <c r="G8" s="71"/>
      <c r="H8" s="910"/>
      <c r="I8" s="910"/>
      <c r="J8" s="906"/>
      <c r="K8" s="906"/>
      <c r="L8" s="906"/>
      <c r="M8" s="906"/>
      <c r="N8" s="906"/>
      <c r="O8" s="906"/>
      <c r="P8" s="906"/>
      <c r="Q8" s="906"/>
      <c r="R8" s="906">
        <v>1</v>
      </c>
      <c r="S8" s="906"/>
      <c r="T8" s="906">
        <v>2</v>
      </c>
      <c r="U8" s="907"/>
      <c r="Z8" s="910"/>
      <c r="AA8" s="910"/>
      <c r="AB8" s="906"/>
      <c r="AC8" s="906"/>
      <c r="AD8" s="906"/>
      <c r="AE8" s="906"/>
      <c r="AF8" s="906"/>
      <c r="AG8" s="906"/>
      <c r="AH8" s="906">
        <v>1</v>
      </c>
      <c r="AI8" s="906"/>
      <c r="AJ8" s="906">
        <v>2</v>
      </c>
      <c r="AK8" s="906"/>
      <c r="AL8" s="906">
        <v>3</v>
      </c>
      <c r="AM8" s="907"/>
    </row>
    <row r="9" ht="15" customHeight="1">
      <c r="D9" s="175"/>
      <c r="H9" s="905">
        <v>3</v>
      </c>
      <c r="I9" s="905"/>
      <c r="J9" s="898">
        <v>4</v>
      </c>
      <c r="K9" s="898"/>
      <c r="L9" s="898">
        <v>5</v>
      </c>
      <c r="M9" s="898"/>
      <c r="N9" s="898">
        <v>6</v>
      </c>
      <c r="O9" s="898"/>
      <c r="P9" s="898">
        <v>7</v>
      </c>
      <c r="Q9" s="898"/>
      <c r="R9" s="898">
        <v>8</v>
      </c>
      <c r="S9" s="898"/>
      <c r="T9" s="898">
        <v>9</v>
      </c>
      <c r="U9" s="902"/>
      <c r="Z9" s="905">
        <v>4</v>
      </c>
      <c r="AA9" s="905"/>
      <c r="AB9" s="898">
        <v>5</v>
      </c>
      <c r="AC9" s="898"/>
      <c r="AD9" s="898">
        <v>6</v>
      </c>
      <c r="AE9" s="898"/>
      <c r="AF9" s="898">
        <v>7</v>
      </c>
      <c r="AG9" s="898"/>
      <c r="AH9" s="898">
        <v>8</v>
      </c>
      <c r="AI9" s="898"/>
      <c r="AJ9" s="898">
        <v>9</v>
      </c>
      <c r="AK9" s="898"/>
      <c r="AL9" s="898">
        <v>10</v>
      </c>
      <c r="AM9" s="902"/>
    </row>
    <row r="10" ht="15" customHeight="1">
      <c r="H10" s="899">
        <v>10</v>
      </c>
      <c r="I10" s="899"/>
      <c r="J10" s="900">
        <v>11</v>
      </c>
      <c r="K10" s="900"/>
      <c r="L10" s="900">
        <v>12</v>
      </c>
      <c r="M10" s="900"/>
      <c r="N10" s="900">
        <v>13</v>
      </c>
      <c r="O10" s="900"/>
      <c r="P10" s="900">
        <v>14</v>
      </c>
      <c r="Q10" s="900"/>
      <c r="R10" s="900">
        <v>15</v>
      </c>
      <c r="S10" s="900"/>
      <c r="T10" s="900">
        <v>16</v>
      </c>
      <c r="U10" s="903"/>
      <c r="Z10" s="899">
        <v>11</v>
      </c>
      <c r="AA10" s="899"/>
      <c r="AB10" s="900">
        <v>12</v>
      </c>
      <c r="AC10" s="900"/>
      <c r="AD10" s="900">
        <v>13</v>
      </c>
      <c r="AE10" s="900"/>
      <c r="AF10" s="900">
        <v>14</v>
      </c>
      <c r="AG10" s="900"/>
      <c r="AH10" s="900">
        <v>15</v>
      </c>
      <c r="AI10" s="900"/>
      <c r="AJ10" s="900">
        <v>16</v>
      </c>
      <c r="AK10" s="900"/>
      <c r="AL10" s="900">
        <v>17</v>
      </c>
      <c r="AM10" s="903"/>
    </row>
    <row r="11" ht="15" customHeight="1">
      <c r="H11" s="905">
        <v>17</v>
      </c>
      <c r="I11" s="905"/>
      <c r="J11" s="898">
        <v>18</v>
      </c>
      <c r="K11" s="898"/>
      <c r="L11" s="898">
        <v>19</v>
      </c>
      <c r="M11" s="898"/>
      <c r="N11" s="898">
        <v>20</v>
      </c>
      <c r="O11" s="898"/>
      <c r="P11" s="898">
        <v>21</v>
      </c>
      <c r="Q11" s="898"/>
      <c r="R11" s="898">
        <v>22</v>
      </c>
      <c r="S11" s="898"/>
      <c r="T11" s="898">
        <v>23</v>
      </c>
      <c r="U11" s="902"/>
      <c r="Z11" s="905">
        <v>18</v>
      </c>
      <c r="AA11" s="905"/>
      <c r="AB11" s="898">
        <v>19</v>
      </c>
      <c r="AC11" s="898"/>
      <c r="AD11" s="898">
        <v>20</v>
      </c>
      <c r="AE11" s="898"/>
      <c r="AF11" s="898">
        <v>21</v>
      </c>
      <c r="AG11" s="898"/>
      <c r="AH11" s="898">
        <v>22</v>
      </c>
      <c r="AI11" s="898"/>
      <c r="AJ11" s="898">
        <v>23</v>
      </c>
      <c r="AK11" s="898"/>
      <c r="AL11" s="898">
        <v>24</v>
      </c>
      <c r="AM11" s="902"/>
      <c r="AN11" t="s">
        <v>27</v>
      </c>
    </row>
    <row r="12" ht="15" customHeight="1">
      <c r="A12" s="68"/>
      <c r="H12" s="899">
        <v>24</v>
      </c>
      <c r="I12" s="899"/>
      <c r="J12" s="900">
        <v>25</v>
      </c>
      <c r="K12" s="900"/>
      <c r="L12" s="900">
        <v>26</v>
      </c>
      <c r="M12" s="900"/>
      <c r="N12" s="900">
        <v>27</v>
      </c>
      <c r="O12" s="900"/>
      <c r="P12" s="900">
        <v>28</v>
      </c>
      <c r="Q12" s="900"/>
      <c r="R12" s="900">
        <v>29</v>
      </c>
      <c r="S12" s="900"/>
      <c r="T12" s="900">
        <v>30</v>
      </c>
      <c r="U12" s="903"/>
      <c r="Z12" s="899">
        <v>25</v>
      </c>
      <c r="AA12" s="899"/>
      <c r="AB12" s="900">
        <v>26</v>
      </c>
      <c r="AC12" s="900"/>
      <c r="AD12" s="900">
        <v>27</v>
      </c>
      <c r="AE12" s="900"/>
      <c r="AF12" s="900">
        <v>28</v>
      </c>
      <c r="AG12" s="900"/>
      <c r="AH12" s="900">
        <v>29</v>
      </c>
      <c r="AI12" s="900"/>
      <c r="AJ12" s="900">
        <v>30</v>
      </c>
      <c r="AK12" s="900"/>
      <c r="AL12" s="900">
        <v>31</v>
      </c>
      <c r="AM12" s="903"/>
    </row>
    <row r="13" ht="15" customHeight="1">
      <c r="C13" s="72"/>
      <c r="D13" s="73"/>
      <c r="E13" s="73"/>
      <c r="F13" s="73"/>
      <c r="G13" s="73"/>
      <c r="H13" s="904" t="n">
        <v>31</v>
      </c>
      <c r="I13" s="904"/>
      <c r="J13" s="901" t="s">
        <v>27</v>
      </c>
      <c r="K13" s="901"/>
      <c r="L13" s="901" t="s">
        <v>27</v>
      </c>
      <c r="M13" s="901"/>
      <c r="N13" s="901" t="s">
        <v>27</v>
      </c>
      <c r="O13" s="901"/>
      <c r="P13" s="901" t="s">
        <v>27</v>
      </c>
      <c r="Q13" s="901"/>
      <c r="R13" s="901" t="s">
        <v>27</v>
      </c>
      <c r="S13" s="901"/>
      <c r="T13" s="901" t="s">
        <v>27</v>
      </c>
      <c r="U13" s="911"/>
      <c r="Z13" s="904" t="s">
        <v>27</v>
      </c>
      <c r="AA13" s="904"/>
      <c r="AB13" s="901" t="s">
        <v>27</v>
      </c>
      <c r="AC13" s="901"/>
      <c r="AD13" s="901" t="s">
        <v>27</v>
      </c>
      <c r="AE13" s="901"/>
      <c r="AF13" s="901" t="s">
        <v>27</v>
      </c>
      <c r="AG13" s="901"/>
      <c r="AH13" s="901" t="s">
        <v>27</v>
      </c>
      <c r="AI13" s="901"/>
      <c r="AJ13" s="901" t="s">
        <v>27</v>
      </c>
      <c r="AK13" s="901"/>
      <c r="AL13" s="901" t="s">
        <v>27</v>
      </c>
      <c r="AM13" s="911"/>
    </row>
    <row r="14" ht="15" customHeight="1">
      <c r="A14" s="68"/>
      <c r="C14" s="68" t="s">
        <v>8</v>
      </c>
      <c r="F14" s="64"/>
    </row>
    <row r="15" ht="15" customHeight="1">
      <c r="D15" s="70"/>
      <c r="F15" s="64"/>
      <c r="P15" s="234"/>
      <c r="Q15" s="234"/>
      <c r="R15" s="234"/>
      <c r="S15" s="234"/>
      <c r="T15" s="234"/>
      <c r="U15" s="234"/>
      <c r="V15" s="234"/>
      <c r="W15" s="47"/>
      <c r="X15" s="234"/>
      <c r="Y15" s="234"/>
      <c r="Z15" s="234"/>
      <c r="AA15" s="234"/>
      <c r="AB15" s="234"/>
      <c r="AC15" s="234"/>
      <c r="AD15" s="234"/>
      <c r="AE15" s="47"/>
      <c r="AF15" s="234"/>
      <c r="AG15" s="234"/>
      <c r="AH15" s="234"/>
      <c r="AI15" s="234"/>
      <c r="AJ15" s="234"/>
      <c r="AK15" s="234"/>
      <c r="AL15" s="234"/>
      <c r="AM15" s="47"/>
      <c r="AN15" s="47"/>
    </row>
    <row r="16" ht="15" customHeight="1">
      <c r="C16" s="70"/>
      <c r="D16" s="73"/>
      <c r="F16" s="64"/>
      <c r="P16" s="21"/>
      <c r="Q16" s="21"/>
      <c r="R16" s="21"/>
      <c r="S16" s="21"/>
      <c r="T16" s="21"/>
      <c r="U16" s="21"/>
      <c r="V16" s="21"/>
      <c r="W16" s="47"/>
      <c r="X16" s="21"/>
      <c r="Y16" s="21"/>
      <c r="Z16" s="21"/>
      <c r="AA16" s="21"/>
      <c r="AB16" s="21"/>
      <c r="AC16" s="21"/>
      <c r="AD16" s="21"/>
      <c r="AE16" s="47"/>
      <c r="AF16" s="21"/>
      <c r="AG16" s="21"/>
      <c r="AH16" s="21"/>
      <c r="AI16" s="21"/>
      <c r="AJ16" s="21"/>
      <c r="AK16" s="21"/>
      <c r="AL16" s="21"/>
      <c r="AM16" s="47"/>
      <c r="AN16" s="47"/>
    </row>
    <row r="17" ht="15" customHeight="1">
      <c r="C17" s="70"/>
      <c r="D17" s="73"/>
      <c r="F17" s="64"/>
      <c r="P17" s="21"/>
      <c r="Q17" s="21"/>
      <c r="R17" s="21"/>
      <c r="S17" s="21"/>
      <c r="T17" s="21"/>
      <c r="U17" s="21"/>
      <c r="V17" s="21"/>
      <c r="W17" s="47"/>
      <c r="X17" s="21"/>
      <c r="Y17" s="21"/>
      <c r="Z17" s="21"/>
      <c r="AA17" s="21"/>
      <c r="AB17" s="21"/>
      <c r="AC17" s="21"/>
      <c r="AD17" s="21"/>
      <c r="AE17" s="47"/>
      <c r="AF17" s="21"/>
      <c r="AG17" s="21"/>
      <c r="AH17" s="21"/>
      <c r="AI17" s="21"/>
      <c r="AJ17" s="21"/>
      <c r="AK17" s="21"/>
      <c r="AL17" s="21"/>
      <c r="AM17" s="47"/>
      <c r="AN17" s="47"/>
    </row>
    <row r="18" ht="15" customHeight="1">
      <c r="C18" s="70"/>
      <c r="D18" s="71"/>
      <c r="F18" s="64"/>
      <c r="P18" s="21"/>
      <c r="Q18" s="21"/>
      <c r="R18" s="21"/>
      <c r="S18" s="21"/>
      <c r="T18" s="21"/>
      <c r="U18" s="21"/>
      <c r="V18" s="21"/>
      <c r="W18" s="47"/>
      <c r="X18" s="21"/>
      <c r="Y18" s="21"/>
      <c r="Z18" s="21"/>
      <c r="AA18" s="21"/>
      <c r="AB18" s="21"/>
      <c r="AC18" s="21"/>
      <c r="AD18" s="21"/>
      <c r="AE18" s="47"/>
      <c r="AF18" s="21"/>
      <c r="AG18" s="21"/>
      <c r="AH18" s="21"/>
      <c r="AI18" s="21"/>
      <c r="AJ18" s="21"/>
      <c r="AK18" s="21"/>
      <c r="AL18" s="21"/>
      <c r="AM18" s="47"/>
      <c r="AN18" s="47"/>
    </row>
    <row r="19" ht="15" customHeight="1">
      <c r="C19" s="74"/>
      <c r="D19" s="71"/>
      <c r="F19" s="64"/>
      <c r="P19" s="21"/>
      <c r="Q19" s="21"/>
      <c r="R19" s="21"/>
      <c r="S19" s="21"/>
      <c r="T19" s="21"/>
      <c r="U19" s="21"/>
      <c r="V19" s="21"/>
      <c r="W19" s="47"/>
      <c r="X19" s="21"/>
      <c r="Y19" s="21"/>
      <c r="Z19" s="21"/>
      <c r="AA19" s="21"/>
      <c r="AB19" s="21"/>
      <c r="AC19" s="21"/>
      <c r="AD19" s="21"/>
      <c r="AE19" s="47"/>
      <c r="AF19" s="21"/>
      <c r="AG19" s="21"/>
      <c r="AH19" s="21"/>
      <c r="AI19" s="21"/>
      <c r="AJ19" s="21"/>
      <c r="AK19" s="21"/>
      <c r="AL19" s="21"/>
      <c r="AM19" s="47"/>
      <c r="AN19" s="47"/>
    </row>
    <row r="20" ht="15" customHeight="1">
      <c r="C20" s="74"/>
      <c r="D20" s="71"/>
      <c r="F20" s="64"/>
      <c r="P20" s="21"/>
      <c r="Q20" s="21"/>
      <c r="R20" s="21"/>
      <c r="S20" s="21"/>
      <c r="T20" s="21"/>
      <c r="U20" s="21"/>
      <c r="V20" s="21"/>
      <c r="W20" s="47"/>
      <c r="X20" s="21"/>
      <c r="Y20" s="21"/>
      <c r="Z20" s="21"/>
      <c r="AA20" s="21"/>
      <c r="AB20" s="21"/>
      <c r="AC20" s="21"/>
      <c r="AD20" s="21"/>
      <c r="AE20" s="47"/>
      <c r="AF20" s="21"/>
      <c r="AG20" s="21"/>
      <c r="AH20" s="21"/>
      <c r="AI20" s="21"/>
      <c r="AJ20" s="21"/>
      <c r="AK20" s="21"/>
      <c r="AL20" s="21"/>
      <c r="AM20" s="47"/>
      <c r="AN20" s="47"/>
    </row>
    <row r="21" ht="30" customHeight="1">
      <c r="R21" s="993">
        <v>2023</v>
      </c>
      <c r="S21" s="993"/>
      <c r="T21" s="993"/>
      <c r="U21" s="993"/>
      <c r="V21" s="995">
        <v>2024</v>
      </c>
      <c r="W21" s="995"/>
      <c r="X21" s="995"/>
      <c r="Y21" s="995"/>
      <c r="Z21" s="995"/>
      <c r="AA21" s="995"/>
      <c r="AB21" s="995"/>
      <c r="AC21" s="995"/>
      <c r="AD21" s="995"/>
      <c r="AE21" s="995"/>
      <c r="AF21" s="995"/>
      <c r="AG21" s="995"/>
      <c r="AH21" s="995">
        <v>2025</v>
      </c>
      <c r="AI21" s="995"/>
      <c r="AJ21" s="995"/>
      <c r="AK21" s="995"/>
      <c r="AL21" s="995"/>
      <c r="AM21" s="995"/>
      <c r="AN21" s="995"/>
      <c r="AO21" s="995"/>
    </row>
    <row r="22" s="5" customFormat="1" ht="30" customHeight="1">
      <c r="B22" s="76"/>
      <c r="C22" s="77" t="s">
        <v>71</v>
      </c>
      <c r="D22" s="77" t="s">
        <v>21</v>
      </c>
      <c r="E22" s="177" t="s">
        <v>199</v>
      </c>
      <c r="F22" s="158" t="s">
        <v>60</v>
      </c>
      <c r="G22" s="158" t="s">
        <v>61</v>
      </c>
      <c r="H22" s="914" t="s">
        <v>34</v>
      </c>
      <c r="I22" s="914"/>
      <c r="J22" s="914"/>
      <c r="K22" s="914"/>
      <c r="L22" s="914" t="s">
        <v>62</v>
      </c>
      <c r="M22" s="914"/>
      <c r="N22" s="914"/>
      <c r="O22" s="914"/>
      <c r="R22" s="617" t="s">
        <v>190</v>
      </c>
      <c r="S22" s="618" t="s">
        <v>191</v>
      </c>
      <c r="T22" s="618" t="s">
        <v>192</v>
      </c>
      <c r="U22" s="1015" t="s">
        <v>194</v>
      </c>
      <c r="V22" s="618" t="s">
        <v>195</v>
      </c>
      <c r="W22" s="618" t="s">
        <v>196</v>
      </c>
      <c r="X22" s="618" t="s">
        <v>180</v>
      </c>
      <c r="Y22" s="618" t="s">
        <v>183</v>
      </c>
      <c r="Z22" s="618" t="s">
        <v>185</v>
      </c>
      <c r="AA22" s="618" t="s">
        <v>187</v>
      </c>
      <c r="AB22" s="618" t="s">
        <v>188</v>
      </c>
      <c r="AC22" s="618" t="s">
        <v>189</v>
      </c>
      <c r="AD22" s="618" t="s">
        <v>190</v>
      </c>
      <c r="AE22" s="618" t="s">
        <v>191</v>
      </c>
      <c r="AF22" s="618" t="s">
        <v>192</v>
      </c>
      <c r="AG22" s="1015" t="s">
        <v>194</v>
      </c>
      <c r="AH22" s="618" t="s">
        <v>195</v>
      </c>
      <c r="AI22" s="618" t="s">
        <v>196</v>
      </c>
      <c r="AJ22" s="618" t="s">
        <v>180</v>
      </c>
      <c r="AK22" s="618" t="s">
        <v>183</v>
      </c>
      <c r="AL22" s="618" t="s">
        <v>185</v>
      </c>
      <c r="AM22" s="618" t="s">
        <v>187</v>
      </c>
      <c r="AN22" s="618" t="s">
        <v>188</v>
      </c>
      <c r="AO22" s="1015" t="s">
        <v>189</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33"/>
      <c r="C23" s="1016">
        <v>60180</v>
      </c>
      <c r="D23" s="1016" t="s">
        <v>175</v>
      </c>
      <c r="E23" s="1016" t="s">
        <v>202</v>
      </c>
      <c r="F23" s="1017" t="s">
        <v>203</v>
      </c>
      <c r="G23" s="1016" t="s">
        <v>204</v>
      </c>
      <c r="H23" s="1018" t="s">
        <v>205</v>
      </c>
      <c r="I23" s="1018"/>
      <c r="J23" s="1018"/>
      <c r="K23" s="1018"/>
      <c r="L23" s="1018" t="s">
        <v>206</v>
      </c>
      <c r="M23" s="1018"/>
      <c r="N23" s="1018"/>
      <c r="O23" s="1018"/>
      <c r="P23" s="80"/>
      <c r="Q23" s="90"/>
      <c r="R23" s="1019" t="s">
        <v>207</v>
      </c>
      <c r="S23" s="1020" t="s">
        <v>207</v>
      </c>
      <c r="T23" s="1020" t="s">
        <v>207</v>
      </c>
      <c r="U23" s="1020" t="s">
        <v>207</v>
      </c>
      <c r="V23" s="1020" t="s">
        <v>207</v>
      </c>
      <c r="W23" s="1020" t="s">
        <v>207</v>
      </c>
      <c r="X23" s="1020" t="s">
        <v>207</v>
      </c>
      <c r="Y23" s="1020" t="s">
        <v>207</v>
      </c>
      <c r="Z23" s="1020" t="s">
        <v>207</v>
      </c>
      <c r="AA23" s="1020" t="s">
        <v>207</v>
      </c>
      <c r="AB23" s="1020" t="s">
        <v>207</v>
      </c>
      <c r="AC23" s="1020" t="s">
        <v>207</v>
      </c>
      <c r="AD23" s="1020" t="s">
        <v>207</v>
      </c>
      <c r="AE23" s="1020" t="s">
        <v>207</v>
      </c>
      <c r="AF23" s="1020" t="s">
        <v>207</v>
      </c>
      <c r="AG23" s="1020" t="s">
        <v>207</v>
      </c>
      <c r="AH23" s="1020" t="s">
        <v>207</v>
      </c>
      <c r="AI23" s="1020" t="s">
        <v>207</v>
      </c>
      <c r="AJ23" s="1020" t="s">
        <v>207</v>
      </c>
      <c r="AK23" s="1020" t="s">
        <v>207</v>
      </c>
      <c r="AL23" s="1020" t="s">
        <v>207</v>
      </c>
      <c r="AM23" s="1020" t="s">
        <v>207</v>
      </c>
      <c r="AN23" s="1020" t="s">
        <v>207</v>
      </c>
      <c r="AO23" s="1021" t="s">
        <v>207</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33"/>
      <c r="C24" s="1022">
        <v>27821</v>
      </c>
      <c r="D24" s="1022" t="s">
        <v>208</v>
      </c>
      <c r="E24" s="1022" t="s">
        <v>202</v>
      </c>
      <c r="F24" s="1023" t="s">
        <v>209</v>
      </c>
      <c r="G24" s="1022" t="s">
        <v>210</v>
      </c>
      <c r="H24" s="1024" t="s">
        <v>211</v>
      </c>
      <c r="I24" s="1024"/>
      <c r="J24" s="1024"/>
      <c r="K24" s="1024"/>
      <c r="L24" s="1024" t="s">
        <v>212</v>
      </c>
      <c r="M24" s="1024"/>
      <c r="N24" s="1024"/>
      <c r="O24" s="1024"/>
      <c r="P24" s="80"/>
      <c r="Q24" s="90"/>
      <c r="R24" s="1025" t="s">
        <v>207</v>
      </c>
      <c r="S24" s="1026" t="s">
        <v>207</v>
      </c>
      <c r="T24" s="1026" t="s">
        <v>207</v>
      </c>
      <c r="U24" s="1026" t="s">
        <v>207</v>
      </c>
      <c r="V24" s="1026" t="s">
        <v>207</v>
      </c>
      <c r="W24" s="1026" t="s">
        <v>207</v>
      </c>
      <c r="X24" s="1026" t="s">
        <v>207</v>
      </c>
      <c r="Y24" s="1026" t="s">
        <v>207</v>
      </c>
      <c r="Z24" s="1026" t="s">
        <v>207</v>
      </c>
      <c r="AA24" s="1026" t="s">
        <v>207</v>
      </c>
      <c r="AB24" s="1026" t="s">
        <v>207</v>
      </c>
      <c r="AC24" s="1026" t="s">
        <v>207</v>
      </c>
      <c r="AD24" s="1026" t="s">
        <v>207</v>
      </c>
      <c r="AE24" s="1026" t="s">
        <v>207</v>
      </c>
      <c r="AF24" s="1026" t="s">
        <v>207</v>
      </c>
      <c r="AG24" s="1026" t="s">
        <v>207</v>
      </c>
      <c r="AH24" s="1026" t="s">
        <v>207</v>
      </c>
      <c r="AI24" s="1026" t="s">
        <v>207</v>
      </c>
      <c r="AJ24" s="1026" t="s">
        <v>207</v>
      </c>
      <c r="AK24" s="1026" t="s">
        <v>207</v>
      </c>
      <c r="AL24" s="1026" t="s">
        <v>207</v>
      </c>
      <c r="AM24" s="1026" t="s">
        <v>207</v>
      </c>
      <c r="AN24" s="1026" t="s">
        <v>207</v>
      </c>
      <c r="AO24" s="1027" t="s">
        <v>207</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33"/>
      <c r="C25" s="1016">
        <v>31502</v>
      </c>
      <c r="D25" s="1016" t="s">
        <v>213</v>
      </c>
      <c r="E25" s="1016" t="s">
        <v>202</v>
      </c>
      <c r="F25" s="1017" t="s">
        <v>214</v>
      </c>
      <c r="G25" s="1016" t="s">
        <v>215</v>
      </c>
      <c r="H25" s="1018" t="s">
        <v>216</v>
      </c>
      <c r="I25" s="1018"/>
      <c r="J25" s="1018"/>
      <c r="K25" s="1018"/>
      <c r="L25" s="1018" t="s">
        <v>217</v>
      </c>
      <c r="M25" s="1018"/>
      <c r="N25" s="1018"/>
      <c r="O25" s="1018"/>
      <c r="P25" s="80"/>
      <c r="Q25" s="90"/>
      <c r="R25" s="1019" t="s">
        <v>207</v>
      </c>
      <c r="S25" s="1020" t="s">
        <v>207</v>
      </c>
      <c r="T25" s="1020" t="s">
        <v>207</v>
      </c>
      <c r="U25" s="1020" t="s">
        <v>207</v>
      </c>
      <c r="V25" s="1020" t="s">
        <v>207</v>
      </c>
      <c r="W25" s="1020" t="s">
        <v>207</v>
      </c>
      <c r="X25" s="1020" t="s">
        <v>207</v>
      </c>
      <c r="Y25" s="1020" t="s">
        <v>207</v>
      </c>
      <c r="Z25" s="1020" t="s">
        <v>207</v>
      </c>
      <c r="AA25" s="1020" t="s">
        <v>207</v>
      </c>
      <c r="AB25" s="1020" t="s">
        <v>207</v>
      </c>
      <c r="AC25" s="1020" t="s">
        <v>207</v>
      </c>
      <c r="AD25" s="1020" t="s">
        <v>207</v>
      </c>
      <c r="AE25" s="1020" t="s">
        <v>207</v>
      </c>
      <c r="AF25" s="1020" t="s">
        <v>207</v>
      </c>
      <c r="AG25" s="1020" t="s">
        <v>207</v>
      </c>
      <c r="AH25" s="1020" t="s">
        <v>207</v>
      </c>
      <c r="AI25" s="1020" t="s">
        <v>207</v>
      </c>
      <c r="AJ25" s="1020" t="s">
        <v>207</v>
      </c>
      <c r="AK25" s="1020" t="s">
        <v>207</v>
      </c>
      <c r="AL25" s="1020" t="s">
        <v>207</v>
      </c>
      <c r="AM25" s="1020" t="s">
        <v>207</v>
      </c>
      <c r="AN25" s="1020" t="s">
        <v>207</v>
      </c>
      <c r="AO25" s="1021" t="s">
        <v>207</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33"/>
      <c r="C26" s="1022">
        <v>33288</v>
      </c>
      <c r="D26" s="1022" t="s">
        <v>218</v>
      </c>
      <c r="E26" s="1022" t="s">
        <v>202</v>
      </c>
      <c r="F26" s="1023" t="s">
        <v>209</v>
      </c>
      <c r="G26" s="1022" t="s">
        <v>219</v>
      </c>
      <c r="H26" s="1024" t="s">
        <v>220</v>
      </c>
      <c r="I26" s="1024"/>
      <c r="J26" s="1024"/>
      <c r="K26" s="1024"/>
      <c r="L26" s="1024" t="s">
        <v>221</v>
      </c>
      <c r="M26" s="1024"/>
      <c r="N26" s="1024"/>
      <c r="O26" s="1024"/>
      <c r="P26" s="80"/>
      <c r="Q26" s="90"/>
      <c r="R26" s="1025" t="s">
        <v>207</v>
      </c>
      <c r="S26" s="1026" t="s">
        <v>207</v>
      </c>
      <c r="T26" s="1026" t="s">
        <v>207</v>
      </c>
      <c r="U26" s="1026" t="s">
        <v>207</v>
      </c>
      <c r="V26" s="1026" t="s">
        <v>207</v>
      </c>
      <c r="W26" s="1026" t="s">
        <v>207</v>
      </c>
      <c r="X26" s="1026" t="s">
        <v>207</v>
      </c>
      <c r="Y26" s="1026" t="s">
        <v>207</v>
      </c>
      <c r="Z26" s="1026" t="s">
        <v>207</v>
      </c>
      <c r="AA26" s="1026" t="s">
        <v>207</v>
      </c>
      <c r="AB26" s="1026" t="s">
        <v>207</v>
      </c>
      <c r="AC26" s="1026" t="s">
        <v>207</v>
      </c>
      <c r="AD26" s="1026" t="s">
        <v>207</v>
      </c>
      <c r="AE26" s="1026" t="s">
        <v>207</v>
      </c>
      <c r="AF26" s="1026" t="s">
        <v>207</v>
      </c>
      <c r="AG26" s="1026" t="s">
        <v>207</v>
      </c>
      <c r="AH26" s="1026" t="s">
        <v>207</v>
      </c>
      <c r="AI26" s="1026" t="s">
        <v>207</v>
      </c>
      <c r="AJ26" s="1026" t="s">
        <v>207</v>
      </c>
      <c r="AK26" s="1026" t="s">
        <v>207</v>
      </c>
      <c r="AL26" s="1026" t="s">
        <v>207</v>
      </c>
      <c r="AM26" s="1026" t="s">
        <v>207</v>
      </c>
      <c r="AN26" s="1026" t="s">
        <v>207</v>
      </c>
      <c r="AO26" s="1027" t="s">
        <v>207</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33"/>
      <c r="C27" s="1016">
        <v>42440</v>
      </c>
      <c r="D27" s="1016" t="s">
        <v>222</v>
      </c>
      <c r="E27" s="1016" t="s">
        <v>223</v>
      </c>
      <c r="F27" s="1017" t="s">
        <v>224</v>
      </c>
      <c r="G27" s="1016" t="s">
        <v>225</v>
      </c>
      <c r="H27" s="1018" t="s">
        <v>226</v>
      </c>
      <c r="I27" s="1018"/>
      <c r="J27" s="1018"/>
      <c r="K27" s="1018"/>
      <c r="L27" s="1018" t="s">
        <v>227</v>
      </c>
      <c r="M27" s="1018"/>
      <c r="N27" s="1018"/>
      <c r="O27" s="1018"/>
      <c r="P27" s="80"/>
      <c r="Q27" s="90"/>
      <c r="R27" s="1019" t="s">
        <v>207</v>
      </c>
      <c r="S27" s="1020" t="s">
        <v>207</v>
      </c>
      <c r="T27" s="1020" t="s">
        <v>207</v>
      </c>
      <c r="U27" s="1020" t="s">
        <v>207</v>
      </c>
      <c r="V27" s="1020" t="s">
        <v>207</v>
      </c>
      <c r="W27" s="1020" t="s">
        <v>207</v>
      </c>
      <c r="X27" s="1020" t="s">
        <v>207</v>
      </c>
      <c r="Y27" s="1020" t="s">
        <v>207</v>
      </c>
      <c r="Z27" s="1020" t="s">
        <v>207</v>
      </c>
      <c r="AA27" s="1020" t="s">
        <v>207</v>
      </c>
      <c r="AB27" s="1020" t="s">
        <v>207</v>
      </c>
      <c r="AC27" s="1020" t="s">
        <v>207</v>
      </c>
      <c r="AD27" s="1020" t="s">
        <v>207</v>
      </c>
      <c r="AE27" s="1020" t="s">
        <v>207</v>
      </c>
      <c r="AF27" s="1020" t="s">
        <v>207</v>
      </c>
      <c r="AG27" s="1020" t="s">
        <v>207</v>
      </c>
      <c r="AH27" s="1020" t="s">
        <v>207</v>
      </c>
      <c r="AI27" s="1020" t="s">
        <v>207</v>
      </c>
      <c r="AJ27" s="1020" t="s">
        <v>207</v>
      </c>
      <c r="AK27" s="1020" t="s">
        <v>207</v>
      </c>
      <c r="AL27" s="1020" t="s">
        <v>207</v>
      </c>
      <c r="AM27" s="1020" t="s">
        <v>207</v>
      </c>
      <c r="AN27" s="1020" t="s">
        <v>207</v>
      </c>
      <c r="AO27" s="1021" t="s">
        <v>207</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33"/>
      <c r="C28" s="1022">
        <v>58062</v>
      </c>
      <c r="D28" s="1022" t="s">
        <v>228</v>
      </c>
      <c r="E28" s="1022" t="s">
        <v>229</v>
      </c>
      <c r="F28" s="1022" t="s">
        <v>230</v>
      </c>
      <c r="G28" s="1022" t="s">
        <v>231</v>
      </c>
      <c r="H28" s="1024" t="s">
        <v>232</v>
      </c>
      <c r="I28" s="1024"/>
      <c r="J28" s="1024"/>
      <c r="K28" s="1024"/>
      <c r="L28" s="1024" t="s">
        <v>233</v>
      </c>
      <c r="M28" s="1024"/>
      <c r="N28" s="1024"/>
      <c r="O28" s="1024"/>
      <c r="P28" s="80"/>
      <c r="Q28" s="90"/>
      <c r="R28" s="1025" t="s">
        <v>207</v>
      </c>
      <c r="S28" s="1026" t="s">
        <v>207</v>
      </c>
      <c r="T28" s="1026" t="s">
        <v>207</v>
      </c>
      <c r="U28" s="1026" t="s">
        <v>207</v>
      </c>
      <c r="V28" s="1026" t="s">
        <v>207</v>
      </c>
      <c r="W28" s="1026" t="s">
        <v>207</v>
      </c>
      <c r="X28" s="1026" t="s">
        <v>207</v>
      </c>
      <c r="Y28" s="1026" t="s">
        <v>207</v>
      </c>
      <c r="Z28" s="1026" t="s">
        <v>207</v>
      </c>
      <c r="AA28" s="1026" t="s">
        <v>207</v>
      </c>
      <c r="AB28" s="1026" t="s">
        <v>207</v>
      </c>
      <c r="AC28" s="1026" t="s">
        <v>207</v>
      </c>
      <c r="AD28" s="1026" t="s">
        <v>207</v>
      </c>
      <c r="AE28" s="1026" t="s">
        <v>207</v>
      </c>
      <c r="AF28" s="1026" t="s">
        <v>207</v>
      </c>
      <c r="AG28" s="1026" t="s">
        <v>207</v>
      </c>
      <c r="AH28" s="1026" t="s">
        <v>207</v>
      </c>
      <c r="AI28" s="1026" t="s">
        <v>207</v>
      </c>
      <c r="AJ28" s="1026" t="s">
        <v>207</v>
      </c>
      <c r="AK28" s="1026" t="s">
        <v>207</v>
      </c>
      <c r="AL28" s="1026" t="s">
        <v>207</v>
      </c>
      <c r="AM28" s="1026" t="s">
        <v>207</v>
      </c>
      <c r="AN28" s="1026" t="s">
        <v>207</v>
      </c>
      <c r="AO28" s="1027" t="s">
        <v>207</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33"/>
      <c r="C29" s="181"/>
      <c r="D29" s="183"/>
      <c r="E29" s="183"/>
      <c r="F29" s="201"/>
      <c r="G29" s="181"/>
      <c r="H29" s="1018">
        <v>708</v>
      </c>
      <c r="I29" s="1018"/>
      <c r="J29" s="1018"/>
      <c r="K29" s="1018"/>
      <c r="L29" s="895"/>
      <c r="M29" s="895"/>
      <c r="N29" s="895"/>
      <c r="O29" s="895"/>
      <c r="P29" s="80"/>
      <c r="Q29" s="90"/>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33"/>
      <c r="C30" s="181"/>
      <c r="D30" s="183"/>
      <c r="E30" s="183"/>
      <c r="F30" s="201"/>
      <c r="G30" s="181"/>
      <c r="H30" s="181"/>
      <c r="I30" s="181"/>
      <c r="J30" s="181"/>
      <c r="K30" s="181"/>
      <c r="L30" s="895"/>
      <c r="M30" s="895"/>
      <c r="N30" s="895"/>
      <c r="O30" s="895"/>
      <c r="P30" s="80"/>
      <c r="Q30" s="90"/>
      <c r="R30" s="182"/>
      <c r="S30" s="182"/>
      <c r="T30" s="182"/>
      <c r="U30" s="182"/>
      <c r="V30" s="182"/>
      <c r="W30" s="182"/>
      <c r="X30" s="1028" t="s">
        <v>234</v>
      </c>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33"/>
      <c r="C31" s="181"/>
      <c r="D31" s="183"/>
      <c r="E31" s="183"/>
      <c r="F31" s="201"/>
      <c r="G31" s="181"/>
      <c r="H31" s="181"/>
      <c r="I31" s="181"/>
      <c r="J31" s="181"/>
      <c r="K31" s="181"/>
      <c r="L31" s="895"/>
      <c r="M31" s="895"/>
      <c r="N31" s="895"/>
      <c r="O31" s="895"/>
      <c r="P31" s="80"/>
      <c r="Q31" s="90"/>
      <c r="R31" s="182"/>
      <c r="S31" s="182"/>
      <c r="T31" s="182"/>
      <c r="U31" s="182"/>
      <c r="V31" s="182"/>
      <c r="W31" s="182"/>
      <c r="X31" s="182"/>
      <c r="Y31" s="182"/>
      <c r="Z31" s="182"/>
      <c r="AA31" s="1029" t="s">
        <v>235</v>
      </c>
      <c r="AB31" s="1028" t="s">
        <v>236</v>
      </c>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33"/>
      <c r="C32" s="181"/>
      <c r="D32" s="183"/>
      <c r="E32" s="183"/>
      <c r="F32" s="201"/>
      <c r="G32" s="181"/>
      <c r="H32" s="181"/>
      <c r="I32" s="181"/>
      <c r="J32" s="181"/>
      <c r="K32" s="181"/>
      <c r="L32" s="895"/>
      <c r="M32" s="895"/>
      <c r="N32" s="895"/>
      <c r="O32" s="895"/>
      <c r="P32" s="80"/>
      <c r="Q32" s="90"/>
      <c r="R32" s="182"/>
      <c r="S32" s="182"/>
      <c r="T32" s="182"/>
      <c r="U32" s="182"/>
      <c r="V32" s="182"/>
      <c r="W32" s="182"/>
      <c r="X32" s="182"/>
      <c r="Y32" s="182"/>
      <c r="Z32" s="182"/>
      <c r="AA32" s="1029" t="s">
        <v>207</v>
      </c>
      <c r="AB32" s="1028" t="s">
        <v>237</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33"/>
      <c r="C33" s="181"/>
      <c r="D33" s="183"/>
      <c r="E33" s="183"/>
      <c r="F33" s="201"/>
      <c r="G33" s="181"/>
      <c r="H33" s="181"/>
      <c r="I33" s="181"/>
      <c r="J33" s="181"/>
      <c r="K33" s="181"/>
      <c r="L33" s="895"/>
      <c r="M33" s="895"/>
      <c r="N33" s="895"/>
      <c r="O33" s="895"/>
      <c r="P33" s="80"/>
      <c r="Q33" s="90"/>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33"/>
      <c r="C34" s="181"/>
      <c r="D34" s="183"/>
      <c r="E34" s="183"/>
      <c r="F34" s="201"/>
      <c r="G34" s="181"/>
      <c r="H34" s="181"/>
      <c r="I34" s="181"/>
      <c r="J34" s="181"/>
      <c r="K34" s="181"/>
      <c r="L34" s="895"/>
      <c r="M34" s="895"/>
      <c r="N34" s="895"/>
      <c r="O34" s="895"/>
      <c r="P34" s="80"/>
      <c r="Q34" s="90"/>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33"/>
      <c r="C35" s="181"/>
      <c r="D35" s="183"/>
      <c r="E35" s="183"/>
      <c r="F35" s="201"/>
      <c r="G35" s="181"/>
      <c r="H35" s="181"/>
      <c r="I35" s="181"/>
      <c r="J35" s="181"/>
      <c r="K35" s="181"/>
      <c r="L35" s="895"/>
      <c r="M35" s="895"/>
      <c r="N35" s="895"/>
      <c r="O35" s="895"/>
      <c r="P35" s="80"/>
      <c r="Q35" s="90"/>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33"/>
      <c r="C36" s="181"/>
      <c r="D36" s="183"/>
      <c r="E36" s="183"/>
      <c r="F36" s="201"/>
      <c r="G36" s="181"/>
      <c r="H36" s="181"/>
      <c r="I36" s="181"/>
      <c r="J36" s="181"/>
      <c r="K36" s="181"/>
      <c r="L36" s="895"/>
      <c r="M36" s="895"/>
      <c r="N36" s="895"/>
      <c r="O36" s="895"/>
      <c r="P36" s="80"/>
      <c r="Q36" s="90"/>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33"/>
      <c r="C37" s="181"/>
      <c r="D37" s="183"/>
      <c r="E37" s="183"/>
      <c r="F37" s="201"/>
      <c r="G37" s="181"/>
      <c r="H37" s="181"/>
      <c r="I37" s="181"/>
      <c r="J37" s="181"/>
      <c r="K37" s="181"/>
      <c r="L37" s="895"/>
      <c r="M37" s="895"/>
      <c r="N37" s="895"/>
      <c r="O37" s="895"/>
      <c r="P37" s="80"/>
      <c r="Q37" s="90"/>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33"/>
      <c r="C38" s="181"/>
      <c r="D38" s="183"/>
      <c r="E38" s="183"/>
      <c r="F38" s="201"/>
      <c r="G38" s="181"/>
      <c r="H38" s="181"/>
      <c r="I38" s="181"/>
      <c r="J38" s="181"/>
      <c r="K38" s="181"/>
      <c r="L38" s="895"/>
      <c r="M38" s="895"/>
      <c r="N38" s="895"/>
      <c r="O38" s="895"/>
      <c r="P38" s="80"/>
      <c r="Q38" s="90"/>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3"/>
      <c r="E39" s="183"/>
      <c r="F39" s="201"/>
      <c r="G39" s="181"/>
      <c r="H39" s="181"/>
      <c r="I39" s="181"/>
      <c r="J39" s="181"/>
      <c r="K39" s="181"/>
      <c r="L39" s="895"/>
      <c r="M39" s="895"/>
      <c r="N39" s="895"/>
      <c r="O39" s="895"/>
      <c r="P39" s="80"/>
      <c r="Q39" s="90"/>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86"/>
      <c r="AQ39" s="79"/>
      <c r="AR39" s="79"/>
    </row>
    <row r="40" ht="18" customHeight="1">
      <c r="C40" s="181"/>
      <c r="D40" s="183"/>
      <c r="E40" s="183"/>
      <c r="F40" s="201"/>
      <c r="G40" s="181"/>
      <c r="H40" s="181"/>
      <c r="I40" s="181"/>
      <c r="J40" s="181"/>
      <c r="K40" s="181"/>
      <c r="L40" s="895"/>
      <c r="M40" s="895"/>
      <c r="N40" s="895"/>
      <c r="O40" s="895"/>
      <c r="P40" s="80"/>
      <c r="Q40" s="90"/>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86"/>
      <c r="AQ40" s="79"/>
      <c r="AR40" s="79"/>
    </row>
    <row r="41" ht="18" customHeight="1">
      <c r="C41" s="181"/>
      <c r="D41" s="183"/>
      <c r="E41" s="183"/>
      <c r="F41" s="201"/>
      <c r="G41" s="181"/>
      <c r="H41" s="181"/>
      <c r="I41" s="181"/>
      <c r="J41" s="181"/>
      <c r="K41" s="181"/>
      <c r="L41" s="895"/>
      <c r="M41" s="895"/>
      <c r="N41" s="895"/>
      <c r="O41" s="895"/>
      <c r="P41" s="80"/>
      <c r="Q41" s="90"/>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86"/>
      <c r="AQ41" s="79"/>
      <c r="AR41" s="79"/>
    </row>
    <row r="42" ht="18" customHeight="1">
      <c r="C42" s="181"/>
      <c r="D42" s="183"/>
      <c r="E42" s="183"/>
      <c r="F42" s="201"/>
      <c r="G42" s="181"/>
      <c r="H42" s="181"/>
      <c r="I42" s="181"/>
      <c r="J42" s="181"/>
      <c r="K42" s="181"/>
      <c r="L42" s="895"/>
      <c r="M42" s="895"/>
      <c r="N42" s="895"/>
      <c r="O42" s="895"/>
      <c r="P42" s="80"/>
      <c r="Q42" s="90"/>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86"/>
      <c r="AQ42" s="79"/>
      <c r="AR42" s="79"/>
    </row>
    <row r="43" ht="18" customHeight="1">
      <c r="C43" s="181"/>
      <c r="D43" s="183"/>
      <c r="E43" s="183"/>
      <c r="F43" s="201"/>
      <c r="G43" s="181"/>
      <c r="H43" s="181"/>
      <c r="I43" s="181"/>
      <c r="J43" s="181"/>
      <c r="K43" s="181"/>
      <c r="L43" s="895"/>
      <c r="M43" s="895"/>
      <c r="N43" s="895"/>
      <c r="O43" s="895"/>
      <c r="P43" s="80"/>
      <c r="Q43" s="90"/>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86"/>
      <c r="AQ43" s="79"/>
      <c r="AR43" s="79"/>
    </row>
    <row r="44" ht="18" customHeight="1">
      <c r="C44" s="181"/>
      <c r="D44" s="183"/>
      <c r="E44" s="183"/>
      <c r="F44" s="201"/>
      <c r="G44" s="181"/>
      <c r="H44" s="181"/>
      <c r="I44" s="181"/>
      <c r="J44" s="181"/>
      <c r="K44" s="181"/>
      <c r="L44" s="895"/>
      <c r="M44" s="895"/>
      <c r="N44" s="895"/>
      <c r="O44" s="895"/>
      <c r="P44" s="80"/>
      <c r="Q44" s="90"/>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86"/>
      <c r="AQ44" s="79"/>
      <c r="AR44" s="79"/>
    </row>
    <row r="45" ht="18" customHeight="1">
      <c r="C45" s="181"/>
      <c r="D45" s="183"/>
      <c r="E45" s="183"/>
      <c r="F45" s="201"/>
      <c r="G45" s="181"/>
      <c r="H45" s="181"/>
      <c r="I45" s="181"/>
      <c r="J45" s="181"/>
      <c r="K45" s="181"/>
      <c r="L45" s="895"/>
      <c r="M45" s="895"/>
      <c r="N45" s="895"/>
      <c r="O45" s="895"/>
      <c r="P45" s="80"/>
      <c r="Q45" s="90"/>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86"/>
      <c r="AQ45" s="79"/>
      <c r="AR45" s="79"/>
    </row>
    <row r="46" ht="18" customHeight="1">
      <c r="C46" s="181"/>
      <c r="D46" s="183"/>
      <c r="E46" s="183"/>
      <c r="F46" s="201"/>
      <c r="G46" s="181"/>
      <c r="H46" s="181"/>
      <c r="I46" s="181"/>
      <c r="J46" s="181"/>
      <c r="K46" s="181"/>
      <c r="L46" s="895"/>
      <c r="M46" s="895"/>
      <c r="N46" s="895"/>
      <c r="O46" s="895"/>
      <c r="P46" s="80"/>
      <c r="Q46" s="90"/>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86"/>
      <c r="AQ46" s="79"/>
      <c r="AR46" s="79"/>
    </row>
    <row r="47" ht="0" hidden="1" customHeight="1">
      <c r="C47" s="181"/>
      <c r="D47" s="183"/>
      <c r="E47" s="183"/>
      <c r="F47" s="201"/>
      <c r="G47" s="181"/>
      <c r="H47" s="181"/>
      <c r="I47" s="181"/>
      <c r="J47" s="181"/>
      <c r="K47" s="181"/>
      <c r="L47" s="895"/>
      <c r="M47" s="895"/>
      <c r="N47" s="895"/>
      <c r="O47" s="895"/>
      <c r="P47" s="80"/>
      <c r="Q47" s="90"/>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86"/>
      <c r="AQ47" s="79"/>
      <c r="AR47" s="79"/>
    </row>
    <row r="48" ht="0" hidden="1" customHeight="1">
      <c r="C48" s="181"/>
      <c r="D48" s="183"/>
      <c r="E48" s="183"/>
      <c r="F48" s="201"/>
      <c r="G48" s="181"/>
      <c r="H48" s="181"/>
      <c r="I48" s="181"/>
      <c r="J48" s="181"/>
      <c r="K48" s="181"/>
      <c r="L48" s="895"/>
      <c r="M48" s="895"/>
      <c r="N48" s="895"/>
      <c r="O48" s="895"/>
      <c r="P48" s="80"/>
      <c r="Q48" s="90"/>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86"/>
      <c r="AQ48" s="79"/>
      <c r="AR48" s="79"/>
    </row>
    <row r="49" ht="0" hidden="1" customHeight="1">
      <c r="C49" s="181"/>
      <c r="D49" s="183"/>
      <c r="E49" s="183"/>
      <c r="F49" s="201"/>
      <c r="G49" s="181"/>
      <c r="H49" s="181"/>
      <c r="I49" s="181"/>
      <c r="J49" s="181"/>
      <c r="K49" s="181"/>
      <c r="L49" s="895"/>
      <c r="M49" s="895"/>
      <c r="N49" s="895"/>
      <c r="O49" s="895"/>
      <c r="P49" s="80"/>
      <c r="Q49" s="90"/>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86"/>
      <c r="AQ49" s="79"/>
      <c r="AR49" s="79"/>
    </row>
    <row r="50" ht="0" hidden="1" customHeight="1">
      <c r="C50" s="181"/>
      <c r="D50" s="183"/>
      <c r="E50" s="183"/>
      <c r="F50" s="201"/>
      <c r="G50" s="181"/>
      <c r="H50" s="181"/>
      <c r="I50" s="181"/>
      <c r="J50" s="181"/>
      <c r="K50" s="181"/>
      <c r="L50" s="895"/>
      <c r="M50" s="895"/>
      <c r="N50" s="895"/>
      <c r="O50" s="895"/>
      <c r="P50" s="80"/>
      <c r="Q50" s="90"/>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86"/>
      <c r="AQ50" s="79"/>
      <c r="AR50" s="79"/>
    </row>
    <row r="51" ht="0" hidden="1" customHeight="1">
      <c r="C51" s="181"/>
      <c r="D51" s="183"/>
      <c r="E51" s="183"/>
      <c r="F51" s="201"/>
      <c r="G51" s="181"/>
      <c r="H51" s="181"/>
      <c r="I51" s="181"/>
      <c r="J51" s="181"/>
      <c r="K51" s="181"/>
      <c r="L51" s="895"/>
      <c r="M51" s="895"/>
      <c r="N51" s="895"/>
      <c r="O51" s="895"/>
      <c r="P51" s="80"/>
      <c r="Q51" s="90"/>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86"/>
      <c r="AQ51" s="79"/>
      <c r="AR51" s="79"/>
    </row>
    <row r="52" s="0" customFormat="1" ht="0" hidden="1" customHeight="1">
      <c r="B52" s="33"/>
      <c r="C52" s="181"/>
      <c r="D52" s="183"/>
      <c r="E52" s="183"/>
      <c r="F52" s="201"/>
      <c r="G52" s="181"/>
      <c r="H52" s="181"/>
      <c r="I52" s="181"/>
      <c r="J52" s="181"/>
      <c r="K52" s="181"/>
      <c r="L52" s="895"/>
      <c r="M52" s="895"/>
      <c r="N52" s="895"/>
      <c r="O52" s="895"/>
      <c r="P52" s="80"/>
      <c r="Q52" s="90"/>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33"/>
      <c r="C53" s="181"/>
      <c r="D53" s="183"/>
      <c r="E53" s="183"/>
      <c r="F53" s="201"/>
      <c r="G53" s="181"/>
      <c r="H53" s="181"/>
      <c r="I53" s="181"/>
      <c r="J53" s="181"/>
      <c r="K53" s="181"/>
      <c r="L53" s="895"/>
      <c r="M53" s="895"/>
      <c r="N53" s="895"/>
      <c r="O53" s="895"/>
      <c r="P53" s="80"/>
      <c r="Q53" s="90"/>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33"/>
      <c r="C54" s="181"/>
      <c r="D54" s="183"/>
      <c r="E54" s="183"/>
      <c r="F54" s="201"/>
      <c r="G54" s="181"/>
      <c r="H54" s="181"/>
      <c r="I54" s="181"/>
      <c r="J54" s="181"/>
      <c r="K54" s="181"/>
      <c r="L54" s="895"/>
      <c r="M54" s="895"/>
      <c r="N54" s="895"/>
      <c r="O54" s="895"/>
      <c r="P54" s="80"/>
      <c r="Q54" s="90"/>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33"/>
      <c r="C55" s="181"/>
      <c r="D55" s="183"/>
      <c r="E55" s="183"/>
      <c r="F55" s="201"/>
      <c r="G55" s="181"/>
      <c r="H55" s="181"/>
      <c r="I55" s="181"/>
      <c r="J55" s="181"/>
      <c r="K55" s="181"/>
      <c r="L55" s="895"/>
      <c r="M55" s="895"/>
      <c r="N55" s="895"/>
      <c r="O55" s="895"/>
      <c r="P55" s="80"/>
      <c r="Q55" s="90"/>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33"/>
      <c r="C56" s="181"/>
      <c r="D56" s="183"/>
      <c r="E56" s="183"/>
      <c r="F56" s="201"/>
      <c r="G56" s="181"/>
      <c r="H56" s="181"/>
      <c r="I56" s="181"/>
      <c r="J56" s="181"/>
      <c r="K56" s="181"/>
      <c r="L56" s="895"/>
      <c r="M56" s="895"/>
      <c r="N56" s="895"/>
      <c r="O56" s="895"/>
      <c r="P56" s="80"/>
      <c r="Q56" s="90"/>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33"/>
      <c r="C57" s="181"/>
      <c r="D57" s="183"/>
      <c r="E57" s="183"/>
      <c r="F57" s="201"/>
      <c r="G57" s="181"/>
      <c r="H57" s="181"/>
      <c r="I57" s="181"/>
      <c r="J57" s="181"/>
      <c r="K57" s="181"/>
      <c r="L57" s="895"/>
      <c r="M57" s="895"/>
      <c r="N57" s="895"/>
      <c r="O57" s="895"/>
      <c r="P57" s="80"/>
      <c r="Q57" s="90"/>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33"/>
      <c r="C58" s="181"/>
      <c r="D58" s="183"/>
      <c r="E58" s="183"/>
      <c r="F58" s="201"/>
      <c r="G58" s="181"/>
      <c r="H58" s="181"/>
      <c r="I58" s="181"/>
      <c r="J58" s="181"/>
      <c r="K58" s="181"/>
      <c r="L58" s="895"/>
      <c r="M58" s="895"/>
      <c r="N58" s="895"/>
      <c r="O58" s="895"/>
      <c r="P58" s="80"/>
      <c r="Q58" s="90"/>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3"/>
      <c r="E59" s="183"/>
      <c r="F59" s="201"/>
      <c r="G59" s="181"/>
      <c r="H59" s="181"/>
      <c r="I59" s="181"/>
      <c r="J59" s="181"/>
      <c r="K59" s="181"/>
      <c r="L59" s="895"/>
      <c r="M59" s="895"/>
      <c r="N59" s="895"/>
      <c r="O59" s="895"/>
      <c r="P59" s="80"/>
      <c r="Q59" s="90"/>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86"/>
      <c r="AQ59" s="79"/>
      <c r="AR59" s="79"/>
    </row>
    <row r="60" ht="0" hidden="1" customHeight="1">
      <c r="C60" s="181"/>
      <c r="D60" s="183"/>
      <c r="E60" s="183"/>
      <c r="F60" s="201"/>
      <c r="G60" s="181"/>
      <c r="H60" s="181"/>
      <c r="I60" s="181"/>
      <c r="J60" s="181"/>
      <c r="K60" s="181"/>
      <c r="L60" s="895"/>
      <c r="M60" s="895"/>
      <c r="N60" s="895"/>
      <c r="O60" s="895"/>
      <c r="P60" s="80"/>
      <c r="Q60" s="90"/>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86"/>
      <c r="AQ60" s="79"/>
      <c r="AR60" s="79"/>
    </row>
    <row r="61" ht="0" hidden="1" customHeight="1">
      <c r="C61" s="181"/>
      <c r="D61" s="183"/>
      <c r="E61" s="183"/>
      <c r="F61" s="201"/>
      <c r="G61" s="181"/>
      <c r="H61" s="181"/>
      <c r="I61" s="181"/>
      <c r="J61" s="181"/>
      <c r="K61" s="181"/>
      <c r="L61" s="895"/>
      <c r="M61" s="895"/>
      <c r="N61" s="895"/>
      <c r="O61" s="895"/>
      <c r="P61" s="80"/>
      <c r="Q61" s="90"/>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86"/>
      <c r="AQ61" s="79"/>
      <c r="AR61" s="79"/>
    </row>
    <row r="62" ht="0" hidden="1" customHeight="1">
      <c r="C62" s="181"/>
      <c r="D62" s="183"/>
      <c r="E62" s="183"/>
      <c r="F62" s="201"/>
      <c r="G62" s="181"/>
      <c r="H62" s="181"/>
      <c r="I62" s="181"/>
      <c r="J62" s="181"/>
      <c r="K62" s="181"/>
      <c r="L62" s="895"/>
      <c r="M62" s="895"/>
      <c r="N62" s="895"/>
      <c r="O62" s="895"/>
      <c r="P62" s="80"/>
      <c r="Q62" s="90"/>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86"/>
      <c r="AQ62" s="79"/>
      <c r="AR62" s="79"/>
    </row>
    <row r="63" ht="0" hidden="1" customHeight="1">
      <c r="C63" s="181"/>
      <c r="D63" s="183"/>
      <c r="E63" s="183"/>
      <c r="F63" s="201"/>
      <c r="G63" s="181"/>
      <c r="H63" s="181"/>
      <c r="I63" s="181"/>
      <c r="J63" s="181"/>
      <c r="K63" s="181"/>
      <c r="L63" s="895"/>
      <c r="M63" s="895"/>
      <c r="N63" s="895"/>
      <c r="O63" s="895"/>
      <c r="P63" s="80"/>
      <c r="Q63" s="90"/>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86"/>
      <c r="AQ63" s="79"/>
      <c r="AR63" s="79"/>
    </row>
    <row r="64" ht="0" hidden="1" customHeight="1">
      <c r="C64" s="181"/>
      <c r="D64" s="183"/>
      <c r="E64" s="183"/>
      <c r="F64" s="201"/>
      <c r="G64" s="181"/>
      <c r="H64" s="181"/>
      <c r="I64" s="181"/>
      <c r="J64" s="181"/>
      <c r="K64" s="181"/>
      <c r="L64" s="895"/>
      <c r="M64" s="895"/>
      <c r="N64" s="895"/>
      <c r="O64" s="895"/>
      <c r="P64" s="80"/>
      <c r="Q64" s="90"/>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86"/>
      <c r="AQ64" s="79"/>
      <c r="AR64" s="79"/>
    </row>
    <row r="65" ht="0" hidden="1" customHeight="1">
      <c r="C65" s="181"/>
      <c r="D65" s="183"/>
      <c r="E65" s="183"/>
      <c r="F65" s="201"/>
      <c r="G65" s="181"/>
      <c r="H65" s="181"/>
      <c r="I65" s="181"/>
      <c r="J65" s="181"/>
      <c r="K65" s="181"/>
      <c r="L65" s="895"/>
      <c r="M65" s="895"/>
      <c r="N65" s="895"/>
      <c r="O65" s="895"/>
      <c r="P65" s="80"/>
      <c r="Q65" s="90"/>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86"/>
      <c r="AQ65" s="79"/>
      <c r="AR65" s="79"/>
    </row>
    <row r="66" ht="0" hidden="1" customHeight="1">
      <c r="C66" s="181"/>
      <c r="D66" s="183"/>
      <c r="E66" s="183"/>
      <c r="F66" s="201"/>
      <c r="G66" s="181"/>
      <c r="H66" s="181"/>
      <c r="I66" s="181"/>
      <c r="J66" s="181"/>
      <c r="K66" s="181"/>
      <c r="L66" s="895"/>
      <c r="M66" s="895"/>
      <c r="N66" s="895"/>
      <c r="O66" s="895"/>
      <c r="P66" s="80"/>
      <c r="Q66" s="90"/>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86"/>
      <c r="AQ66" s="79"/>
      <c r="AR66" s="79"/>
    </row>
    <row r="67" ht="0" hidden="1" customHeight="1">
      <c r="C67" s="181"/>
      <c r="D67" s="183"/>
      <c r="E67" s="183"/>
      <c r="F67" s="201"/>
      <c r="G67" s="181"/>
      <c r="H67" s="181"/>
      <c r="I67" s="181"/>
      <c r="J67" s="181"/>
      <c r="K67" s="181"/>
      <c r="L67" s="895"/>
      <c r="M67" s="895"/>
      <c r="N67" s="895"/>
      <c r="O67" s="895"/>
      <c r="P67" s="80"/>
      <c r="Q67" s="90"/>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86"/>
      <c r="AQ67" s="79"/>
      <c r="AR67" s="79"/>
    </row>
    <row r="68" ht="0" hidden="1" customHeight="1">
      <c r="C68" s="181"/>
      <c r="D68" s="183"/>
      <c r="E68" s="183"/>
      <c r="F68" s="201"/>
      <c r="G68" s="181"/>
      <c r="H68" s="181"/>
      <c r="I68" s="181"/>
      <c r="J68" s="181"/>
      <c r="K68" s="181"/>
      <c r="L68" s="895"/>
      <c r="M68" s="895"/>
      <c r="N68" s="895"/>
      <c r="O68" s="895"/>
      <c r="P68" s="80"/>
      <c r="Q68" s="90"/>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86"/>
      <c r="AQ68" s="79"/>
      <c r="AR68" s="79"/>
    </row>
    <row r="69" ht="0" hidden="1" customHeight="1">
      <c r="C69" s="181"/>
      <c r="D69" s="183"/>
      <c r="E69" s="183"/>
      <c r="F69" s="201"/>
      <c r="G69" s="181"/>
      <c r="H69" s="181"/>
      <c r="I69" s="181"/>
      <c r="J69" s="181"/>
      <c r="K69" s="181"/>
      <c r="L69" s="895"/>
      <c r="M69" s="895"/>
      <c r="N69" s="895"/>
      <c r="O69" s="895"/>
      <c r="P69" s="80"/>
      <c r="Q69" s="90"/>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86"/>
      <c r="AQ69" s="79"/>
      <c r="AR69" s="79"/>
    </row>
    <row r="70" ht="0" hidden="1" customHeight="1">
      <c r="C70" s="181"/>
      <c r="D70" s="183"/>
      <c r="E70" s="183"/>
      <c r="F70" s="201"/>
      <c r="G70" s="181"/>
      <c r="H70" s="181"/>
      <c r="I70" s="181"/>
      <c r="J70" s="181"/>
      <c r="K70" s="181"/>
      <c r="L70" s="895"/>
      <c r="M70" s="895"/>
      <c r="N70" s="895"/>
      <c r="O70" s="895"/>
      <c r="P70" s="80"/>
      <c r="Q70" s="90"/>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86"/>
      <c r="AQ70" s="79"/>
      <c r="AR70" s="79"/>
    </row>
    <row r="71" ht="0" hidden="1" customHeight="1">
      <c r="C71" s="181"/>
      <c r="D71" s="183"/>
      <c r="E71" s="183"/>
      <c r="F71" s="201"/>
      <c r="G71" s="181"/>
      <c r="H71" s="181"/>
      <c r="I71" s="181"/>
      <c r="J71" s="181"/>
      <c r="K71" s="181"/>
      <c r="L71" s="895"/>
      <c r="M71" s="895"/>
      <c r="N71" s="895"/>
      <c r="O71" s="895"/>
      <c r="P71" s="80"/>
      <c r="Q71" s="90"/>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86"/>
      <c r="AQ71" s="79"/>
      <c r="AR71" s="79"/>
    </row>
    <row r="72" ht="0" hidden="1" customHeight="1">
      <c r="C72" s="181"/>
      <c r="D72" s="183"/>
      <c r="E72" s="183"/>
      <c r="F72" s="201"/>
      <c r="G72" s="181"/>
      <c r="H72" s="181"/>
      <c r="I72" s="181"/>
      <c r="J72" s="181"/>
      <c r="K72" s="181"/>
      <c r="L72" s="895"/>
      <c r="M72" s="895"/>
      <c r="N72" s="895"/>
      <c r="O72" s="895"/>
      <c r="P72" s="80"/>
      <c r="Q72" s="90"/>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86"/>
      <c r="AQ72" s="79"/>
      <c r="AR72" s="79"/>
    </row>
    <row r="73" ht="0" hidden="1" customHeight="1">
      <c r="C73" s="181"/>
      <c r="D73" s="183"/>
      <c r="E73" s="183"/>
      <c r="F73" s="201"/>
      <c r="G73" s="181"/>
      <c r="H73" s="181"/>
      <c r="I73" s="181"/>
      <c r="J73" s="181"/>
      <c r="K73" s="181"/>
      <c r="L73" s="895"/>
      <c r="M73" s="895"/>
      <c r="N73" s="895"/>
      <c r="O73" s="895"/>
      <c r="P73" s="80"/>
      <c r="Q73" s="90"/>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86"/>
      <c r="AQ73" s="79"/>
      <c r="AR73" s="79"/>
    </row>
    <row r="74" ht="0" hidden="1" customHeight="1">
      <c r="C74" s="181"/>
      <c r="D74" s="183"/>
      <c r="E74" s="183"/>
      <c r="F74" s="201"/>
      <c r="G74" s="181"/>
      <c r="H74" s="181"/>
      <c r="I74" s="181"/>
      <c r="J74" s="181"/>
      <c r="K74" s="181"/>
      <c r="L74" s="895"/>
      <c r="M74" s="895"/>
      <c r="N74" s="895"/>
      <c r="O74" s="895"/>
      <c r="P74" s="80"/>
      <c r="Q74" s="90"/>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86"/>
      <c r="AQ74" s="79"/>
      <c r="AR74" s="79"/>
    </row>
    <row r="75" ht="0" hidden="1" customHeight="1">
      <c r="C75" s="181"/>
      <c r="D75" s="183"/>
      <c r="E75" s="183"/>
      <c r="F75" s="201"/>
      <c r="G75" s="181"/>
      <c r="H75" s="181"/>
      <c r="I75" s="181"/>
      <c r="J75" s="181"/>
      <c r="K75" s="181"/>
      <c r="L75" s="895"/>
      <c r="M75" s="895"/>
      <c r="N75" s="895"/>
      <c r="O75" s="895"/>
      <c r="P75" s="80"/>
      <c r="Q75" s="90"/>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86"/>
      <c r="AQ75" s="79"/>
      <c r="AR75" s="79"/>
    </row>
    <row r="76" ht="0" hidden="1" customHeight="1">
      <c r="C76" s="181"/>
      <c r="D76" s="183"/>
      <c r="E76" s="183"/>
      <c r="F76" s="201"/>
      <c r="G76" s="181"/>
      <c r="H76" s="181"/>
      <c r="I76" s="181"/>
      <c r="J76" s="181"/>
      <c r="K76" s="181"/>
      <c r="L76" s="895"/>
      <c r="M76" s="895"/>
      <c r="N76" s="895"/>
      <c r="O76" s="895"/>
      <c r="P76" s="80"/>
      <c r="Q76" s="90"/>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86"/>
      <c r="AQ76" s="79"/>
      <c r="AR76" s="79"/>
    </row>
    <row r="77" ht="0" hidden="1" customHeight="1">
      <c r="C77" s="181"/>
      <c r="D77" s="183"/>
      <c r="E77" s="183"/>
      <c r="F77" s="201"/>
      <c r="G77" s="181"/>
      <c r="H77" s="181"/>
      <c r="I77" s="181"/>
      <c r="J77" s="181"/>
      <c r="K77" s="181"/>
      <c r="L77" s="895"/>
      <c r="M77" s="895"/>
      <c r="N77" s="895"/>
      <c r="O77" s="895"/>
      <c r="P77" s="80"/>
      <c r="Q77" s="90"/>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86"/>
      <c r="AQ77" s="79"/>
      <c r="AR77" s="79"/>
    </row>
    <row r="78" ht="0" hidden="1" customHeight="1">
      <c r="C78" s="181"/>
      <c r="D78" s="183"/>
      <c r="E78" s="183"/>
      <c r="F78" s="201"/>
      <c r="G78" s="181"/>
      <c r="H78" s="181"/>
      <c r="I78" s="181"/>
      <c r="J78" s="181"/>
      <c r="K78" s="181"/>
      <c r="L78" s="895"/>
      <c r="M78" s="895"/>
      <c r="N78" s="895"/>
      <c r="O78" s="895"/>
      <c r="P78" s="80"/>
      <c r="Q78" s="90"/>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86"/>
      <c r="AQ78" s="79"/>
      <c r="AR78" s="79"/>
    </row>
    <row r="79" ht="0" hidden="1" customHeight="1">
      <c r="C79" s="181"/>
      <c r="D79" s="183"/>
      <c r="E79" s="183"/>
      <c r="F79" s="201"/>
      <c r="G79" s="181"/>
      <c r="H79" s="181"/>
      <c r="I79" s="181"/>
      <c r="J79" s="181"/>
      <c r="K79" s="181"/>
      <c r="L79" s="895"/>
      <c r="M79" s="895"/>
      <c r="N79" s="895"/>
      <c r="O79" s="895"/>
      <c r="P79" s="80"/>
      <c r="Q79" s="90"/>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86"/>
      <c r="AQ79" s="79"/>
      <c r="AR79" s="79"/>
    </row>
    <row r="80" ht="0" hidden="1" customHeight="1">
      <c r="C80" s="181"/>
      <c r="D80" s="183"/>
      <c r="E80" s="183"/>
      <c r="F80" s="201"/>
      <c r="G80" s="181"/>
      <c r="H80" s="181"/>
      <c r="I80" s="181"/>
      <c r="J80" s="181"/>
      <c r="K80" s="181"/>
      <c r="L80" s="895"/>
      <c r="M80" s="895"/>
      <c r="N80" s="895"/>
      <c r="O80" s="895"/>
      <c r="P80" s="80"/>
      <c r="Q80" s="90"/>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86"/>
      <c r="AQ80" s="79"/>
      <c r="AR80" s="79"/>
    </row>
    <row r="81" ht="0" hidden="1" customHeight="1">
      <c r="C81" s="181"/>
      <c r="D81" s="183"/>
      <c r="E81" s="183"/>
      <c r="F81" s="201"/>
      <c r="G81" s="181"/>
      <c r="H81" s="181"/>
      <c r="I81" s="181"/>
      <c r="J81" s="181"/>
      <c r="K81" s="181"/>
      <c r="L81" s="895"/>
      <c r="M81" s="895"/>
      <c r="N81" s="895"/>
      <c r="O81" s="895"/>
      <c r="P81" s="80"/>
      <c r="Q81" s="90"/>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86"/>
      <c r="AQ81" s="79"/>
      <c r="AR81" s="79"/>
    </row>
    <row r="82" ht="0" hidden="1" customHeight="1">
      <c r="C82" s="181"/>
      <c r="D82" s="183"/>
      <c r="E82" s="183"/>
      <c r="F82" s="201"/>
      <c r="G82" s="181"/>
      <c r="H82" s="181"/>
      <c r="I82" s="181"/>
      <c r="J82" s="181"/>
      <c r="K82" s="181"/>
      <c r="L82" s="895"/>
      <c r="M82" s="895"/>
      <c r="N82" s="895"/>
      <c r="O82" s="895"/>
      <c r="P82" s="80"/>
      <c r="Q82" s="90"/>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86"/>
      <c r="AQ82" s="79"/>
      <c r="AR82" s="79"/>
    </row>
    <row r="83" ht="0" hidden="1" customHeight="1">
      <c r="C83" s="181"/>
      <c r="D83" s="183"/>
      <c r="E83" s="183"/>
      <c r="F83" s="201"/>
      <c r="G83" s="181"/>
      <c r="H83" s="181"/>
      <c r="I83" s="181"/>
      <c r="J83" s="181"/>
      <c r="K83" s="181"/>
      <c r="L83" s="895"/>
      <c r="M83" s="895"/>
      <c r="N83" s="895"/>
      <c r="O83" s="895"/>
      <c r="P83" s="80"/>
      <c r="Q83" s="90"/>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86"/>
      <c r="AQ83" s="79"/>
      <c r="AR83" s="79"/>
    </row>
    <row r="84" ht="0" hidden="1" customHeight="1">
      <c r="C84" s="181"/>
      <c r="D84" s="183"/>
      <c r="E84" s="183"/>
      <c r="F84" s="201"/>
      <c r="G84" s="181"/>
      <c r="H84" s="181"/>
      <c r="I84" s="181"/>
      <c r="J84" s="181"/>
      <c r="K84" s="181"/>
      <c r="L84" s="895"/>
      <c r="M84" s="895"/>
      <c r="N84" s="895"/>
      <c r="O84" s="895"/>
      <c r="P84" s="80"/>
      <c r="Q84" s="90"/>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86"/>
      <c r="AQ84" s="79"/>
      <c r="AR84" s="79"/>
    </row>
    <row r="85" ht="0" hidden="1" customHeight="1">
      <c r="C85" s="181"/>
      <c r="D85" s="183"/>
      <c r="E85" s="183"/>
      <c r="F85" s="201"/>
      <c r="G85" s="181"/>
      <c r="H85" s="181"/>
      <c r="I85" s="181"/>
      <c r="J85" s="181"/>
      <c r="K85" s="181"/>
      <c r="L85" s="895"/>
      <c r="M85" s="895"/>
      <c r="N85" s="895"/>
      <c r="O85" s="895"/>
      <c r="P85" s="80"/>
      <c r="Q85" s="90"/>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86"/>
      <c r="AQ85" s="79"/>
      <c r="AR85" s="79"/>
    </row>
    <row r="86" ht="0" hidden="1" customHeight="1">
      <c r="C86" s="181"/>
      <c r="D86" s="183"/>
      <c r="E86" s="183"/>
      <c r="F86" s="201"/>
      <c r="G86" s="181"/>
      <c r="H86" s="181"/>
      <c r="I86" s="181"/>
      <c r="J86" s="181"/>
      <c r="K86" s="181"/>
      <c r="L86" s="895"/>
      <c r="M86" s="895"/>
      <c r="N86" s="895"/>
      <c r="O86" s="895"/>
      <c r="P86" s="80"/>
      <c r="Q86" s="90"/>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86"/>
      <c r="AQ86" s="79"/>
      <c r="AR86" s="79"/>
    </row>
    <row r="87" ht="0" hidden="1" customHeight="1">
      <c r="C87" s="181"/>
      <c r="D87" s="183"/>
      <c r="E87" s="183"/>
      <c r="F87" s="201"/>
      <c r="G87" s="181"/>
      <c r="H87" s="181"/>
      <c r="I87" s="181"/>
      <c r="J87" s="181"/>
      <c r="K87" s="181"/>
      <c r="L87" s="895"/>
      <c r="M87" s="895"/>
      <c r="N87" s="895"/>
      <c r="O87" s="895"/>
      <c r="P87" s="80"/>
      <c r="Q87" s="90"/>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86"/>
      <c r="AQ87" s="79"/>
      <c r="AR87" s="79"/>
    </row>
    <row r="88" ht="0" hidden="1" customHeight="1">
      <c r="C88" s="181"/>
      <c r="D88" s="183"/>
      <c r="E88" s="183"/>
      <c r="F88" s="201"/>
      <c r="G88" s="181"/>
      <c r="H88" s="181"/>
      <c r="I88" s="181"/>
      <c r="J88" s="181"/>
      <c r="K88" s="181"/>
      <c r="L88" s="895"/>
      <c r="M88" s="895"/>
      <c r="N88" s="895"/>
      <c r="O88" s="895"/>
      <c r="P88" s="80"/>
      <c r="Q88" s="90"/>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86"/>
      <c r="AQ88" s="79"/>
      <c r="AR88" s="79"/>
    </row>
    <row r="89" ht="0" hidden="1" customHeight="1">
      <c r="C89" s="181"/>
      <c r="D89" s="183"/>
      <c r="E89" s="183"/>
      <c r="F89" s="201"/>
      <c r="G89" s="181"/>
      <c r="H89" s="181"/>
      <c r="I89" s="181"/>
      <c r="J89" s="181"/>
      <c r="K89" s="181"/>
      <c r="L89" s="895"/>
      <c r="M89" s="895"/>
      <c r="N89" s="895"/>
      <c r="O89" s="895"/>
      <c r="P89" s="80"/>
      <c r="Q89" s="90"/>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86"/>
      <c r="AQ89" s="79"/>
      <c r="AR89" s="79"/>
    </row>
    <row r="90" ht="0" hidden="1" customHeight="1">
      <c r="C90" s="181"/>
      <c r="D90" s="183"/>
      <c r="E90" s="183"/>
      <c r="F90" s="201"/>
      <c r="G90" s="181"/>
      <c r="H90" s="181"/>
      <c r="I90" s="181"/>
      <c r="J90" s="181"/>
      <c r="K90" s="181"/>
      <c r="L90" s="895"/>
      <c r="M90" s="895"/>
      <c r="N90" s="895"/>
      <c r="O90" s="895"/>
      <c r="P90" s="80"/>
      <c r="Q90" s="90"/>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86"/>
      <c r="AQ90" s="79"/>
      <c r="AR90" s="79"/>
    </row>
    <row r="91" ht="0" hidden="1" customHeight="1">
      <c r="C91" s="181"/>
      <c r="D91" s="183"/>
      <c r="E91" s="183"/>
      <c r="F91" s="201"/>
      <c r="G91" s="181"/>
      <c r="H91" s="181"/>
      <c r="I91" s="181"/>
      <c r="J91" s="181"/>
      <c r="K91" s="181"/>
      <c r="L91" s="895"/>
      <c r="M91" s="895"/>
      <c r="N91" s="895"/>
      <c r="O91" s="895"/>
      <c r="P91" s="80"/>
      <c r="Q91" s="90"/>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86"/>
      <c r="AQ91" s="79"/>
      <c r="AR91" s="79"/>
    </row>
    <row r="92" ht="0" hidden="1" customHeight="1">
      <c r="C92" s="181"/>
      <c r="D92" s="183"/>
      <c r="E92" s="183"/>
      <c r="F92" s="201"/>
      <c r="G92" s="181"/>
      <c r="H92" s="181"/>
      <c r="I92" s="181"/>
      <c r="J92" s="181"/>
      <c r="K92" s="181"/>
      <c r="L92" s="895"/>
      <c r="M92" s="895"/>
      <c r="N92" s="895"/>
      <c r="O92" s="895"/>
      <c r="P92" s="80"/>
      <c r="Q92" s="90"/>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86"/>
      <c r="AQ92" s="79"/>
      <c r="AR92" s="79"/>
    </row>
    <row r="93" ht="0" hidden="1" customHeight="1">
      <c r="C93" s="181"/>
      <c r="D93" s="183"/>
      <c r="E93" s="183"/>
      <c r="F93" s="201"/>
      <c r="G93" s="181"/>
      <c r="H93" s="181"/>
      <c r="I93" s="181"/>
      <c r="J93" s="181"/>
      <c r="K93" s="181"/>
      <c r="L93" s="895"/>
      <c r="M93" s="895"/>
      <c r="N93" s="895"/>
      <c r="O93" s="895"/>
      <c r="P93" s="80"/>
      <c r="Q93" s="90"/>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86"/>
      <c r="AQ93" s="79"/>
      <c r="AR93" s="79"/>
    </row>
    <row r="94" ht="0" hidden="1" customHeight="1">
      <c r="C94" s="181"/>
      <c r="D94" s="183"/>
      <c r="E94" s="183"/>
      <c r="F94" s="201"/>
      <c r="G94" s="181"/>
      <c r="H94" s="181"/>
      <c r="I94" s="181"/>
      <c r="J94" s="181"/>
      <c r="K94" s="181"/>
      <c r="L94" s="895"/>
      <c r="M94" s="895"/>
      <c r="N94" s="895"/>
      <c r="O94" s="895"/>
      <c r="P94" s="80"/>
      <c r="Q94" s="90"/>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86"/>
      <c r="AQ94" s="79"/>
      <c r="AR94" s="79"/>
    </row>
    <row r="95" ht="0" hidden="1" customHeight="1">
      <c r="C95" s="181"/>
      <c r="D95" s="183"/>
      <c r="E95" s="183"/>
      <c r="F95" s="201"/>
      <c r="G95" s="181"/>
      <c r="H95" s="181"/>
      <c r="I95" s="181"/>
      <c r="J95" s="181"/>
      <c r="K95" s="181"/>
      <c r="L95" s="895"/>
      <c r="M95" s="895"/>
      <c r="N95" s="895"/>
      <c r="O95" s="895"/>
      <c r="P95" s="80"/>
      <c r="Q95" s="90"/>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86"/>
      <c r="AQ95" s="79"/>
      <c r="AR95" s="79"/>
    </row>
    <row r="96" ht="0" hidden="1" customHeight="1">
      <c r="C96" s="181"/>
      <c r="D96" s="183"/>
      <c r="E96" s="183"/>
      <c r="F96" s="201"/>
      <c r="G96" s="181"/>
      <c r="H96" s="181"/>
      <c r="I96" s="181"/>
      <c r="J96" s="181"/>
      <c r="K96" s="181"/>
      <c r="L96" s="895"/>
      <c r="M96" s="895"/>
      <c r="N96" s="895"/>
      <c r="O96" s="895"/>
      <c r="P96" s="80"/>
      <c r="Q96" s="90"/>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86"/>
      <c r="AQ96" s="79"/>
      <c r="AR96" s="79"/>
    </row>
    <row r="97" ht="0" hidden="1" customHeight="1">
      <c r="C97" s="181"/>
      <c r="D97" s="183"/>
      <c r="E97" s="183"/>
      <c r="F97" s="201"/>
      <c r="G97" s="181"/>
      <c r="H97" s="181"/>
      <c r="I97" s="181"/>
      <c r="J97" s="181"/>
      <c r="K97" s="181"/>
      <c r="L97" s="895"/>
      <c r="M97" s="895"/>
      <c r="N97" s="895"/>
      <c r="O97" s="895"/>
      <c r="P97" s="80"/>
      <c r="Q97" s="90"/>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86"/>
      <c r="AQ97" s="79"/>
      <c r="AR97" s="79"/>
    </row>
    <row r="98" ht="0" hidden="1" customHeight="1">
      <c r="C98" s="181"/>
      <c r="D98" s="183"/>
      <c r="E98" s="183"/>
      <c r="F98" s="201"/>
      <c r="G98" s="181"/>
      <c r="H98" s="181"/>
      <c r="I98" s="181"/>
      <c r="J98" s="181"/>
      <c r="K98" s="181"/>
      <c r="L98" s="895"/>
      <c r="M98" s="895"/>
      <c r="N98" s="895"/>
      <c r="O98" s="895"/>
      <c r="P98" s="80"/>
      <c r="Q98" s="90"/>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86"/>
      <c r="AQ98" s="79"/>
      <c r="AR98" s="79"/>
    </row>
    <row r="99" ht="0" hidden="1" customHeight="1">
      <c r="C99" s="181"/>
      <c r="D99" s="183"/>
      <c r="E99" s="183"/>
      <c r="F99" s="201"/>
      <c r="G99" s="181"/>
      <c r="H99" s="181"/>
      <c r="I99" s="181"/>
      <c r="J99" s="181"/>
      <c r="K99" s="181"/>
      <c r="L99" s="895"/>
      <c r="M99" s="895"/>
      <c r="N99" s="895"/>
      <c r="O99" s="895"/>
      <c r="P99" s="80"/>
      <c r="Q99" s="90"/>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86"/>
      <c r="AQ99" s="79"/>
      <c r="AR99" s="79"/>
    </row>
    <row r="100" ht="0" hidden="1" customHeight="1">
      <c r="C100" s="181"/>
      <c r="D100" s="183"/>
      <c r="E100" s="183"/>
      <c r="F100" s="201"/>
      <c r="G100" s="181"/>
      <c r="H100" s="181"/>
      <c r="I100" s="181"/>
      <c r="J100" s="181"/>
      <c r="K100" s="181"/>
      <c r="L100" s="895"/>
      <c r="M100" s="895"/>
      <c r="N100" s="895"/>
      <c r="O100" s="895"/>
      <c r="P100" s="80"/>
      <c r="Q100" s="90"/>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86"/>
      <c r="AQ100" s="48"/>
      <c r="AR100" s="48"/>
    </row>
    <row r="101" ht="0" hidden="1" customHeight="1">
      <c r="C101" s="181"/>
      <c r="D101" s="183"/>
      <c r="E101" s="183"/>
      <c r="F101" s="201"/>
      <c r="G101" s="181"/>
      <c r="H101" s="181"/>
      <c r="I101" s="181"/>
      <c r="J101" s="181"/>
      <c r="K101" s="181"/>
      <c r="L101" s="895"/>
      <c r="M101" s="895"/>
      <c r="N101" s="895"/>
      <c r="O101" s="895"/>
      <c r="P101" s="80"/>
      <c r="Q101" s="54"/>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79"/>
      <c r="AR101" s="79"/>
    </row>
    <row r="102" ht="18" customHeight="1">
      <c r="C102" s="181"/>
      <c r="D102" s="183"/>
      <c r="E102" s="183"/>
      <c r="F102" s="201"/>
      <c r="G102" s="181"/>
      <c r="H102" s="181"/>
      <c r="I102" s="181"/>
      <c r="J102" s="181"/>
      <c r="K102" s="181"/>
      <c r="L102" s="895"/>
      <c r="M102" s="895"/>
      <c r="N102" s="895"/>
      <c r="O102" s="895"/>
      <c r="P102" s="80"/>
      <c r="Q102" s="54"/>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79"/>
      <c r="AR102" s="79"/>
    </row>
    <row r="103" ht="18" customHeight="1">
      <c r="C103" s="181"/>
      <c r="D103" s="183"/>
      <c r="E103" s="183"/>
      <c r="F103" s="201"/>
      <c r="G103" s="181"/>
      <c r="H103" s="181"/>
      <c r="I103" s="181"/>
      <c r="J103" s="181"/>
      <c r="K103" s="181"/>
      <c r="L103" s="895"/>
      <c r="M103" s="895"/>
      <c r="N103" s="895"/>
      <c r="O103" s="895"/>
      <c r="P103" s="80"/>
      <c r="Q103" s="54"/>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ht="9" customHeight="1">
      <c r="E104" s="81"/>
      <c r="F104" s="202"/>
      <c r="R104" s="47"/>
      <c r="S104" s="47"/>
      <c r="T104" s="47"/>
      <c r="U104" s="47"/>
      <c r="V104" s="47"/>
      <c r="W104" s="47"/>
      <c r="X104" s="47"/>
      <c r="Y104" s="47"/>
      <c r="Z104" s="87"/>
      <c r="AA104" s="47"/>
      <c r="AB104" s="47"/>
      <c r="AC104" s="88"/>
      <c r="AD104" s="88"/>
      <c r="AE104" s="88"/>
      <c r="AF104" s="83"/>
      <c r="AG104" s="47"/>
      <c r="AH104" s="47"/>
      <c r="AI104" s="47"/>
      <c r="AJ104" s="88"/>
      <c r="AK104" s="47"/>
      <c r="AL104" s="47"/>
      <c r="AM104" s="47"/>
      <c r="AN104" s="47"/>
      <c r="AO104" s="47"/>
      <c r="AP104" s="47"/>
    </row>
    <row r="105" ht="39.95" customHeight="1">
      <c r="B105" s="34"/>
      <c r="C105" s="988" t="s">
        <v>126</v>
      </c>
      <c r="D105" s="988"/>
      <c r="E105" s="988"/>
      <c r="F105" s="988"/>
      <c r="G105" s="988"/>
      <c r="H105" s="988"/>
      <c r="I105" s="988"/>
      <c r="J105" s="988"/>
      <c r="K105" s="988"/>
      <c r="L105" s="988"/>
      <c r="M105" s="988"/>
      <c r="N105" s="988"/>
      <c r="O105" s="988"/>
      <c r="P105" s="988"/>
      <c r="Q105" s="988"/>
      <c r="R105" s="988"/>
      <c r="S105" s="988"/>
      <c r="T105" s="988"/>
      <c r="U105" s="988"/>
      <c r="V105" s="988"/>
      <c r="W105" s="988"/>
      <c r="X105" s="988"/>
      <c r="Y105" s="988"/>
      <c r="Z105" s="988"/>
      <c r="AA105" s="988"/>
      <c r="AB105" s="988"/>
      <c r="AC105" s="988"/>
      <c r="AD105" s="988"/>
      <c r="AE105" s="988"/>
      <c r="AF105" s="988"/>
      <c r="AG105" s="988"/>
      <c r="AH105" s="988"/>
      <c r="AI105" s="988"/>
      <c r="AJ105" s="988"/>
      <c r="AK105" s="988"/>
      <c r="AL105" s="988"/>
      <c r="AM105" s="988"/>
      <c r="AN105" s="988"/>
      <c r="AO105" s="988"/>
      <c r="AP105" s="233"/>
    </row>
    <row r="106" s="84" customFormat="1" ht="12" customHeight="1">
      <c r="B106" s="85"/>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30:K30"/>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U21"/>
    <mergeCell ref="V21:AG21"/>
    <mergeCell ref="AH21:AO21"/>
    <mergeCell ref="H29:K29"/>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M43"/>
  <sheetViews>
    <sheetView showGridLines="0" zoomScaleNormal="100" workbookViewId="0"/>
  </sheetViews>
  <sheetFormatPr defaultColWidth="8.85546875" defaultRowHeight="15"/>
  <cols>
    <col min="1" max="1" width="4.28515625" style="640" customWidth="1"/>
    <col min="2" max="2" width="3.42578125" style="640" customWidth="1"/>
    <col min="3" max="3" width="6.85546875" style="640" customWidth="1"/>
    <col min="4" max="4" width="8.85546875" style="640" customWidth="1"/>
    <col min="5" max="5" width="39" style="640" customWidth="1"/>
    <col min="6" max="6" width="30" style="640" customWidth="1"/>
    <col min="7" max="9" width="8.85546875" style="640" customWidth="1"/>
    <col min="10" max="10" width="12" style="640" customWidth="1"/>
    <col min="11" max="11" width="8.85546875" style="640" customWidth="1"/>
    <col min="12" max="12" width="18.28515625" style="640" customWidth="1"/>
    <col min="13" max="16384" width="8.85546875" style="640" customWidth="1"/>
  </cols>
  <sheetData>
    <row r="1">
      <c r="M1" s="640"/>
    </row>
    <row r="2" ht="84" customHeight="1">
      <c r="B2" s="641"/>
      <c r="C2" s="642"/>
      <c r="K2" s="643"/>
      <c r="M2" s="643"/>
    </row>
    <row r="3" ht="15" customHeight="1">
      <c r="B3" s="641"/>
    </row>
    <row r="4">
      <c r="A4" s="644" t="s">
        <v>114</v>
      </c>
      <c r="B4" s="645"/>
      <c r="C4" s="645"/>
      <c r="D4" s="645"/>
      <c r="E4" s="645"/>
      <c r="F4" s="645"/>
      <c r="G4" s="645"/>
      <c r="H4" s="645"/>
      <c r="I4" s="645"/>
      <c r="J4" s="645"/>
      <c r="K4" s="645"/>
    </row>
    <row r="5">
      <c r="A5" s="691" t="s">
        <v>121</v>
      </c>
      <c r="B5" s="691"/>
      <c r="C5" s="691"/>
      <c r="D5" s="691"/>
      <c r="E5" s="691"/>
      <c r="F5" s="691"/>
      <c r="G5" s="645"/>
      <c r="H5" s="645"/>
      <c r="I5" s="645"/>
      <c r="J5" s="645"/>
      <c r="K5" s="645"/>
    </row>
    <row r="6">
      <c r="A6" s="645"/>
      <c r="B6" s="645"/>
      <c r="C6" s="645"/>
      <c r="D6" s="645"/>
      <c r="E6" s="645"/>
      <c r="F6" s="645"/>
      <c r="G6" s="645"/>
      <c r="H6" s="645"/>
      <c r="I6" s="645"/>
      <c r="J6" s="645"/>
      <c r="K6" s="645"/>
    </row>
    <row r="7">
      <c r="A7" s="645"/>
      <c r="B7" s="645"/>
      <c r="C7" s="645"/>
      <c r="D7" s="645"/>
      <c r="E7" s="645"/>
      <c r="F7" s="645"/>
      <c r="G7" s="645"/>
      <c r="H7" s="645"/>
      <c r="I7" s="645"/>
      <c r="J7" s="645"/>
      <c r="K7" s="645"/>
    </row>
    <row r="8">
      <c r="A8" s="644" t="s">
        <v>115</v>
      </c>
      <c r="B8" s="645"/>
      <c r="C8" s="645"/>
      <c r="D8" s="645"/>
      <c r="E8" s="645"/>
      <c r="F8" s="645"/>
      <c r="G8" s="645"/>
      <c r="H8" s="645"/>
      <c r="I8" s="645"/>
      <c r="J8" s="645"/>
      <c r="K8" s="645"/>
    </row>
    <row r="9">
      <c r="A9" s="691" t="s">
        <v>122</v>
      </c>
      <c r="B9" s="691"/>
      <c r="C9" s="691"/>
      <c r="D9" s="691"/>
      <c r="E9" s="691"/>
      <c r="F9" s="691"/>
      <c r="G9" s="645"/>
      <c r="H9" s="645"/>
      <c r="I9" s="645"/>
      <c r="J9" s="645"/>
      <c r="K9" s="645"/>
    </row>
    <row r="10">
      <c r="A10" s="690"/>
      <c r="B10" s="690"/>
      <c r="C10" s="690"/>
      <c r="D10" s="690"/>
      <c r="E10" s="690"/>
      <c r="F10" s="690"/>
      <c r="G10" s="645"/>
      <c r="H10" s="645"/>
      <c r="I10" s="645"/>
      <c r="J10" s="645"/>
      <c r="K10" s="645"/>
    </row>
    <row r="11">
      <c r="A11" s="645"/>
      <c r="B11" s="645"/>
      <c r="C11" s="645"/>
      <c r="D11" s="645"/>
      <c r="E11" s="645"/>
      <c r="F11" s="645"/>
      <c r="G11" s="645"/>
      <c r="H11" s="645"/>
      <c r="I11" s="645"/>
      <c r="J11" s="645"/>
      <c r="K11" s="645"/>
    </row>
    <row r="12">
      <c r="A12" s="690" t="s">
        <v>123</v>
      </c>
      <c r="B12" s="690"/>
      <c r="C12" s="690"/>
      <c r="D12" s="690"/>
      <c r="E12" s="690"/>
      <c r="F12" s="645"/>
      <c r="G12" s="645"/>
      <c r="H12" s="645"/>
      <c r="I12" s="645"/>
      <c r="J12" s="645"/>
      <c r="K12" s="645"/>
    </row>
    <row r="13">
      <c r="A13" s="645"/>
      <c r="B13" s="645"/>
      <c r="C13" s="645"/>
      <c r="D13" s="645"/>
      <c r="E13" s="645"/>
      <c r="F13" s="645"/>
      <c r="G13" s="645"/>
      <c r="H13" s="645"/>
      <c r="I13" s="645"/>
      <c r="J13" s="645"/>
      <c r="K13" s="645"/>
    </row>
    <row r="14" ht="16.5" customHeight="1">
      <c r="A14" s="990" t="s">
        <v>116</v>
      </c>
      <c r="B14" s="990"/>
      <c r="C14" s="990"/>
      <c r="D14" s="990"/>
      <c r="E14" s="990"/>
      <c r="F14" s="990"/>
      <c r="G14" s="990"/>
      <c r="H14" s="990"/>
      <c r="I14" s="990"/>
      <c r="J14" s="646"/>
      <c r="K14" s="645"/>
    </row>
    <row r="15" ht="15" customHeight="1">
      <c r="A15" s="990" t="s">
        <v>117</v>
      </c>
      <c r="B15" s="990"/>
      <c r="C15" s="990"/>
      <c r="D15" s="990"/>
      <c r="E15" s="990"/>
      <c r="F15" s="990"/>
      <c r="G15" s="990"/>
      <c r="H15" s="990"/>
      <c r="I15" s="990"/>
      <c r="J15" s="646"/>
      <c r="K15" s="646"/>
      <c r="L15" s="646"/>
    </row>
    <row r="16">
      <c r="C16" s="647"/>
      <c r="D16" s="647"/>
      <c r="E16" s="647"/>
      <c r="F16" s="647"/>
      <c r="G16" s="647"/>
      <c r="H16" s="647"/>
      <c r="I16" s="647"/>
      <c r="J16" s="647"/>
      <c r="K16" s="647"/>
      <c r="L16" s="647"/>
    </row>
    <row r="43">
      <c r="A43" s="640"/>
    </row>
  </sheetData>
  <mergeCells count="2">
    <mergeCell ref="A15:I15"/>
    <mergeCell ref="A14:I14"/>
  </mergeCells>
  <hyperlinks>
    <hyperlink ref="A5:F5" r:id="rId83" display="For all STR definitions, please click here or visit www.str.com/data-insights/resources/glossary"/>
    <hyperlink ref="A14:I14" r:id="rId84" display="For the latest in industry news, visit HotelNewsNow.com."/>
    <hyperlink ref="A15:I15" r:id="rId85" display="To learn more about the Hotel Data Conference, visit HotelDataConference.com."/>
    <hyperlink ref="A9:F9" r:id="rId86" display="For all STR FAQs, please click here or visit www.str.com/data-insights/resources/FAQ"/>
    <hyperlink ref="A12:E12" r:id="rId87" display="For additional support, please contact your regional office."/>
  </hyperlinks>
  <printOptions horizontalCentered="1" verticalCentered="1"/>
  <pageMargins left="0.25" right="0.25" top="0.25" bottom="0.25" header="0" footer="0"/>
  <pageSetup scale="93" fitToWidth="1" fitToHeight="1" orientation="landscape" r:id="rId6"/>
  <headerFooter>
    <oddHeader/>
    <oddFooter/>
  </headerFooter>
  <rowBreaks count="1" manualBreakCount="1">
    <brk id="43" max="16383" man="1"/>
  </rowBreaks>
  <colBreaks count="1" manualBreakCount="1">
    <brk id="13" max="1048575" man="1"/>
  </colBreaks>
  <drawing r:id="rId7"/>
</worksheet>
</file>

<file path=xl/worksheets/sheet2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6" t="s">
        <v>131</v>
      </c>
      <c r="AA1" s="998"/>
      <c r="AB1" s="998"/>
      <c r="AC1" s="998"/>
      <c r="AD1" s="998"/>
      <c r="AE1" s="998"/>
      <c r="AF1" s="998"/>
      <c r="AH1" s="236"/>
    </row>
    <row r="2" ht="20.1" customHeight="1">
      <c r="A2" s="6"/>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c r="AC2" s="999"/>
      <c r="AD2" s="999"/>
      <c r="AE2" s="999"/>
      <c r="AF2" s="26"/>
    </row>
    <row r="3" ht="20.1" customHeight="1">
      <c r="A3" s="6"/>
      <c r="B3" s="999" t="s">
        <v>171</v>
      </c>
      <c r="C3" s="999"/>
      <c r="D3" s="999"/>
      <c r="E3" s="999"/>
      <c r="F3" s="999"/>
      <c r="G3" s="999"/>
      <c r="H3" s="999"/>
      <c r="I3" s="999"/>
      <c r="J3" s="999"/>
      <c r="K3" s="999"/>
      <c r="L3" s="999"/>
      <c r="M3" s="999"/>
      <c r="N3" s="999"/>
      <c r="O3" s="999"/>
      <c r="P3" s="999"/>
      <c r="Q3" s="999"/>
      <c r="R3" s="999"/>
      <c r="S3" s="999"/>
      <c r="T3" s="999"/>
      <c r="U3" s="1000"/>
      <c r="V3" s="1000"/>
      <c r="W3" s="1000"/>
      <c r="X3" s="1000"/>
      <c r="Y3" s="1000"/>
      <c r="Z3" s="1000"/>
      <c r="AA3" s="1000"/>
      <c r="AB3" s="1000"/>
      <c r="AC3" s="1000"/>
      <c r="AD3" s="1000"/>
      <c r="AE3" s="1000"/>
      <c r="AF3" s="1000"/>
    </row>
    <row r="4" ht="20.1" customHeight="1">
      <c r="A4" s="6"/>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c r="AC4" s="999"/>
      <c r="AD4" s="999"/>
      <c r="AE4" s="999"/>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1001"/>
      <c r="Y18" s="1001"/>
      <c r="Z18" s="1001"/>
      <c r="AA18" s="1001"/>
      <c r="AB18" s="1001"/>
      <c r="AC18" s="1001"/>
      <c r="AD18" s="1001"/>
      <c r="AE18" s="1001"/>
      <c r="AF18" s="1001"/>
      <c r="AG18" s="1001"/>
    </row>
    <row r="19" s="117" customFormat="1" ht="15.95" customHeight="1">
      <c r="B19" s="964" t="s">
        <v>22</v>
      </c>
      <c r="C19" s="1002">
        <v>2024</v>
      </c>
      <c r="D19" s="1002"/>
      <c r="E19" s="1002"/>
      <c r="F19" s="1002"/>
      <c r="G19" s="1002"/>
      <c r="H19" s="1002"/>
      <c r="I19" s="1002"/>
      <c r="J19" s="1002"/>
      <c r="K19" s="1002"/>
      <c r="L19" s="1002"/>
      <c r="M19" s="1002">
        <v>2025</v>
      </c>
      <c r="N19" s="1002"/>
      <c r="O19" s="1002"/>
      <c r="P19" s="1002"/>
      <c r="Q19" s="1002"/>
      <c r="R19" s="1002"/>
      <c r="S19" s="1002"/>
      <c r="T19" s="1002"/>
      <c r="U19" s="119"/>
      <c r="V19" s="1003" t="s">
        <v>58</v>
      </c>
      <c r="W19" s="1003"/>
      <c r="X19" s="1003"/>
      <c r="Y19" s="119"/>
      <c r="Z19" s="1003" t="s">
        <v>44</v>
      </c>
      <c r="AA19" s="1003"/>
      <c r="AB19" s="1003"/>
      <c r="AC19" s="119"/>
      <c r="AD19" s="1004" t="s">
        <v>45</v>
      </c>
      <c r="AE19" s="1004"/>
      <c r="AF19" s="1004"/>
      <c r="AG19" s="119"/>
      <c r="AH19" s="236"/>
      <c r="AI19" s="236"/>
      <c r="AJ19" s="236"/>
      <c r="AK19" s="236"/>
      <c r="AL19" s="236"/>
      <c r="AM19" s="236"/>
      <c r="AN19" s="236"/>
      <c r="AO19" s="236"/>
      <c r="AP19" s="236"/>
      <c r="AQ19" s="236"/>
      <c r="AR19" s="236"/>
      <c r="AS19" s="236"/>
      <c r="AT19" s="236"/>
      <c r="AU19" s="236"/>
      <c r="AV19" s="236"/>
    </row>
    <row r="20" s="118" customFormat="1" ht="15.95" customHeight="1">
      <c r="B20" s="964"/>
      <c r="C20" s="269" t="s">
        <v>180</v>
      </c>
      <c r="D20" s="269" t="s">
        <v>183</v>
      </c>
      <c r="E20" s="269" t="s">
        <v>185</v>
      </c>
      <c r="F20" s="269" t="s">
        <v>187</v>
      </c>
      <c r="G20" s="269" t="s">
        <v>188</v>
      </c>
      <c r="H20" s="269" t="s">
        <v>189</v>
      </c>
      <c r="I20" s="269" t="s">
        <v>190</v>
      </c>
      <c r="J20" s="269" t="s">
        <v>191</v>
      </c>
      <c r="K20" s="269" t="s">
        <v>192</v>
      </c>
      <c r="L20" s="1005" t="s">
        <v>194</v>
      </c>
      <c r="M20" s="269" t="s">
        <v>195</v>
      </c>
      <c r="N20" s="269" t="s">
        <v>196</v>
      </c>
      <c r="O20" s="269" t="s">
        <v>180</v>
      </c>
      <c r="P20" s="269" t="s">
        <v>183</v>
      </c>
      <c r="Q20" s="269" t="s">
        <v>185</v>
      </c>
      <c r="R20" s="269" t="s">
        <v>187</v>
      </c>
      <c r="S20" s="269" t="s">
        <v>188</v>
      </c>
      <c r="T20" s="1005" t="s">
        <v>189</v>
      </c>
      <c r="U20" s="144"/>
      <c r="V20" s="268">
        <v>2023</v>
      </c>
      <c r="W20" s="269">
        <v>2024</v>
      </c>
      <c r="X20" s="270">
        <v>2025</v>
      </c>
      <c r="Y20" s="144"/>
      <c r="Z20" s="268">
        <v>2023</v>
      </c>
      <c r="AA20" s="269">
        <v>2024</v>
      </c>
      <c r="AB20" s="270">
        <v>2025</v>
      </c>
      <c r="AC20" s="144"/>
      <c r="AD20" s="268">
        <v>2023</v>
      </c>
      <c r="AE20" s="269">
        <v>2024</v>
      </c>
      <c r="AF20" s="270">
        <v>2025</v>
      </c>
      <c r="AG20" s="144"/>
      <c r="AH20" s="236"/>
      <c r="AI20" s="236"/>
      <c r="AJ20" s="236"/>
      <c r="AK20" s="236"/>
      <c r="AL20" s="236"/>
      <c r="AM20" s="236"/>
      <c r="AN20" s="236"/>
      <c r="AO20" s="236"/>
      <c r="AP20" s="236"/>
      <c r="AQ20" s="236"/>
      <c r="AR20" s="236"/>
      <c r="AS20" s="236"/>
      <c r="AT20" s="236"/>
      <c r="AU20" s="236"/>
      <c r="AV20" s="236"/>
    </row>
    <row r="21" ht="21.95" customHeight="1">
      <c r="B21" s="263" t="s">
        <v>19</v>
      </c>
      <c r="C21" s="573">
        <v>45.005202913631633714880332990</v>
      </c>
      <c r="D21" s="574">
        <v>40.412186379928315412186379930</v>
      </c>
      <c r="E21" s="574">
        <v>37.911897329171002428026361430</v>
      </c>
      <c r="F21" s="574">
        <v>35.017921146953405017921146950</v>
      </c>
      <c r="G21" s="574">
        <v>36.368366285119667013527575440</v>
      </c>
      <c r="H21" s="574">
        <v>34.356573014221297259798820670</v>
      </c>
      <c r="I21" s="574">
        <v>52.634408602150537634408602150</v>
      </c>
      <c r="J21" s="574">
        <v>42.195629552549427679500520290</v>
      </c>
      <c r="K21" s="574">
        <v>33.100358422939068100358422940</v>
      </c>
      <c r="L21" s="1006">
        <v>24.557752341311134235171696150</v>
      </c>
      <c r="M21" s="574">
        <v>26.517516475893166840097121050</v>
      </c>
      <c r="N21" s="574">
        <v>42.108294930875576036866359450</v>
      </c>
      <c r="O21" s="574">
        <v>45.334720776968435657301422130</v>
      </c>
      <c r="P21" s="574">
        <v>34.175627240143369175627240140</v>
      </c>
      <c r="Q21" s="574">
        <v>39.472771418661116892126257370</v>
      </c>
      <c r="R21" s="574">
        <v>40.860215053763440860215053760</v>
      </c>
      <c r="S21" s="574">
        <v>36.628511966701352757544224770</v>
      </c>
      <c r="T21" s="1006">
        <v>39.264654873395768296912937910</v>
      </c>
      <c r="U21" s="113"/>
      <c r="V21" s="573">
        <v>46.920217708748174697995486530</v>
      </c>
      <c r="W21" s="574">
        <v>38.813238145601974264057817730</v>
      </c>
      <c r="X21" s="575">
        <v>37.999469003053232443913447500</v>
      </c>
      <c r="Y21" s="113"/>
      <c r="Z21" s="573">
        <v>49.994156147732585320243104250</v>
      </c>
      <c r="AA21" s="574">
        <v>35.250116877045348293595137910</v>
      </c>
      <c r="AB21" s="575">
        <v>38.896680691912108461898083220</v>
      </c>
      <c r="AC21" s="113"/>
      <c r="AD21" s="573">
        <v>43.938724407129179555162763290</v>
      </c>
      <c r="AE21" s="574">
        <v>41.804747634996180739173864500</v>
      </c>
      <c r="AF21" s="575">
        <v>38.014435115628222124024156720</v>
      </c>
      <c r="AG21" s="113"/>
    </row>
    <row r="22" ht="21.95" customHeight="1">
      <c r="B22" s="38" t="s">
        <v>35</v>
      </c>
      <c r="C22" s="271">
        <v>41.824249165739710789766407120</v>
      </c>
      <c r="D22" s="92">
        <v>40.357598978288633461047254150</v>
      </c>
      <c r="E22" s="92">
        <v>44.926461500432579409220121120</v>
      </c>
      <c r="F22" s="92">
        <v>48.109833971902937420178799490</v>
      </c>
      <c r="G22" s="92">
        <v>43.356816215548139908540353480</v>
      </c>
      <c r="H22" s="92">
        <v>37.430478309232480533926585090</v>
      </c>
      <c r="I22" s="92">
        <v>38.697318007662835249042145590</v>
      </c>
      <c r="J22" s="92">
        <v>47.225312075145223087381040660</v>
      </c>
      <c r="K22" s="92">
        <v>45.734355044699872286079182630</v>
      </c>
      <c r="L22" s="1007">
        <v>40.545050055617352614015572860</v>
      </c>
      <c r="M22" s="92">
        <v>42.213570634037819799777530590</v>
      </c>
      <c r="N22" s="92">
        <v>56.643404488232074438970990700</v>
      </c>
      <c r="O22" s="92">
        <v>55.691509084167593622543566930</v>
      </c>
      <c r="P22" s="92">
        <v>50.459770114942528735632183910</v>
      </c>
      <c r="Q22" s="92">
        <v>52.156717340254603880855271290</v>
      </c>
      <c r="R22" s="92">
        <v>56.538952745849297573435504470</v>
      </c>
      <c r="S22" s="92">
        <v>53.293783215918922259300457300</v>
      </c>
      <c r="T22" s="1007">
        <v>58.929674947472500308985292300</v>
      </c>
      <c r="U22" s="113"/>
      <c r="V22" s="271">
        <v>51.092663544770824464311054350</v>
      </c>
      <c r="W22" s="92">
        <v>42.486490542156193975371710580</v>
      </c>
      <c r="X22" s="272">
        <v>53.196789808113775759582485850</v>
      </c>
      <c r="Y22" s="113"/>
      <c r="Z22" s="271">
        <v>54.722638680659670164917541230</v>
      </c>
      <c r="AA22" s="92">
        <v>42.909795102448775612193903050</v>
      </c>
      <c r="AB22" s="272">
        <v>56.251041146093619856738297520</v>
      </c>
      <c r="AC22" s="113"/>
      <c r="AD22" s="271">
        <v>48.401301632288878391854301160</v>
      </c>
      <c r="AE22" s="92">
        <v>42.264952392328476255707762560</v>
      </c>
      <c r="AF22" s="272">
        <v>49.810003673962105705138298430</v>
      </c>
      <c r="AG22" s="113"/>
    </row>
    <row r="23" ht="21.95" customHeight="1">
      <c r="B23" s="40" t="s">
        <v>97</v>
      </c>
      <c r="C23" s="576">
        <v>107.60552505157780287798093786</v>
      </c>
      <c r="D23" s="113">
        <v>100.13525928947771813185181003</v>
      </c>
      <c r="E23" s="113">
        <v>84.38656431651857596387885373</v>
      </c>
      <c r="F23" s="113">
        <v>72.787449583398434405024359510</v>
      </c>
      <c r="G23" s="113">
        <v>83.88154264915334789483183158</v>
      </c>
      <c r="H23" s="113">
        <v>91.78769432336329344220374997</v>
      </c>
      <c r="I23" s="113">
        <v>136.01564995196135450034955356</v>
      </c>
      <c r="J23" s="113">
        <v>89.34960447788650865156328092</v>
      </c>
      <c r="K23" s="113">
        <v>72.375260109358329928289683900</v>
      </c>
      <c r="L23" s="1008">
        <v>60.569051727978486829873578830</v>
      </c>
      <c r="M23" s="113">
        <v>62.817515973252476797571061040</v>
      </c>
      <c r="N23" s="113">
        <v>74.339272703228158215396961390</v>
      </c>
      <c r="O23" s="113">
        <v>81.40329023662631457528303867</v>
      </c>
      <c r="P23" s="113">
        <v>67.728464006719341035257824780</v>
      </c>
      <c r="Q23" s="113">
        <v>75.681088518509270174423000910</v>
      </c>
      <c r="R23" s="113">
        <v>72.269140246498012382388830650</v>
      </c>
      <c r="S23" s="113">
        <v>68.729427254797279664753575430</v>
      </c>
      <c r="T23" s="1008">
        <v>66.629681749265291578949342570</v>
      </c>
      <c r="U23" s="113"/>
      <c r="V23" s="576">
        <v>91.83357150211347792633407812</v>
      </c>
      <c r="W23" s="113">
        <v>91.35430498089847539212178778</v>
      </c>
      <c r="X23" s="577">
        <v>71.431883653376486014932337390</v>
      </c>
      <c r="Y23" s="113"/>
      <c r="Z23" s="576">
        <v>91.35918397400838024140586926</v>
      </c>
      <c r="AA23" s="113">
        <v>82.14934793541758008335284730</v>
      </c>
      <c r="AB23" s="577">
        <v>69.148374677877220187835216290</v>
      </c>
      <c r="AC23" s="113"/>
      <c r="AD23" s="576">
        <v>90.78004707585637397334197826</v>
      </c>
      <c r="AE23" s="113">
        <v>98.91114332028051396749109807</v>
      </c>
      <c r="AF23" s="577">
        <v>76.318876353488666727264688140</v>
      </c>
      <c r="AG23" s="113"/>
    </row>
    <row r="24" ht="21.95" customHeight="1">
      <c r="A24" s="23"/>
      <c r="B24" s="39" t="s">
        <v>23</v>
      </c>
      <c r="C24" s="273" t="s">
        <v>181</v>
      </c>
      <c r="D24" s="274" t="s">
        <v>184</v>
      </c>
      <c r="E24" s="274" t="s">
        <v>186</v>
      </c>
      <c r="F24" s="274" t="s">
        <v>186</v>
      </c>
      <c r="G24" s="274" t="s">
        <v>186</v>
      </c>
      <c r="H24" s="274" t="s">
        <v>181</v>
      </c>
      <c r="I24" s="274" t="s">
        <v>182</v>
      </c>
      <c r="J24" s="274" t="s">
        <v>184</v>
      </c>
      <c r="K24" s="274" t="s">
        <v>186</v>
      </c>
      <c r="L24" s="1009" t="s">
        <v>186</v>
      </c>
      <c r="M24" s="274" t="s">
        <v>186</v>
      </c>
      <c r="N24" s="274" t="s">
        <v>186</v>
      </c>
      <c r="O24" s="274" t="s">
        <v>186</v>
      </c>
      <c r="P24" s="274" t="s">
        <v>197</v>
      </c>
      <c r="Q24" s="274" t="s">
        <v>184</v>
      </c>
      <c r="R24" s="274" t="s">
        <v>186</v>
      </c>
      <c r="S24" s="274" t="s">
        <v>186</v>
      </c>
      <c r="T24" s="1009" t="s">
        <v>184</v>
      </c>
      <c r="U24" s="113"/>
      <c r="V24" s="273" t="s">
        <v>184</v>
      </c>
      <c r="W24" s="274" t="s">
        <v>184</v>
      </c>
      <c r="X24" s="275" t="s">
        <v>197</v>
      </c>
      <c r="Y24" s="113"/>
      <c r="Z24" s="273" t="s">
        <v>184</v>
      </c>
      <c r="AA24" s="274" t="s">
        <v>186</v>
      </c>
      <c r="AB24" s="275" t="s">
        <v>186</v>
      </c>
      <c r="AC24" s="113"/>
      <c r="AD24" s="273" t="s">
        <v>184</v>
      </c>
      <c r="AE24" s="274" t="s">
        <v>181</v>
      </c>
      <c r="AF24" s="275" t="s">
        <v>184</v>
      </c>
      <c r="AG24" s="113"/>
    </row>
    <row r="25" ht="21.95" customHeight="1">
      <c r="B25" s="25" t="s">
        <v>68</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3">
        <v>-8.465608465536594160297807560</v>
      </c>
      <c r="D26" s="574">
        <v>-14.421252371876236187074431320</v>
      </c>
      <c r="E26" s="574">
        <v>-17.540550735565634712764347920</v>
      </c>
      <c r="F26" s="574">
        <v>-43.181157313209442921668627760</v>
      </c>
      <c r="G26" s="574">
        <v>-26.933797909413724653692529460</v>
      </c>
      <c r="H26" s="574">
        <v>-11.798753339274918148738154180</v>
      </c>
      <c r="I26" s="574">
        <v>-2.7161311692078531890496472500</v>
      </c>
      <c r="J26" s="574">
        <v>-12.261089073143329402880157780</v>
      </c>
      <c r="K26" s="574">
        <v>-28.659714175410186693234149260</v>
      </c>
      <c r="L26" s="1006">
        <v>-42.509135200957195185456072440</v>
      </c>
      <c r="M26" s="574">
        <v>-29.830197338229382475846354320</v>
      </c>
      <c r="N26" s="574">
        <v>-4.0827099420930432074131919400</v>
      </c>
      <c r="O26" s="574">
        <v>0.7321772640399751411674793500</v>
      </c>
      <c r="P26" s="574">
        <v>-15.432372505483983657897412290</v>
      </c>
      <c r="Q26" s="574">
        <v>4.1171088745772718179147789600</v>
      </c>
      <c r="R26" s="574">
        <v>16.683725690735221245242624570</v>
      </c>
      <c r="S26" s="574">
        <v>0.715307582314836031854241800</v>
      </c>
      <c r="T26" s="1006">
        <v>14.285714285785130165140304960</v>
      </c>
      <c r="U26" s="113"/>
      <c r="V26" s="573">
        <v>1.9077366650726393882917253900</v>
      </c>
      <c r="W26" s="574">
        <v>-17.278222393232460188970858580</v>
      </c>
      <c r="X26" s="575">
        <v>-2.0966278038798965281830471200</v>
      </c>
      <c r="Y26" s="113"/>
      <c r="Z26" s="573">
        <v>12.684404636490540899910179680</v>
      </c>
      <c r="AA26" s="574">
        <v>-29.491525423682857363619223340</v>
      </c>
      <c r="AB26" s="575">
        <v>10.344827586348852099149546940</v>
      </c>
      <c r="AC26" s="113"/>
      <c r="AD26" s="573">
        <v>-4.479810432596154980872239200</v>
      </c>
      <c r="AE26" s="574">
        <v>-4.856710796454056354621659200</v>
      </c>
      <c r="AF26" s="575">
        <v>-9.066703505700466539787648400</v>
      </c>
      <c r="AG26" s="113"/>
    </row>
    <row r="27" ht="21.95" customHeight="1">
      <c r="B27" s="38" t="s">
        <v>35</v>
      </c>
      <c r="C27" s="271">
        <v>-22.340791738374775000666545500</v>
      </c>
      <c r="D27" s="92">
        <v>-19.088464985239053328785773870</v>
      </c>
      <c r="E27" s="92">
        <v>-12.704130643607823560392772220</v>
      </c>
      <c r="F27" s="92">
        <v>-29.191729323266211628695774670</v>
      </c>
      <c r="G27" s="92">
        <v>-20.498583569455727814202794200</v>
      </c>
      <c r="H27" s="92">
        <v>-11.122523844456966328967702510</v>
      </c>
      <c r="I27" s="92">
        <v>-0.9803921568248846597462369800</v>
      </c>
      <c r="J27" s="92">
        <v>-7.2009714632223262431113156600</v>
      </c>
      <c r="K27" s="92">
        <v>12.539283469479599163427541170</v>
      </c>
      <c r="L27" s="1007">
        <v>10.902636916975959014437595360</v>
      </c>
      <c r="M27" s="92">
        <v>13.415241573870238770638805100</v>
      </c>
      <c r="N27" s="92">
        <v>19.908803963386186819323627890</v>
      </c>
      <c r="O27" s="92">
        <v>33.156028368920753640410562180</v>
      </c>
      <c r="P27" s="92">
        <v>25.031645569585038555519958650</v>
      </c>
      <c r="Q27" s="92">
        <v>16.093535075737557787746807210</v>
      </c>
      <c r="R27" s="92">
        <v>17.520573400591194513374604720</v>
      </c>
      <c r="S27" s="92">
        <v>22.919042189418121342453758150</v>
      </c>
      <c r="T27" s="1007">
        <v>57.437675417009656995540994350</v>
      </c>
      <c r="U27" s="113"/>
      <c r="V27" s="271">
        <v>3.5717710231352548035614155200</v>
      </c>
      <c r="W27" s="92">
        <v>-16.844244174308087568263623970</v>
      </c>
      <c r="X27" s="272">
        <v>25.208717239838148280029830370</v>
      </c>
      <c r="Y27" s="113"/>
      <c r="Z27" s="271">
        <v>5.5125065242286684520779691500</v>
      </c>
      <c r="AA27" s="92">
        <v>-21.586757990925369393882486960</v>
      </c>
      <c r="AB27" s="272">
        <v>31.091376716798693861707880460</v>
      </c>
      <c r="AC27" s="113"/>
      <c r="AD27" s="271">
        <v>-3.1272322367022371064835016700</v>
      </c>
      <c r="AE27" s="92">
        <v>-12.678066566450577112845041820</v>
      </c>
      <c r="AF27" s="272">
        <v>17.85179174373491940666633100</v>
      </c>
      <c r="AG27" s="113"/>
    </row>
    <row r="28" ht="21.95" customHeight="1">
      <c r="B28" s="40" t="s">
        <v>97</v>
      </c>
      <c r="C28" s="576">
        <v>17.866758602611602668590921620</v>
      </c>
      <c r="D28" s="113">
        <v>5.7682907788848321315768788500</v>
      </c>
      <c r="E28" s="113">
        <v>-5.5402622455946572221503451700</v>
      </c>
      <c r="F28" s="113">
        <v>-19.756771145823843727877410330</v>
      </c>
      <c r="G28" s="113">
        <v>-8.094465015581202838007457150</v>
      </c>
      <c r="H28" s="113">
        <v>-0.7608558703082730282479864100</v>
      </c>
      <c r="I28" s="113">
        <v>-1.7529245473216073461530235800</v>
      </c>
      <c r="J28" s="113">
        <v>-5.4527700232628636281187772300</v>
      </c>
      <c r="K28" s="113">
        <v>-36.608548032920493557312994530</v>
      </c>
      <c r="L28" s="1008">
        <v>-48.160957757860855872270277570</v>
      </c>
      <c r="M28" s="113">
        <v>-38.130182779604595089904765720</v>
      </c>
      <c r="N28" s="113">
        <v>-20.008133775342543852494939790</v>
      </c>
      <c r="O28" s="113">
        <v>-24.350269005619317983734936710</v>
      </c>
      <c r="P28" s="113">
        <v>-32.363021290122904989776243820</v>
      </c>
      <c r="Q28" s="113">
        <v>-10.316187023967462278378796150</v>
      </c>
      <c r="R28" s="113">
        <v>-0.7120861355474583301130631100</v>
      </c>
      <c r="S28" s="113">
        <v>-18.063706169270397871730829160</v>
      </c>
      <c r="T28" s="1008">
        <v>-27.40891658689483165252280100</v>
      </c>
      <c r="U28" s="113"/>
      <c r="V28" s="576">
        <v>-1.6066485506989773211719616700</v>
      </c>
      <c r="W28" s="113">
        <v>-0.5218859654070679398597317900</v>
      </c>
      <c r="X28" s="577">
        <v>-21.807862619817222347050587360</v>
      </c>
      <c r="Y28" s="113"/>
      <c r="Z28" s="576">
        <v>6.797201913202443826179232900</v>
      </c>
      <c r="AA28" s="113">
        <v>-10.080908823795379138712481580</v>
      </c>
      <c r="AB28" s="577">
        <v>-15.826021245775912350437672480</v>
      </c>
      <c r="AC28" s="113"/>
      <c r="AD28" s="576">
        <v>-1.3962419234128799325763867300</v>
      </c>
      <c r="AE28" s="113">
        <v>8.956920057093836538944374130</v>
      </c>
      <c r="AF28" s="577">
        <v>-22.840972420722808358569020570</v>
      </c>
      <c r="AG28" s="113"/>
    </row>
    <row r="29" ht="21.95" customHeight="1">
      <c r="A29" s="23"/>
      <c r="B29" s="39" t="s">
        <v>23</v>
      </c>
      <c r="C29" s="273" t="s">
        <v>182</v>
      </c>
      <c r="D29" s="274" t="s">
        <v>181</v>
      </c>
      <c r="E29" s="274" t="s">
        <v>186</v>
      </c>
      <c r="F29" s="274" t="s">
        <v>186</v>
      </c>
      <c r="G29" s="274" t="s">
        <v>184</v>
      </c>
      <c r="H29" s="274" t="s">
        <v>181</v>
      </c>
      <c r="I29" s="274" t="s">
        <v>181</v>
      </c>
      <c r="J29" s="274" t="s">
        <v>186</v>
      </c>
      <c r="K29" s="274" t="s">
        <v>186</v>
      </c>
      <c r="L29" s="1009" t="s">
        <v>186</v>
      </c>
      <c r="M29" s="274" t="s">
        <v>186</v>
      </c>
      <c r="N29" s="274" t="s">
        <v>186</v>
      </c>
      <c r="O29" s="274" t="s">
        <v>197</v>
      </c>
      <c r="P29" s="274" t="s">
        <v>184</v>
      </c>
      <c r="Q29" s="274" t="s">
        <v>184</v>
      </c>
      <c r="R29" s="274" t="s">
        <v>181</v>
      </c>
      <c r="S29" s="274" t="s">
        <v>186</v>
      </c>
      <c r="T29" s="1009" t="s">
        <v>197</v>
      </c>
      <c r="U29" s="113"/>
      <c r="V29" s="273" t="s">
        <v>181</v>
      </c>
      <c r="W29" s="274" t="s">
        <v>184</v>
      </c>
      <c r="X29" s="275" t="s">
        <v>186</v>
      </c>
      <c r="Y29" s="113"/>
      <c r="Z29" s="273" t="s">
        <v>181</v>
      </c>
      <c r="AA29" s="274" t="s">
        <v>186</v>
      </c>
      <c r="AB29" s="275" t="s">
        <v>186</v>
      </c>
      <c r="AC29" s="113"/>
      <c r="AD29" s="273" t="s">
        <v>181</v>
      </c>
      <c r="AE29" s="274" t="s">
        <v>193</v>
      </c>
      <c r="AF29" s="275" t="s">
        <v>197</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64" t="s">
        <v>9</v>
      </c>
      <c r="C31" s="1002">
        <v>2024</v>
      </c>
      <c r="D31" s="1002"/>
      <c r="E31" s="1002"/>
      <c r="F31" s="1002"/>
      <c r="G31" s="1002"/>
      <c r="H31" s="1002"/>
      <c r="I31" s="1002"/>
      <c r="J31" s="1002"/>
      <c r="K31" s="1002"/>
      <c r="L31" s="1002"/>
      <c r="M31" s="1002">
        <v>2025</v>
      </c>
      <c r="N31" s="1002"/>
      <c r="O31" s="1002"/>
      <c r="P31" s="1002"/>
      <c r="Q31" s="1002"/>
      <c r="R31" s="1002"/>
      <c r="S31" s="1002"/>
      <c r="T31" s="1002"/>
      <c r="U31" s="119"/>
      <c r="V31" s="1003" t="s">
        <v>58</v>
      </c>
      <c r="W31" s="1003"/>
      <c r="X31" s="1003"/>
      <c r="Y31" s="119"/>
      <c r="Z31" s="1003" t="s">
        <v>44</v>
      </c>
      <c r="AA31" s="1003"/>
      <c r="AB31" s="1003"/>
      <c r="AC31" s="119"/>
      <c r="AD31" s="1004" t="s">
        <v>45</v>
      </c>
      <c r="AE31" s="1004"/>
      <c r="AF31" s="1004"/>
      <c r="AG31" s="119"/>
      <c r="AH31" s="236"/>
      <c r="AI31" s="236"/>
      <c r="AJ31" s="236"/>
      <c r="AK31" s="236"/>
      <c r="AL31" s="236"/>
      <c r="AM31" s="236"/>
      <c r="AN31" s="236"/>
      <c r="AO31" s="236"/>
      <c r="AP31" s="236"/>
      <c r="AQ31" s="236"/>
      <c r="AR31" s="236"/>
      <c r="AS31" s="236"/>
      <c r="AT31" s="236"/>
      <c r="AU31" s="236"/>
      <c r="AV31" s="236"/>
    </row>
    <row r="32" s="118" customFormat="1" ht="15.95" customHeight="1">
      <c r="B32" s="964"/>
      <c r="C32" s="269" t="s">
        <v>180</v>
      </c>
      <c r="D32" s="269" t="s">
        <v>183</v>
      </c>
      <c r="E32" s="269" t="s">
        <v>185</v>
      </c>
      <c r="F32" s="269" t="s">
        <v>187</v>
      </c>
      <c r="G32" s="269" t="s">
        <v>188</v>
      </c>
      <c r="H32" s="269" t="s">
        <v>189</v>
      </c>
      <c r="I32" s="269" t="s">
        <v>190</v>
      </c>
      <c r="J32" s="269" t="s">
        <v>191</v>
      </c>
      <c r="K32" s="269" t="s">
        <v>192</v>
      </c>
      <c r="L32" s="1005" t="s">
        <v>194</v>
      </c>
      <c r="M32" s="269" t="s">
        <v>195</v>
      </c>
      <c r="N32" s="269" t="s">
        <v>196</v>
      </c>
      <c r="O32" s="269" t="s">
        <v>180</v>
      </c>
      <c r="P32" s="269" t="s">
        <v>183</v>
      </c>
      <c r="Q32" s="269" t="s">
        <v>185</v>
      </c>
      <c r="R32" s="269" t="s">
        <v>187</v>
      </c>
      <c r="S32" s="269" t="s">
        <v>188</v>
      </c>
      <c r="T32" s="1005" t="s">
        <v>189</v>
      </c>
      <c r="U32" s="144"/>
      <c r="V32" s="268">
        <v>2023</v>
      </c>
      <c r="W32" s="269">
        <v>2024</v>
      </c>
      <c r="X32" s="270">
        <v>2025</v>
      </c>
      <c r="Y32" s="144"/>
      <c r="Z32" s="268">
        <v>2023</v>
      </c>
      <c r="AA32" s="269">
        <v>2024</v>
      </c>
      <c r="AB32" s="270">
        <v>2025</v>
      </c>
      <c r="AC32" s="144"/>
      <c r="AD32" s="268">
        <v>2023</v>
      </c>
      <c r="AE32" s="269">
        <v>2024</v>
      </c>
      <c r="AF32" s="270">
        <v>2025</v>
      </c>
      <c r="AG32" s="144"/>
      <c r="AH32" s="236"/>
      <c r="AI32" s="236"/>
      <c r="AJ32" s="236"/>
      <c r="AK32" s="236"/>
      <c r="AL32" s="236"/>
      <c r="AM32" s="236"/>
      <c r="AN32" s="236"/>
      <c r="AO32" s="236"/>
      <c r="AP32" s="236"/>
      <c r="AQ32" s="236"/>
      <c r="AR32" s="236"/>
      <c r="AS32" s="236"/>
      <c r="AT32" s="236"/>
      <c r="AU32" s="236"/>
      <c r="AV32" s="236"/>
    </row>
    <row r="33" ht="21.95" customHeight="1">
      <c r="B33" s="263" t="s">
        <v>19</v>
      </c>
      <c r="C33" s="578">
        <v>114.08175337186897880539499037</v>
      </c>
      <c r="D33" s="579">
        <v>117.82745454545454545454545455</v>
      </c>
      <c r="E33" s="579">
        <v>117.52575480329368709972552608</v>
      </c>
      <c r="F33" s="579">
        <v>109.39709314227226202661207779</v>
      </c>
      <c r="G33" s="579">
        <v>109.38009060562708631378159275</v>
      </c>
      <c r="H33" s="579">
        <v>106.55835941443715295305401312</v>
      </c>
      <c r="I33" s="579">
        <v>113.41747701736465781409601634</v>
      </c>
      <c r="J33" s="579">
        <v>115.5049691738594327990135635</v>
      </c>
      <c r="K33" s="579">
        <v>119.96041147807255008121277748</v>
      </c>
      <c r="L33" s="1010">
        <v>112.97590395480225988700564972</v>
      </c>
      <c r="M33" s="579">
        <v>109.71301504251144538914323087</v>
      </c>
      <c r="N33" s="579">
        <v>117.42785225718194254445964432</v>
      </c>
      <c r="O33" s="579">
        <v>114.9407459831675592960979342</v>
      </c>
      <c r="P33" s="579">
        <v>110.37336654431043523859465128</v>
      </c>
      <c r="Q33" s="579">
        <v>109.63275043936731107205623902</v>
      </c>
      <c r="R33" s="579">
        <v>103.99178947368421052631578947</v>
      </c>
      <c r="S33" s="579">
        <v>100.05007102272727272727272727</v>
      </c>
      <c r="T33" s="1010">
        <v>101.51461572438162544169611307</v>
      </c>
      <c r="U33" s="113"/>
      <c r="V33" s="578">
        <v>108.30113641722072900457396143</v>
      </c>
      <c r="W33" s="579">
        <v>113.06419131422083451603746807</v>
      </c>
      <c r="X33" s="580">
        <v>108.52796855895196506550218341</v>
      </c>
      <c r="Y33" s="113"/>
      <c r="Z33" s="578">
        <v>108.32863471654003506721215663</v>
      </c>
      <c r="AA33" s="579">
        <v>108.45889920424403183023872679</v>
      </c>
      <c r="AB33" s="580">
        <v>101.89845552884615384615384615</v>
      </c>
      <c r="AC33" s="113"/>
      <c r="AD33" s="578">
        <v>109.97207173985920214549111633</v>
      </c>
      <c r="AE33" s="579">
        <v>112.56283214448856249341157455</v>
      </c>
      <c r="AF33" s="580">
        <v>110.80437616243025418474891507</v>
      </c>
      <c r="AG33" s="113"/>
    </row>
    <row r="34" ht="21.95" customHeight="1">
      <c r="B34" s="38" t="s">
        <v>35</v>
      </c>
      <c r="C34" s="276">
        <v>110.19483008274231678486997636</v>
      </c>
      <c r="D34" s="94">
        <v>110.84335284810126582278481013</v>
      </c>
      <c r="E34" s="94">
        <v>110.75142503438789546079779918</v>
      </c>
      <c r="F34" s="94">
        <v>108.96732014865941067162198035</v>
      </c>
      <c r="G34" s="94">
        <v>109.78790763968072976054732041</v>
      </c>
      <c r="H34" s="94">
        <v>102.05837213141819382532606902</v>
      </c>
      <c r="I34" s="94">
        <v>105.13613036303630363036303632</v>
      </c>
      <c r="J34" s="94">
        <v>110.56920047108086888249149438</v>
      </c>
      <c r="K34" s="94">
        <v>105.12325328120636693660988551</v>
      </c>
      <c r="L34" s="1011">
        <v>97.20555860387136107300716354</v>
      </c>
      <c r="M34" s="94">
        <v>98.37507539159713072756551017</v>
      </c>
      <c r="N34" s="94">
        <v>106.63674356806377581833554776</v>
      </c>
      <c r="O34" s="94">
        <v>98.54346316023080337328007101</v>
      </c>
      <c r="P34" s="94">
        <v>102.26124778537079220450518856</v>
      </c>
      <c r="Q34" s="94">
        <v>103.56587322274881516587677725</v>
      </c>
      <c r="R34" s="94">
        <v>107.94234583239213914614863339</v>
      </c>
      <c r="S34" s="94">
        <v>104.75469967532467532467532468</v>
      </c>
      <c r="T34" s="1011">
        <v>94.04999790268456375838926174</v>
      </c>
      <c r="U34" s="113"/>
      <c r="V34" s="276">
        <v>102.9658524279035319168633986</v>
      </c>
      <c r="W34" s="94">
        <v>109.251184140816953113774108</v>
      </c>
      <c r="X34" s="277">
        <v>101.97502326684252645306618453</v>
      </c>
      <c r="Y34" s="113"/>
      <c r="Z34" s="276">
        <v>103.77778614916286149162861492</v>
      </c>
      <c r="AA34" s="94">
        <v>107.21596108118600475566555055</v>
      </c>
      <c r="AB34" s="277">
        <v>102.02068705115865847338417117</v>
      </c>
      <c r="AC34" s="113"/>
      <c r="AD34" s="276">
        <v>103.61289137813248896648196142</v>
      </c>
      <c r="AE34" s="94">
        <v>108.03552968254545982221681954</v>
      </c>
      <c r="AF34" s="277">
        <v>102.77677007049302972508772115</v>
      </c>
      <c r="AG34" s="113"/>
    </row>
    <row r="35" ht="21.95" customHeight="1">
      <c r="B35" s="40" t="s">
        <v>98</v>
      </c>
      <c r="C35" s="576">
        <v>103.52731910040778311410594647</v>
      </c>
      <c r="D35" s="113">
        <v>106.30087553100777760317866668</v>
      </c>
      <c r="E35" s="113">
        <v>106.11669761069850173182443610</v>
      </c>
      <c r="F35" s="113">
        <v>100.39440539877991052604244175</v>
      </c>
      <c r="G35" s="113">
        <v>99.62854102711267586451193140</v>
      </c>
      <c r="H35" s="113">
        <v>104.40922894325947715647576677</v>
      </c>
      <c r="I35" s="113">
        <v>107.87678472259910011055313044</v>
      </c>
      <c r="J35" s="113">
        <v>104.46396345612494343561222743</v>
      </c>
      <c r="K35" s="113">
        <v>114.11405919600282500966064430</v>
      </c>
      <c r="L35" s="1008">
        <v>116.22370734493113164472194658</v>
      </c>
      <c r="M35" s="113">
        <v>111.52521571727259231091184366</v>
      </c>
      <c r="N35" s="113">
        <v>110.11950321062698323868326749</v>
      </c>
      <c r="O35" s="113">
        <v>116.63964538805668660581891897</v>
      </c>
      <c r="P35" s="113">
        <v>107.93273985462615806001349258</v>
      </c>
      <c r="Q35" s="113">
        <v>105.85798876394502086102308775</v>
      </c>
      <c r="R35" s="113">
        <v>96.34012367597630109619080366</v>
      </c>
      <c r="S35" s="113">
        <v>95.50890922588170362161374996</v>
      </c>
      <c r="T35" s="1008">
        <v>107.93686123141033072627855331</v>
      </c>
      <c r="U35" s="113"/>
      <c r="V35" s="576">
        <v>105.18160522495228830525592094</v>
      </c>
      <c r="W35" s="113">
        <v>103.49012892025658321132354859</v>
      </c>
      <c r="X35" s="577">
        <v>106.42602971024318160592459478</v>
      </c>
      <c r="Y35" s="113"/>
      <c r="Z35" s="576">
        <v>104.38518563192062904905928335</v>
      </c>
      <c r="AA35" s="113">
        <v>101.15928459765677307778962784</v>
      </c>
      <c r="AB35" s="577">
        <v>99.88018947344228022670676455</v>
      </c>
      <c r="AC35" s="113"/>
      <c r="AD35" s="576">
        <v>106.13744127509533218637405391</v>
      </c>
      <c r="AE35" s="113">
        <v>104.19056811707557343878122338</v>
      </c>
      <c r="AF35" s="577">
        <v>107.81072034704310744546994843</v>
      </c>
      <c r="AG35" s="113"/>
    </row>
    <row r="36" ht="21.95" customHeight="1">
      <c r="A36" s="23"/>
      <c r="B36" s="39" t="s">
        <v>23</v>
      </c>
      <c r="C36" s="273" t="s">
        <v>182</v>
      </c>
      <c r="D36" s="274" t="s">
        <v>182</v>
      </c>
      <c r="E36" s="274" t="s">
        <v>182</v>
      </c>
      <c r="F36" s="274" t="s">
        <v>181</v>
      </c>
      <c r="G36" s="274" t="s">
        <v>182</v>
      </c>
      <c r="H36" s="274" t="s">
        <v>182</v>
      </c>
      <c r="I36" s="274" t="s">
        <v>182</v>
      </c>
      <c r="J36" s="274" t="s">
        <v>182</v>
      </c>
      <c r="K36" s="274" t="s">
        <v>193</v>
      </c>
      <c r="L36" s="1009" t="s">
        <v>193</v>
      </c>
      <c r="M36" s="274" t="s">
        <v>193</v>
      </c>
      <c r="N36" s="274" t="s">
        <v>193</v>
      </c>
      <c r="O36" s="274" t="s">
        <v>193</v>
      </c>
      <c r="P36" s="274" t="s">
        <v>182</v>
      </c>
      <c r="Q36" s="274" t="s">
        <v>182</v>
      </c>
      <c r="R36" s="274" t="s">
        <v>184</v>
      </c>
      <c r="S36" s="274" t="s">
        <v>181</v>
      </c>
      <c r="T36" s="1009" t="s">
        <v>181</v>
      </c>
      <c r="U36" s="113"/>
      <c r="V36" s="273" t="s">
        <v>182</v>
      </c>
      <c r="W36" s="274" t="s">
        <v>182</v>
      </c>
      <c r="X36" s="275" t="s">
        <v>181</v>
      </c>
      <c r="Y36" s="113"/>
      <c r="Z36" s="273" t="s">
        <v>182</v>
      </c>
      <c r="AA36" s="274" t="s">
        <v>182</v>
      </c>
      <c r="AB36" s="275" t="s">
        <v>181</v>
      </c>
      <c r="AC36" s="113"/>
      <c r="AD36" s="273" t="s">
        <v>182</v>
      </c>
      <c r="AE36" s="274" t="s">
        <v>182</v>
      </c>
      <c r="AF36" s="275" t="s">
        <v>182</v>
      </c>
      <c r="AG36" s="113"/>
    </row>
    <row r="37" ht="21.95" customHeight="1">
      <c r="B37" s="25" t="s">
        <v>68</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3">
        <v>3.878622823206542039004647600</v>
      </c>
      <c r="D38" s="574">
        <v>5.476468327719782638637544500</v>
      </c>
      <c r="E38" s="574">
        <v>10.226214005229359300678140410</v>
      </c>
      <c r="F38" s="574">
        <v>-1.3795264710813315756653270900</v>
      </c>
      <c r="G38" s="574">
        <v>0.7102988985575264292281716200</v>
      </c>
      <c r="H38" s="574">
        <v>2.4680984472401921575587216500</v>
      </c>
      <c r="I38" s="574">
        <v>3.0511771464398959703073851300</v>
      </c>
      <c r="J38" s="574">
        <v>-3.9553383285127001908727005800</v>
      </c>
      <c r="K38" s="574">
        <v>8.674807644302534639762149560</v>
      </c>
      <c r="L38" s="1006">
        <v>6.9165239108966313909585985800</v>
      </c>
      <c r="M38" s="574">
        <v>-0.4817835894056870062383912400</v>
      </c>
      <c r="N38" s="574">
        <v>-0.1637646159289581345597669700</v>
      </c>
      <c r="O38" s="574">
        <v>0.7529623150753060801343672300</v>
      </c>
      <c r="P38" s="574">
        <v>-6.3262743220096551817564348800</v>
      </c>
      <c r="Q38" s="574">
        <v>-6.7159784484201088825050433900</v>
      </c>
      <c r="R38" s="574">
        <v>-4.9409938722821046016522355700</v>
      </c>
      <c r="S38" s="574">
        <v>-8.529906613914481894155664330</v>
      </c>
      <c r="T38" s="1006">
        <v>-4.7333158259348886703761159500</v>
      </c>
      <c r="U38" s="113"/>
      <c r="V38" s="573">
        <v>-7.2198574573712131710914071900</v>
      </c>
      <c r="W38" s="574">
        <v>4.3979731465351301104476921200</v>
      </c>
      <c r="X38" s="575">
        <v>-4.0120773009750611976113412500</v>
      </c>
      <c r="Y38" s="113"/>
      <c r="Z38" s="573">
        <v>-7.8710691693575643812767521900</v>
      </c>
      <c r="AA38" s="574">
        <v>0.1202493579697914222616074400</v>
      </c>
      <c r="AB38" s="575">
        <v>-6.048783201277223786715798100</v>
      </c>
      <c r="AC38" s="113"/>
      <c r="AD38" s="573">
        <v>-8.846478132287730248601110310</v>
      </c>
      <c r="AE38" s="574">
        <v>2.3558348620694251988397104100</v>
      </c>
      <c r="AF38" s="575">
        <v>-1.5621994832293909964744090100</v>
      </c>
      <c r="AG38" s="113"/>
    </row>
    <row r="39" ht="21.95" customHeight="1">
      <c r="B39" s="38" t="s">
        <v>35</v>
      </c>
      <c r="C39" s="271">
        <v>6.5218231688860950450389560700</v>
      </c>
      <c r="D39" s="92">
        <v>8.138494960016295802545820840</v>
      </c>
      <c r="E39" s="92">
        <v>8.880027338714872903562104830</v>
      </c>
      <c r="F39" s="92">
        <v>1.9065746686097255689903930100</v>
      </c>
      <c r="G39" s="92">
        <v>6.516462985793977669054166700</v>
      </c>
      <c r="H39" s="92">
        <v>2.2902445283072318388812953200</v>
      </c>
      <c r="I39" s="92">
        <v>0.7313224553821407980288518400</v>
      </c>
      <c r="J39" s="92">
        <v>-1.9211098624567267269316392200</v>
      </c>
      <c r="K39" s="92">
        <v>-0.1895946825461018546474168500</v>
      </c>
      <c r="L39" s="1007">
        <v>0.0810342337489159118092818200</v>
      </c>
      <c r="M39" s="92">
        <v>-7.7002466967947080034678307700</v>
      </c>
      <c r="N39" s="92">
        <v>-6.2053795133691070324545519600</v>
      </c>
      <c r="O39" s="92">
        <v>-10.573424282904175036848984870</v>
      </c>
      <c r="P39" s="92">
        <v>-7.7425527487337426727080031200</v>
      </c>
      <c r="Q39" s="92">
        <v>-6.4879994179933242703951838100</v>
      </c>
      <c r="R39" s="92">
        <v>-0.9406254232086747196683072500</v>
      </c>
      <c r="S39" s="92">
        <v>-4.5844830023477785302036371500</v>
      </c>
      <c r="T39" s="1007">
        <v>-7.8468567168646061840479345800</v>
      </c>
      <c r="U39" s="113"/>
      <c r="V39" s="271">
        <v>-1.6412211227733426828209002100</v>
      </c>
      <c r="W39" s="92">
        <v>6.1042875523398832044936099500</v>
      </c>
      <c r="X39" s="272">
        <v>-6.6600292996185307182308653200</v>
      </c>
      <c r="Y39" s="113"/>
      <c r="Z39" s="271">
        <v>-1.0662012349825732842117683700</v>
      </c>
      <c r="AA39" s="92">
        <v>3.3130162625005167213865784400</v>
      </c>
      <c r="AB39" s="272">
        <v>-4.8456162474789561730113265700</v>
      </c>
      <c r="AC39" s="113"/>
      <c r="AD39" s="271">
        <v>-1.1095490972697671483122982900</v>
      </c>
      <c r="AE39" s="92">
        <v>4.2684247545091139532221523300</v>
      </c>
      <c r="AF39" s="272">
        <v>-4.8676205202692719948402321300</v>
      </c>
      <c r="AG39" s="113"/>
    </row>
    <row r="40" ht="21.95" customHeight="1">
      <c r="B40" s="40" t="s">
        <v>98</v>
      </c>
      <c r="C40" s="576">
        <v>-2.4813697954161782677847093900</v>
      </c>
      <c r="D40" s="113">
        <v>-2.4616827091058166909916176600</v>
      </c>
      <c r="E40" s="113">
        <v>1.2363944970960455323479716500</v>
      </c>
      <c r="F40" s="113">
        <v>-3.2246213263753132937014507200</v>
      </c>
      <c r="G40" s="113">
        <v>-5.4509546454296546659717658800</v>
      </c>
      <c r="H40" s="113">
        <v>0.1738718289415256049355368400</v>
      </c>
      <c r="I40" s="113">
        <v>2.3030122453896914569836526700</v>
      </c>
      <c r="J40" s="113">
        <v>-2.0740737004496229327312716700</v>
      </c>
      <c r="K40" s="113">
        <v>8.881240686984240661358235480</v>
      </c>
      <c r="L40" s="1008">
        <v>6.8299550754143720678439669300</v>
      </c>
      <c r="M40" s="113">
        <v>7.8206743236133284055491272200</v>
      </c>
      <c r="N40" s="113">
        <v>6.4413234640404019790506214300</v>
      </c>
      <c r="O40" s="113">
        <v>12.665571176377563824226767520</v>
      </c>
      <c r="P40" s="113">
        <v>1.5351372370872575894414366600</v>
      </c>
      <c r="Q40" s="113">
        <v>-0.2437965490634462678822785900</v>
      </c>
      <c r="R40" s="113">
        <v>-4.0383542356954475818206715600</v>
      </c>
      <c r="S40" s="113">
        <v>-4.1349915985397333633360969300</v>
      </c>
      <c r="T40" s="1008">
        <v>3.3786594574183002909012282600</v>
      </c>
      <c r="U40" s="113"/>
      <c r="V40" s="576">
        <v>-5.6717218313147195675653682900</v>
      </c>
      <c r="W40" s="113">
        <v>-1.6081484030644739465435852900</v>
      </c>
      <c r="X40" s="577">
        <v>2.8368896826905904069643157300</v>
      </c>
      <c r="Y40" s="113"/>
      <c r="Z40" s="576">
        <v>-6.878203424280008358252065900</v>
      </c>
      <c r="AA40" s="113">
        <v>-3.0903820448419982019994365300</v>
      </c>
      <c r="AB40" s="577">
        <v>-1.2644367042971375634778556100</v>
      </c>
      <c r="AC40" s="113"/>
      <c r="AD40" s="576">
        <v>-7.823737240867256427503562500</v>
      </c>
      <c r="AE40" s="113">
        <v>-1.8342944154629492379415886500</v>
      </c>
      <c r="AF40" s="577">
        <v>3.474548891867458379815296400</v>
      </c>
      <c r="AG40" s="113"/>
    </row>
    <row r="41" ht="21.95" customHeight="1">
      <c r="A41" s="23"/>
      <c r="B41" s="39" t="s">
        <v>23</v>
      </c>
      <c r="C41" s="273" t="s">
        <v>186</v>
      </c>
      <c r="D41" s="274" t="s">
        <v>186</v>
      </c>
      <c r="E41" s="274" t="s">
        <v>182</v>
      </c>
      <c r="F41" s="274" t="s">
        <v>186</v>
      </c>
      <c r="G41" s="274" t="s">
        <v>181</v>
      </c>
      <c r="H41" s="274" t="s">
        <v>182</v>
      </c>
      <c r="I41" s="274" t="s">
        <v>181</v>
      </c>
      <c r="J41" s="274" t="s">
        <v>184</v>
      </c>
      <c r="K41" s="274" t="s">
        <v>193</v>
      </c>
      <c r="L41" s="1009" t="s">
        <v>182</v>
      </c>
      <c r="M41" s="274" t="s">
        <v>193</v>
      </c>
      <c r="N41" s="274" t="s">
        <v>181</v>
      </c>
      <c r="O41" s="274" t="s">
        <v>182</v>
      </c>
      <c r="P41" s="274" t="s">
        <v>184</v>
      </c>
      <c r="Q41" s="274" t="s">
        <v>186</v>
      </c>
      <c r="R41" s="274" t="s">
        <v>186</v>
      </c>
      <c r="S41" s="274" t="s">
        <v>184</v>
      </c>
      <c r="T41" s="1009" t="s">
        <v>184</v>
      </c>
      <c r="U41" s="113"/>
      <c r="V41" s="273" t="s">
        <v>197</v>
      </c>
      <c r="W41" s="274" t="s">
        <v>184</v>
      </c>
      <c r="X41" s="275" t="s">
        <v>181</v>
      </c>
      <c r="Y41" s="113"/>
      <c r="Z41" s="273" t="s">
        <v>197</v>
      </c>
      <c r="AA41" s="274" t="s">
        <v>181</v>
      </c>
      <c r="AB41" s="275" t="s">
        <v>184</v>
      </c>
      <c r="AC41" s="113"/>
      <c r="AD41" s="273" t="s">
        <v>197</v>
      </c>
      <c r="AE41" s="274" t="s">
        <v>184</v>
      </c>
      <c r="AF41" s="275" t="s">
        <v>182</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64" t="s">
        <v>10</v>
      </c>
      <c r="C43" s="1002">
        <v>2024</v>
      </c>
      <c r="D43" s="1002"/>
      <c r="E43" s="1002"/>
      <c r="F43" s="1002"/>
      <c r="G43" s="1002"/>
      <c r="H43" s="1002"/>
      <c r="I43" s="1002"/>
      <c r="J43" s="1002"/>
      <c r="K43" s="1002"/>
      <c r="L43" s="1002"/>
      <c r="M43" s="1002">
        <v>2025</v>
      </c>
      <c r="N43" s="1002"/>
      <c r="O43" s="1002"/>
      <c r="P43" s="1002"/>
      <c r="Q43" s="1002"/>
      <c r="R43" s="1002"/>
      <c r="S43" s="1002"/>
      <c r="T43" s="1002"/>
      <c r="U43" s="119"/>
      <c r="V43" s="1003" t="s">
        <v>58</v>
      </c>
      <c r="W43" s="1003"/>
      <c r="X43" s="1003"/>
      <c r="Y43" s="119"/>
      <c r="Z43" s="1003" t="s">
        <v>44</v>
      </c>
      <c r="AA43" s="1003"/>
      <c r="AB43" s="1003"/>
      <c r="AC43" s="119"/>
      <c r="AD43" s="1004" t="s">
        <v>45</v>
      </c>
      <c r="AE43" s="1004"/>
      <c r="AF43" s="1004"/>
      <c r="AG43" s="119"/>
      <c r="AH43" s="236"/>
      <c r="AI43" s="236"/>
      <c r="AJ43" s="236"/>
      <c r="AK43" s="236"/>
      <c r="AL43" s="236"/>
      <c r="AM43" s="236"/>
      <c r="AN43" s="236"/>
      <c r="AO43" s="236"/>
      <c r="AP43" s="236"/>
      <c r="AQ43" s="236"/>
      <c r="AR43" s="236"/>
      <c r="AS43" s="236"/>
      <c r="AT43" s="236"/>
      <c r="AU43" s="236"/>
      <c r="AV43" s="236"/>
    </row>
    <row r="44" s="118" customFormat="1" ht="15.95" customHeight="1">
      <c r="B44" s="964"/>
      <c r="C44" s="269" t="s">
        <v>180</v>
      </c>
      <c r="D44" s="269" t="s">
        <v>183</v>
      </c>
      <c r="E44" s="269" t="s">
        <v>185</v>
      </c>
      <c r="F44" s="269" t="s">
        <v>187</v>
      </c>
      <c r="G44" s="269" t="s">
        <v>188</v>
      </c>
      <c r="H44" s="269" t="s">
        <v>189</v>
      </c>
      <c r="I44" s="269" t="s">
        <v>190</v>
      </c>
      <c r="J44" s="269" t="s">
        <v>191</v>
      </c>
      <c r="K44" s="269" t="s">
        <v>192</v>
      </c>
      <c r="L44" s="1005" t="s">
        <v>194</v>
      </c>
      <c r="M44" s="269" t="s">
        <v>195</v>
      </c>
      <c r="N44" s="269" t="s">
        <v>196</v>
      </c>
      <c r="O44" s="269" t="s">
        <v>180</v>
      </c>
      <c r="P44" s="269" t="s">
        <v>183</v>
      </c>
      <c r="Q44" s="269" t="s">
        <v>185</v>
      </c>
      <c r="R44" s="269" t="s">
        <v>187</v>
      </c>
      <c r="S44" s="269" t="s">
        <v>188</v>
      </c>
      <c r="T44" s="1005" t="s">
        <v>189</v>
      </c>
      <c r="U44" s="144"/>
      <c r="V44" s="268">
        <v>2023</v>
      </c>
      <c r="W44" s="269">
        <v>2024</v>
      </c>
      <c r="X44" s="270">
        <v>2025</v>
      </c>
      <c r="Y44" s="144"/>
      <c r="Z44" s="268">
        <v>2023</v>
      </c>
      <c r="AA44" s="269">
        <v>2024</v>
      </c>
      <c r="AB44" s="270">
        <v>2025</v>
      </c>
      <c r="AC44" s="144"/>
      <c r="AD44" s="268">
        <v>2023</v>
      </c>
      <c r="AE44" s="269">
        <v>2024</v>
      </c>
      <c r="AF44" s="270">
        <v>2025</v>
      </c>
      <c r="AG44" s="144"/>
      <c r="AH44" s="236"/>
      <c r="AI44" s="236"/>
      <c r="AJ44" s="236"/>
      <c r="AK44" s="236"/>
      <c r="AL44" s="236"/>
      <c r="AM44" s="236"/>
      <c r="AN44" s="236"/>
      <c r="AO44" s="236"/>
      <c r="AP44" s="236"/>
      <c r="AQ44" s="236"/>
      <c r="AR44" s="236"/>
      <c r="AS44" s="236"/>
      <c r="AT44" s="236"/>
      <c r="AU44" s="236"/>
      <c r="AV44" s="236"/>
    </row>
    <row r="45" ht="21.95" customHeight="1">
      <c r="B45" s="263" t="s">
        <v>19</v>
      </c>
      <c r="C45" s="578">
        <v>51.342724592438432188692334374</v>
      </c>
      <c r="D45" s="579">
        <v>47.616650537634408602150537634</v>
      </c>
      <c r="E45" s="579">
        <v>44.556243496357960457856399584</v>
      </c>
      <c r="F45" s="579">
        <v>38.30858781362007168458781362</v>
      </c>
      <c r="G45" s="579">
        <v>39.779751994450225459590704128</v>
      </c>
      <c r="H45" s="579">
        <v>36.609800554977454040929587236</v>
      </c>
      <c r="I45" s="579">
        <v>59.69661827956989247311827957</v>
      </c>
      <c r="J45" s="579">
        <v>48.73804890738813735691987513</v>
      </c>
      <c r="K45" s="579">
        <v>39.707326164874551971326164875</v>
      </c>
      <c r="L45" s="1010">
        <v>27.744342698577870274020117933</v>
      </c>
      <c r="M45" s="579">
        <v>29.093166840097121054457162678</v>
      </c>
      <c r="N45" s="579">
        <v>49.446866359447004608294930876</v>
      </c>
      <c r="O45" s="579">
        <v>52.10806625043357613596947624</v>
      </c>
      <c r="P45" s="579">
        <v>37.720790322580645161290322581</v>
      </c>
      <c r="Q45" s="579">
        <v>43.275084980922650017343045439</v>
      </c>
      <c r="R45" s="579">
        <v>42.491268817204301075268817204</v>
      </c>
      <c r="S45" s="579">
        <v>36.646852237252861602497398543</v>
      </c>
      <c r="T45" s="1010">
        <v>39.859363510232396808879639265</v>
      </c>
      <c r="U45" s="113"/>
      <c r="V45" s="578">
        <v>50.815128988008318952166025045</v>
      </c>
      <c r="W45" s="579">
        <v>43.883873832187555085492684647</v>
      </c>
      <c r="X45" s="580">
        <v>41.240051772202309836718438869</v>
      </c>
      <c r="Y45" s="113"/>
      <c r="Z45" s="578">
        <v>54.157986792893875642823749416</v>
      </c>
      <c r="AA45" s="579">
        <v>38.231888733052828424497428705</v>
      </c>
      <c r="AB45" s="580">
        <v>39.635116877045348293595137915</v>
      </c>
      <c r="AC45" s="113"/>
      <c r="AD45" s="578">
        <v>48.32032552658712623361319782</v>
      </c>
      <c r="AE45" s="579">
        <v>47.056607908807803043657089136</v>
      </c>
      <c r="AF45" s="580">
        <v>42.121657681543673589630284283</v>
      </c>
      <c r="AG45" s="113"/>
    </row>
    <row r="46" ht="21.95" customHeight="1">
      <c r="B46" s="38" t="s">
        <v>35</v>
      </c>
      <c r="C46" s="276">
        <v>46.088160301569645284884439501</v>
      </c>
      <c r="D46" s="94">
        <v>44.733715836526181353767560664</v>
      </c>
      <c r="E46" s="94">
        <v>49.756696329254727474972191324</v>
      </c>
      <c r="F46" s="94">
        <v>52.423996807151979565772669221</v>
      </c>
      <c r="G46" s="94">
        <v>47.600541342232109751575824991</v>
      </c>
      <c r="H46" s="94">
        <v>38.200936843406253862316153751</v>
      </c>
      <c r="I46" s="94">
        <v>40.684862707535121328224776501</v>
      </c>
      <c r="J46" s="94">
        <v>52.216649981460882461994809047</v>
      </c>
      <c r="K46" s="94">
        <v>48.077441890166028097062579821</v>
      </c>
      <c r="L46" s="1011">
        <v>39.412042392782103571869978989</v>
      </c>
      <c r="M46" s="94">
        <v>41.527631936719812136942281547</v>
      </c>
      <c r="N46" s="94">
        <v>60.402681992337164750957854406</v>
      </c>
      <c r="O46" s="94">
        <v>54.880341737733283895686565319</v>
      </c>
      <c r="P46" s="94">
        <v>51.600790549169859514687100894</v>
      </c>
      <c r="Q46" s="94">
        <v>54.016559757755530836732171549</v>
      </c>
      <c r="R46" s="94">
        <v>61.029471902937420178799489144</v>
      </c>
      <c r="S46" s="94">
        <v>55.827742553454455567914967248</v>
      </c>
      <c r="T46" s="1011">
        <v>55.423358052156717340254603881</v>
      </c>
      <c r="U46" s="113"/>
      <c r="V46" s="276">
        <v>52.607996546993992715576368195</v>
      </c>
      <c r="W46" s="94">
        <v>46.416994017181842513866420699</v>
      </c>
      <c r="X46" s="277">
        <v>54.247438784037336612900682718</v>
      </c>
      <c r="Y46" s="113"/>
      <c r="Z46" s="276">
        <v>56.789942945194069631850741296</v>
      </c>
      <c r="AA46" s="94">
        <v>46.0061492170581375978677328</v>
      </c>
      <c r="AB46" s="277">
        <v>57.387698650674662668665667166</v>
      </c>
      <c r="AC46" s="113"/>
      <c r="AD46" s="276">
        <v>50.149988085865742927622946518</v>
      </c>
      <c r="AE46" s="94">
        <v>45.661165187127738390352700362</v>
      </c>
      <c r="AF46" s="277">
        <v>51.193112948092163963680260326</v>
      </c>
      <c r="AG46" s="113"/>
    </row>
    <row r="47" ht="21.95" customHeight="1">
      <c r="B47" s="40" t="s">
        <v>99</v>
      </c>
      <c r="C47" s="576">
        <v>111.40111528959426558855035514</v>
      </c>
      <c r="D47" s="113">
        <v>106.44465734005067531866431973</v>
      </c>
      <c r="E47" s="113">
        <v>89.54823527968099345235239925</v>
      </c>
      <c r="F47" s="113">
        <v>73.074527214145384895890551230</v>
      </c>
      <c r="G47" s="113">
        <v>83.56995713236501272672012399</v>
      </c>
      <c r="H47" s="113">
        <v>95.83482390773500733880587465</v>
      </c>
      <c r="I47" s="113">
        <v>146.72930988793823367510814297</v>
      </c>
      <c r="J47" s="113">
        <v>93.33813816982838408503442137</v>
      </c>
      <c r="K47" s="113">
        <v>82.59034716439105299701165687</v>
      </c>
      <c r="L47" s="1008">
        <v>70.395597421884315460890168550</v>
      </c>
      <c r="M47" s="113">
        <v>70.057370197374693527902924210</v>
      </c>
      <c r="N47" s="113">
        <v>81.86203779121990231860708330</v>
      </c>
      <c r="O47" s="113">
        <v>94.94850906629465869010139548</v>
      </c>
      <c r="P47" s="113">
        <v>73.101186863823067253764985430</v>
      </c>
      <c r="Q47" s="113">
        <v>80.11447818032084266395365860</v>
      </c>
      <c r="R47" s="113">
        <v>69.624179093028002887849018270</v>
      </c>
      <c r="S47" s="113">
        <v>65.642726288160412429951968580</v>
      </c>
      <c r="T47" s="1008">
        <v>71.917987128624013593218051080</v>
      </c>
      <c r="U47" s="113"/>
      <c r="V47" s="576">
        <v>96.59202464136809956395700842</v>
      </c>
      <c r="W47" s="113">
        <v>94.54268799898203823726235712</v>
      </c>
      <c r="X47" s="577">
        <v>76.022117719529735055147334400</v>
      </c>
      <c r="Y47" s="113"/>
      <c r="Z47" s="576">
        <v>95.36545378317098208040365104</v>
      </c>
      <c r="AA47" s="113">
        <v>83.10169267294911737021260983</v>
      </c>
      <c r="AB47" s="577">
        <v>69.065527646074878104687011640</v>
      </c>
      <c r="AC47" s="113"/>
      <c r="AD47" s="576">
        <v>96.35161915456706665580874628</v>
      </c>
      <c r="AE47" s="113">
        <v>103.05608215644492059926338431</v>
      </c>
      <c r="AF47" s="577">
        <v>82.27993035752085919288325014</v>
      </c>
      <c r="AG47" s="113"/>
    </row>
    <row r="48" ht="21.95" customHeight="1">
      <c r="A48" s="23"/>
      <c r="B48" s="39" t="s">
        <v>23</v>
      </c>
      <c r="C48" s="273" t="s">
        <v>182</v>
      </c>
      <c r="D48" s="274" t="s">
        <v>181</v>
      </c>
      <c r="E48" s="274" t="s">
        <v>186</v>
      </c>
      <c r="F48" s="274" t="s">
        <v>186</v>
      </c>
      <c r="G48" s="274" t="s">
        <v>186</v>
      </c>
      <c r="H48" s="274" t="s">
        <v>181</v>
      </c>
      <c r="I48" s="274" t="s">
        <v>182</v>
      </c>
      <c r="J48" s="274" t="s">
        <v>184</v>
      </c>
      <c r="K48" s="274" t="s">
        <v>186</v>
      </c>
      <c r="L48" s="1009" t="s">
        <v>186</v>
      </c>
      <c r="M48" s="274" t="s">
        <v>186</v>
      </c>
      <c r="N48" s="274" t="s">
        <v>186</v>
      </c>
      <c r="O48" s="274" t="s">
        <v>181</v>
      </c>
      <c r="P48" s="274" t="s">
        <v>184</v>
      </c>
      <c r="Q48" s="274" t="s">
        <v>181</v>
      </c>
      <c r="R48" s="274" t="s">
        <v>184</v>
      </c>
      <c r="S48" s="274" t="s">
        <v>197</v>
      </c>
      <c r="T48" s="1009" t="s">
        <v>186</v>
      </c>
      <c r="U48" s="113"/>
      <c r="V48" s="273" t="s">
        <v>181</v>
      </c>
      <c r="W48" s="274" t="s">
        <v>184</v>
      </c>
      <c r="X48" s="275" t="s">
        <v>186</v>
      </c>
      <c r="Y48" s="113"/>
      <c r="Z48" s="273" t="s">
        <v>184</v>
      </c>
      <c r="AA48" s="274" t="s">
        <v>186</v>
      </c>
      <c r="AB48" s="275" t="s">
        <v>186</v>
      </c>
      <c r="AC48" s="113"/>
      <c r="AD48" s="273" t="s">
        <v>184</v>
      </c>
      <c r="AE48" s="274" t="s">
        <v>182</v>
      </c>
      <c r="AF48" s="275" t="s">
        <v>184</v>
      </c>
      <c r="AG48" s="113"/>
    </row>
    <row r="49" ht="21.95" customHeight="1">
      <c r="B49" s="25" t="s">
        <v>68</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3">
        <v>-4.9153346644153312349941984500</v>
      </c>
      <c r="D50" s="574">
        <v>-9.734559362771999342678643710</v>
      </c>
      <c r="E50" s="574">
        <v>-9.108070986195240707175412560</v>
      </c>
      <c r="F50" s="574">
        <v>-43.964988288624132992069287490</v>
      </c>
      <c r="G50" s="574">
        <v>-26.414809480785131019138690630</v>
      </c>
      <c r="H50" s="574">
        <v>-9.621859739982332590239049250</v>
      </c>
      <c r="I50" s="574">
        <v>0.252172003579827430114328600</v>
      </c>
      <c r="J50" s="574">
        <v>-15.731459846152867457443652470</v>
      </c>
      <c r="K50" s="574">
        <v>-22.471081607120345418385740430</v>
      </c>
      <c r="L50" s="1006">
        <v>-38.532765790520028260549492340</v>
      </c>
      <c r="M50" s="574">
        <v>-30.168263932104018744927954770</v>
      </c>
      <c r="N50" s="574">
        <v>-4.2397885238135176603058353200</v>
      </c>
      <c r="O50" s="574">
        <v>1.4906525980252823073191516900</v>
      </c>
      <c r="P50" s="574">
        <v>-20.782352608370028584775291310</v>
      </c>
      <c r="Q50" s="574">
        <v>-2.8753737185695724921816157400</v>
      </c>
      <c r="R50" s="574">
        <v>10.918389954639361677116857900</v>
      </c>
      <c r="S50" s="574">
        <v>-7.8756141005612533055346106500</v>
      </c>
      <c r="T50" s="1006">
        <v>8.876210484540829558418880230</v>
      </c>
      <c r="U50" s="113"/>
      <c r="V50" s="573">
        <v>-5.4498566601044011951264460300</v>
      </c>
      <c r="W50" s="574">
        <v>-13.640140827841373410364224720</v>
      </c>
      <c r="X50" s="575">
        <v>-6.0245867766983078444289619800</v>
      </c>
      <c r="Y50" s="113"/>
      <c r="Z50" s="573">
        <v>3.8149372043693094200003185100</v>
      </c>
      <c r="AA50" s="574">
        <v>-29.406739435770625941070405030</v>
      </c>
      <c r="AB50" s="575">
        <v>3.6703081915240987877239274800</v>
      </c>
      <c r="AC50" s="113"/>
      <c r="AD50" s="573">
        <v>-12.929983114660578908811270790</v>
      </c>
      <c r="AE50" s="574">
        <v>-2.6152920205318759263768450100</v>
      </c>
      <c r="AF50" s="575">
        <v>-10.487262993585747320588677520</v>
      </c>
      <c r="AG50" s="113"/>
    </row>
    <row r="51" ht="21.95" customHeight="1">
      <c r="B51" s="38" t="s">
        <v>35</v>
      </c>
      <c r="C51" s="271">
        <v>-17.275995501182469439366984020</v>
      </c>
      <c r="D51" s="92">
        <v>-12.503483786069532348063444510</v>
      </c>
      <c r="E51" s="92">
        <v>-4.9522335791000322531632566200</v>
      </c>
      <c r="F51" s="92">
        <v>-27.841716771332749435837484900</v>
      </c>
      <c r="G51" s="92">
        <v>-15.317903194515528110631595870</v>
      </c>
      <c r="H51" s="92">
        <v>-9.087012309985004823797296240</v>
      </c>
      <c r="I51" s="92">
        <v>-0.2562395295616795347697629200</v>
      </c>
      <c r="J51" s="92">
        <v>-8.983742752707587720661325750</v>
      </c>
      <c r="K51" s="92">
        <v>12.325914972204516079284144640</v>
      </c>
      <c r="L51" s="1007">
        <v>10.992506018824906253450566210</v>
      </c>
      <c r="M51" s="92">
        <v>4.681988181074219247520359500</v>
      </c>
      <c r="N51" s="92">
        <v>12.468007607706512310817120200</v>
      </c>
      <c r="O51" s="92">
        <v>19.076876530973300470817431420</v>
      </c>
      <c r="P51" s="92">
        <v>15.351004458848783778447697870</v>
      </c>
      <c r="Q51" s="92">
        <v>8.561387195530191156284275930</v>
      </c>
      <c r="R51" s="92">
        <v>16.415145009614241656041119980</v>
      </c>
      <c r="S51" s="92">
        <v>17.283839593565032125864761310</v>
      </c>
      <c r="T51" s="1007">
        <v>45.083766608546528189186739120</v>
      </c>
      <c r="U51" s="113"/>
      <c r="V51" s="271">
        <v>1.8719292399021334883051389100</v>
      </c>
      <c r="W51" s="92">
        <v>-11.768177722348947382228429910</v>
      </c>
      <c r="X51" s="272">
        <v>16.869779986045055945029385350</v>
      </c>
      <c r="Y51" s="113"/>
      <c r="Z51" s="271">
        <v>4.3875308766526935156593953200</v>
      </c>
      <c r="AA51" s="92">
        <v>-18.988914531130604524804397990</v>
      </c>
      <c r="AB51" s="272">
        <v>24.739191667326638356319576530</v>
      </c>
      <c r="AC51" s="113"/>
      <c r="AD51" s="271">
        <v>-4.2020831568685197885206116700</v>
      </c>
      <c r="AE51" s="92">
        <v>-8.950795543726806549955650660</v>
      </c>
      <c r="AF51" s="272">
        <v>12.115213745257264124347066370</v>
      </c>
      <c r="AG51" s="113"/>
    </row>
    <row r="52" ht="21.95" customHeight="1">
      <c r="B52" s="40" t="s">
        <v>99</v>
      </c>
      <c r="C52" s="576">
        <v>14.942048455577334367872185490</v>
      </c>
      <c r="D52" s="113">
        <v>3.1646110532395557397300995700</v>
      </c>
      <c r="E52" s="113">
        <v>-4.3723672462297624557242437500</v>
      </c>
      <c r="F52" s="113">
        <v>-22.344311416392235215524176850</v>
      </c>
      <c r="G52" s="113">
        <v>-13.104194044306352753261856430</v>
      </c>
      <c r="H52" s="113">
        <v>-0.5883069554580389458040515400</v>
      </c>
      <c r="I52" s="113">
        <v>0.5097176313686505395220132200</v>
      </c>
      <c r="J52" s="113">
        <v>-7.4137492547958060138828950400</v>
      </c>
      <c r="K52" s="113">
        <v>-30.978600608781541339658183040</v>
      </c>
      <c r="L52" s="1008">
        <v>-44.620374461148710702030691910</v>
      </c>
      <c r="M52" s="113">
        <v>-33.291545870279822346014659320</v>
      </c>
      <c r="N52" s="113">
        <v>-14.855598927025859045989815420</v>
      </c>
      <c r="O52" s="113">
        <v>-14.768798481536653297741639810</v>
      </c>
      <c r="P52" s="113">
        <v>-31.324700844065498915148228400</v>
      </c>
      <c r="Q52" s="113">
        <v>-10.534833065010415060902328760</v>
      </c>
      <c r="R52" s="113">
        <v>-4.7216838105060496304786611500</v>
      </c>
      <c r="S52" s="113">
        <v>-21.451765035415120128826214870</v>
      </c>
      <c r="T52" s="1008">
        <v>-24.956311081774054841755019590</v>
      </c>
      <c r="U52" s="113"/>
      <c r="V52" s="576">
        <v>-7.187245745454941405348885300</v>
      </c>
      <c r="W52" s="113">
        <v>-2.1216416676492378981886030300</v>
      </c>
      <c r="X52" s="577">
        <v>-19.589637941821752861808713470</v>
      </c>
      <c r="Y52" s="113"/>
      <c r="Z52" s="576">
        <v>-0.5485268857629388877211294300</v>
      </c>
      <c r="AA52" s="113">
        <v>-12.859752272694916921372775150</v>
      </c>
      <c r="AB52" s="577">
        <v>-16.890347928379088460978751320</v>
      </c>
      <c r="AC52" s="113"/>
      <c r="AD52" s="576">
        <v>-9.110740865138520168761621100</v>
      </c>
      <c r="AE52" s="113">
        <v>6.9583293572756088435994967900</v>
      </c>
      <c r="AF52" s="577">
        <v>-20.160044282829257518999985950</v>
      </c>
      <c r="AG52" s="113"/>
    </row>
    <row r="53" ht="21.95" customHeight="1">
      <c r="A53" s="23"/>
      <c r="B53" s="39" t="s">
        <v>23</v>
      </c>
      <c r="C53" s="273" t="s">
        <v>182</v>
      </c>
      <c r="D53" s="274" t="s">
        <v>181</v>
      </c>
      <c r="E53" s="274" t="s">
        <v>181</v>
      </c>
      <c r="F53" s="274" t="s">
        <v>186</v>
      </c>
      <c r="G53" s="274" t="s">
        <v>184</v>
      </c>
      <c r="H53" s="274" t="s">
        <v>181</v>
      </c>
      <c r="I53" s="274" t="s">
        <v>181</v>
      </c>
      <c r="J53" s="274" t="s">
        <v>186</v>
      </c>
      <c r="K53" s="274" t="s">
        <v>186</v>
      </c>
      <c r="L53" s="1009" t="s">
        <v>197</v>
      </c>
      <c r="M53" s="274" t="s">
        <v>186</v>
      </c>
      <c r="N53" s="274" t="s">
        <v>184</v>
      </c>
      <c r="O53" s="274" t="s">
        <v>197</v>
      </c>
      <c r="P53" s="274" t="s">
        <v>184</v>
      </c>
      <c r="Q53" s="274" t="s">
        <v>184</v>
      </c>
      <c r="R53" s="274" t="s">
        <v>186</v>
      </c>
      <c r="S53" s="274" t="s">
        <v>186</v>
      </c>
      <c r="T53" s="1009" t="s">
        <v>197</v>
      </c>
      <c r="U53" s="113"/>
      <c r="V53" s="273" t="s">
        <v>184</v>
      </c>
      <c r="W53" s="274" t="s">
        <v>184</v>
      </c>
      <c r="X53" s="275" t="s">
        <v>186</v>
      </c>
      <c r="Y53" s="113"/>
      <c r="Z53" s="273" t="s">
        <v>184</v>
      </c>
      <c r="AA53" s="274" t="s">
        <v>186</v>
      </c>
      <c r="AB53" s="275" t="s">
        <v>186</v>
      </c>
      <c r="AC53" s="113"/>
      <c r="AD53" s="273" t="s">
        <v>184</v>
      </c>
      <c r="AE53" s="274" t="s">
        <v>193</v>
      </c>
      <c r="AF53" s="275" t="s">
        <v>197</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12" t="s">
        <v>100</v>
      </c>
      <c r="C55" s="1012"/>
      <c r="D55" s="1012"/>
      <c r="E55" s="1012"/>
      <c r="F55" s="1012"/>
      <c r="G55" s="1012"/>
      <c r="H55" s="1012"/>
      <c r="I55" s="1012"/>
      <c r="J55" s="1012"/>
      <c r="K55" s="1012"/>
      <c r="L55" s="1012"/>
      <c r="M55" s="1012"/>
      <c r="N55" s="1012"/>
      <c r="O55" s="1012"/>
      <c r="P55" s="1012"/>
      <c r="Q55" s="1012"/>
      <c r="R55" s="1012"/>
      <c r="S55" s="1012"/>
      <c r="T55" s="1012"/>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13" t="s">
        <v>126</v>
      </c>
      <c r="C57" s="1013"/>
      <c r="D57" s="1013"/>
      <c r="E57" s="1013"/>
      <c r="F57" s="1013"/>
      <c r="G57" s="1013"/>
      <c r="H57" s="1013"/>
      <c r="I57" s="1013"/>
      <c r="J57" s="1013"/>
      <c r="K57" s="1013"/>
      <c r="L57" s="1013"/>
      <c r="M57" s="1013"/>
      <c r="N57" s="1013"/>
      <c r="O57" s="1013"/>
      <c r="P57" s="1013"/>
      <c r="Q57" s="1013"/>
      <c r="R57" s="1013"/>
      <c r="S57" s="1013"/>
      <c r="T57" s="1013"/>
      <c r="U57" s="1013"/>
      <c r="V57" s="1013"/>
      <c r="W57" s="1013"/>
      <c r="X57" s="1013"/>
      <c r="Y57" s="1013"/>
      <c r="Z57" s="1013"/>
      <c r="AA57" s="1013"/>
      <c r="AB57" s="1013"/>
      <c r="AC57" s="1013"/>
      <c r="AD57" s="1013"/>
      <c r="AE57" s="1013"/>
      <c r="AF57" s="1013"/>
    </row>
    <row r="58">
      <c r="A58"/>
    </row>
    <row r="59" s="281" customFormat="1">
      <c r="A59" s="1014"/>
      <c r="B59" s="1014" t="s">
        <v>109</v>
      </c>
      <c r="C59" s="1014"/>
      <c r="D59" s="1014"/>
      <c r="E59" s="1014"/>
      <c r="F59" s="1014"/>
      <c r="G59" s="1014"/>
      <c r="H59" s="1014"/>
      <c r="I59" s="1014"/>
      <c r="J59" s="1014"/>
      <c r="K59" s="1014"/>
      <c r="L59" s="1014"/>
      <c r="M59" s="1014"/>
      <c r="N59" s="1014"/>
      <c r="O59" s="1014"/>
      <c r="P59" s="1014"/>
      <c r="Q59" s="1014"/>
      <c r="R59" s="1014"/>
      <c r="S59" s="1014"/>
      <c r="T59" s="1014"/>
      <c r="U59" s="1014"/>
      <c r="V59" s="1014"/>
      <c r="W59" s="1014"/>
      <c r="X59" s="1014"/>
      <c r="Y59" s="1014"/>
      <c r="Z59" s="1014"/>
      <c r="AA59" s="1014"/>
      <c r="AB59" s="1014"/>
      <c r="AC59" s="1014"/>
      <c r="AD59" s="1014"/>
      <c r="AE59" s="1014"/>
      <c r="AF59" s="1014"/>
      <c r="AG59" s="1014"/>
    </row>
    <row r="60" s="281" customFormat="1">
      <c r="A60" s="1014"/>
      <c r="B60" s="1014" t="s">
        <v>110</v>
      </c>
      <c r="C60" s="1014">
        <v>100</v>
      </c>
      <c r="D60" s="1014">
        <v>100</v>
      </c>
      <c r="E60" s="1014">
        <v>100</v>
      </c>
      <c r="F60" s="1014">
        <v>100</v>
      </c>
      <c r="G60" s="1014">
        <v>100</v>
      </c>
      <c r="H60" s="1014">
        <v>100</v>
      </c>
      <c r="I60" s="1014">
        <v>100</v>
      </c>
      <c r="J60" s="1014">
        <v>100</v>
      </c>
      <c r="K60" s="1014">
        <v>100</v>
      </c>
      <c r="L60" s="1014">
        <v>100</v>
      </c>
      <c r="M60" s="1014">
        <v>100</v>
      </c>
      <c r="N60" s="1014">
        <v>100</v>
      </c>
      <c r="O60" s="1014">
        <v>100</v>
      </c>
      <c r="P60" s="1014">
        <v>100</v>
      </c>
      <c r="Q60" s="1014">
        <v>100</v>
      </c>
      <c r="R60" s="1014">
        <v>100</v>
      </c>
      <c r="S60" s="1014">
        <v>100</v>
      </c>
      <c r="T60" s="1014">
        <v>100</v>
      </c>
      <c r="U60" s="1014"/>
      <c r="V60" s="1014"/>
      <c r="W60" s="1014"/>
      <c r="X60" s="1014"/>
      <c r="Y60" s="1014"/>
      <c r="Z60" s="1014"/>
      <c r="AA60" s="1014"/>
      <c r="AB60" s="1014"/>
      <c r="AC60" s="1014"/>
      <c r="AD60" s="1014"/>
      <c r="AE60" s="1014"/>
      <c r="AF60" s="1014"/>
      <c r="AG60" s="1014"/>
    </row>
    <row r="61" s="281" customFormat="1">
      <c r="A61" s="1014"/>
      <c r="B61" s="1014" t="s">
        <v>111</v>
      </c>
      <c r="C61" s="1014"/>
      <c r="D61" s="1014"/>
      <c r="E61" s="1014"/>
      <c r="F61" s="1014"/>
      <c r="G61" s="1014"/>
      <c r="H61" s="1014"/>
      <c r="I61" s="1014"/>
      <c r="J61" s="1014"/>
      <c r="K61" s="1014"/>
      <c r="L61" s="1014"/>
      <c r="M61" s="1014"/>
      <c r="N61" s="1014"/>
      <c r="O61" s="1014"/>
      <c r="P61" s="1014"/>
      <c r="Q61" s="1014"/>
      <c r="R61" s="1014"/>
      <c r="S61" s="1014"/>
      <c r="T61" s="1014"/>
      <c r="U61" s="1014"/>
      <c r="V61" s="1014"/>
      <c r="W61" s="1014"/>
      <c r="X61" s="1014"/>
      <c r="Y61" s="1014"/>
      <c r="Z61" s="1014"/>
      <c r="AA61" s="1014"/>
      <c r="AB61" s="1014"/>
      <c r="AC61" s="1014"/>
      <c r="AD61" s="1014"/>
      <c r="AE61" s="1014"/>
      <c r="AF61" s="1014"/>
      <c r="AG61" s="1014"/>
    </row>
    <row r="62" s="281" customFormat="1">
      <c r="A62" s="1014"/>
      <c r="B62" s="1014"/>
      <c r="C62" s="1014"/>
      <c r="D62" s="1014"/>
      <c r="E62" s="1014"/>
      <c r="F62" s="1014"/>
      <c r="G62" s="1014"/>
      <c r="H62" s="1014"/>
      <c r="I62" s="1014"/>
      <c r="J62" s="1014"/>
      <c r="K62" s="1014"/>
      <c r="L62" s="1014"/>
      <c r="M62" s="1014"/>
      <c r="N62" s="1014"/>
      <c r="O62" s="1014"/>
      <c r="P62" s="1014"/>
      <c r="Q62" s="1014"/>
      <c r="R62" s="1014"/>
      <c r="S62" s="1014"/>
      <c r="T62" s="1014"/>
      <c r="U62" s="1014"/>
      <c r="V62" s="1014"/>
      <c r="W62" s="1014"/>
      <c r="X62" s="1014"/>
      <c r="Y62" s="1014"/>
      <c r="Z62" s="1014"/>
      <c r="AA62" s="1014"/>
      <c r="AB62" s="1014"/>
      <c r="AC62" s="1014"/>
      <c r="AD62" s="1014"/>
      <c r="AE62" s="1014"/>
      <c r="AF62" s="1014"/>
      <c r="AG62" s="1014"/>
    </row>
    <row r="63" s="281" customFormat="1">
      <c r="A63" s="1014"/>
      <c r="B63" s="1014"/>
      <c r="C63" s="1014"/>
      <c r="D63" s="1014"/>
      <c r="E63" s="1014"/>
      <c r="F63" s="1014"/>
      <c r="G63" s="1014"/>
      <c r="H63" s="1014"/>
      <c r="I63" s="1014"/>
      <c r="J63" s="1014"/>
      <c r="K63" s="1014"/>
      <c r="L63" s="1014"/>
      <c r="M63" s="1014"/>
      <c r="N63" s="1014"/>
      <c r="O63" s="1014"/>
      <c r="P63" s="1014"/>
      <c r="Q63" s="1014"/>
      <c r="R63" s="1014"/>
      <c r="S63" s="1014"/>
      <c r="T63" s="1014"/>
      <c r="U63" s="1014"/>
      <c r="V63" s="1014"/>
      <c r="W63" s="1014"/>
      <c r="X63" s="1014"/>
      <c r="Y63" s="1014"/>
      <c r="Z63" s="1014"/>
      <c r="AA63" s="1014"/>
      <c r="AB63" s="1014"/>
      <c r="AC63" s="1014"/>
      <c r="AD63" s="1014"/>
      <c r="AE63" s="1014"/>
      <c r="AF63" s="1014"/>
      <c r="AG63" s="1014"/>
    </row>
    <row r="64" s="281" customFormat="1">
      <c r="A64" s="1014"/>
      <c r="B64" s="1014"/>
      <c r="C64" s="1014"/>
      <c r="D64" s="1014"/>
      <c r="E64" s="1014"/>
      <c r="F64" s="1014"/>
      <c r="G64" s="1014"/>
      <c r="H64" s="1014"/>
      <c r="I64" s="1014"/>
      <c r="J64" s="1014"/>
      <c r="K64" s="1014"/>
      <c r="L64" s="1014"/>
      <c r="M64" s="1014"/>
      <c r="N64" s="1014"/>
      <c r="O64" s="1014"/>
      <c r="P64" s="1014"/>
      <c r="Q64" s="1014"/>
      <c r="R64" s="1014"/>
      <c r="S64" s="1014"/>
      <c r="T64" s="1014"/>
      <c r="U64" s="1014"/>
      <c r="V64" s="1014"/>
      <c r="W64" s="1014"/>
      <c r="X64" s="1014"/>
      <c r="Y64" s="1014"/>
      <c r="Z64" s="1014"/>
      <c r="AA64" s="1014"/>
      <c r="AB64" s="1014"/>
      <c r="AC64" s="1014"/>
      <c r="AD64" s="1014"/>
      <c r="AE64" s="1014"/>
      <c r="AF64" s="1014"/>
      <c r="AG64" s="1014"/>
    </row>
    <row r="65" s="281" customFormat="1">
      <c r="A65" s="1014"/>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row>
    <row r="66" s="281" customFormat="1" ht="10.5" customHeight="1">
      <c r="A66" s="1014"/>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row>
    <row r="67" s="281" customFormat="1">
      <c r="A67" s="1014"/>
      <c r="B67" s="1014" t="s">
        <v>37</v>
      </c>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row>
    <row r="68" s="281" customFormat="1">
      <c r="A68" s="1014"/>
      <c r="B68" s="1014" t="s">
        <v>44</v>
      </c>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row>
    <row r="69" s="281" customFormat="1">
      <c r="A69" s="1014"/>
      <c r="B69" s="1014" t="s">
        <v>45</v>
      </c>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row>
    <row r="70" s="281" customFormat="1">
      <c r="A70" s="1014"/>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row>
    <row r="71" s="281" customFormat="1">
      <c r="A71" s="1014"/>
      <c r="B71" s="1014"/>
      <c r="C71" s="1014"/>
      <c r="D71" s="1014"/>
      <c r="E71" s="1014"/>
      <c r="F71" s="1014"/>
      <c r="G71" s="1014"/>
      <c r="H71" s="1014"/>
      <c r="I71" s="1014"/>
      <c r="J71" s="1014"/>
      <c r="K71" s="1014"/>
      <c r="L71" s="1014"/>
      <c r="M71" s="1014"/>
      <c r="N71" s="1014"/>
      <c r="O71" s="1014"/>
      <c r="P71" s="1014"/>
      <c r="Q71" s="1014"/>
      <c r="R71" s="1014"/>
      <c r="S71" s="1014"/>
      <c r="T71" s="1014"/>
      <c r="U71" s="1014"/>
      <c r="V71" s="1014"/>
      <c r="W71" s="1014"/>
      <c r="X71" s="1014"/>
      <c r="Y71" s="1014"/>
      <c r="Z71" s="1014"/>
      <c r="AA71" s="1014"/>
      <c r="AB71" s="1014"/>
      <c r="AC71" s="1014"/>
      <c r="AD71" s="1014"/>
      <c r="AE71" s="1014"/>
      <c r="AF71" s="1014"/>
      <c r="AG71" s="1014"/>
    </row>
    <row r="72" s="281" customFormat="1">
      <c r="A72" s="1014"/>
      <c r="B72" s="1014"/>
      <c r="C72" s="1014"/>
      <c r="D72" s="1014"/>
      <c r="E72" s="1014"/>
      <c r="F72" s="1014"/>
      <c r="G72" s="1014"/>
      <c r="H72" s="1014"/>
      <c r="I72" s="1014"/>
      <c r="J72" s="1014"/>
      <c r="K72" s="1014"/>
      <c r="L72" s="1014"/>
      <c r="M72" s="1014"/>
      <c r="N72" s="1014"/>
      <c r="O72" s="1014"/>
      <c r="P72" s="1014"/>
      <c r="Q72" s="1014"/>
      <c r="R72" s="1014"/>
      <c r="S72" s="1014"/>
      <c r="T72" s="1014"/>
      <c r="U72" s="1014"/>
      <c r="V72" s="1014"/>
      <c r="W72" s="1014"/>
      <c r="X72" s="1014"/>
      <c r="Y72" s="1014"/>
      <c r="Z72" s="1014"/>
      <c r="AA72" s="1014"/>
      <c r="AB72" s="1014"/>
      <c r="AC72" s="1014"/>
      <c r="AD72" s="1014"/>
      <c r="AE72" s="1014"/>
      <c r="AF72" s="1014"/>
      <c r="AG72" s="1014"/>
    </row>
    <row r="73" s="281" customFormat="1">
      <c r="A73" s="1014"/>
      <c r="B73" s="1014"/>
      <c r="C73" s="1014"/>
      <c r="D73" s="1014"/>
      <c r="E73" s="1014"/>
      <c r="F73" s="1014"/>
      <c r="G73" s="1014"/>
      <c r="H73" s="1014"/>
      <c r="I73" s="1014"/>
      <c r="J73" s="1014"/>
      <c r="K73" s="1014"/>
      <c r="L73" s="1014"/>
      <c r="M73" s="1014"/>
      <c r="N73" s="1014"/>
      <c r="O73" s="1014"/>
      <c r="P73" s="1014"/>
      <c r="Q73" s="1014"/>
      <c r="R73" s="1014"/>
      <c r="S73" s="1014"/>
      <c r="T73" s="1014"/>
      <c r="U73" s="1014"/>
      <c r="V73" s="1014"/>
      <c r="W73" s="1014"/>
      <c r="X73" s="1014"/>
      <c r="Y73" s="1014"/>
      <c r="Z73" s="1014"/>
      <c r="AA73" s="1014"/>
      <c r="AB73" s="1014"/>
      <c r="AC73" s="1014"/>
      <c r="AD73" s="1014"/>
      <c r="AE73" s="1014"/>
      <c r="AF73" s="1014"/>
      <c r="AG73" s="1014"/>
    </row>
    <row r="74" s="281" customFormat="1"/>
    <row r="75" s="281" customFormat="1"/>
    <row r="76" s="281" customFormat="1"/>
    <row r="77" s="281" customFormat="1"/>
    <row r="78" s="281" customFormat="1"/>
    <row r="79" s="281" customFormat="1"/>
    <row r="80" s="281" customFormat="1"/>
    <row r="81" s="281" customFormat="1"/>
    <row r="82" s="281" customFormat="1"/>
    <row r="83" s="281" customFormat="1"/>
    <row r="84" s="281" customFormat="1"/>
    <row r="85" s="281" customFormat="1"/>
    <row r="86" s="281" customFormat="1"/>
    <row r="87" s="281" customFormat="1"/>
    <row r="88" s="281" customFormat="1"/>
    <row r="89" s="281" customFormat="1"/>
    <row r="90" s="281" customFormat="1"/>
    <row r="91" s="281" customFormat="1"/>
    <row r="92" s="281" customFormat="1"/>
    <row r="93" s="281" customFormat="1"/>
    <row r="94" s="281" customFormat="1"/>
  </sheetData>
  <mergeCells count="25">
    <mergeCell ref="Z19:AB19"/>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C19:L19"/>
    <mergeCell ref="C31:L31"/>
    <mergeCell ref="C43:L43"/>
    <mergeCell ref="M19:T19"/>
    <mergeCell ref="M31:T31"/>
    <mergeCell ref="M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xl/worksheets/sheet3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pageSetUpPr fitToPage="1"/>
  </sheetPr>
  <dimension ref="A1:AO79"/>
  <sheetViews>
    <sheetView showGridLines="0" workbookViewId="0"/>
  </sheetViews>
  <sheetFormatPr defaultRowHeight="12.75"/>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236" customWidth="1"/>
  </cols>
  <sheetData>
    <row r="1" ht="26.25" customHeight="1">
      <c r="B1" s="20" t="s">
        <v>139</v>
      </c>
      <c r="C1" s="12"/>
      <c r="D1" s="12"/>
      <c r="E1" s="12"/>
      <c r="F1" s="12"/>
      <c r="G1" s="12"/>
      <c r="H1" s="2"/>
      <c r="I1" s="2"/>
      <c r="J1" s="2"/>
      <c r="K1" s="2"/>
      <c r="L1" s="2"/>
      <c r="M1" s="2"/>
      <c r="N1" s="2"/>
      <c r="O1" s="2"/>
      <c r="P1" s="131"/>
      <c r="Q1" s="2"/>
      <c r="R1" s="2"/>
      <c r="S1" s="222"/>
      <c r="T1" s="2"/>
      <c r="U1" s="236"/>
    </row>
    <row r="2" ht="14.25" customHeight="1">
      <c r="B2" s="999" t="s">
        <v>170</v>
      </c>
      <c r="C2" s="999"/>
      <c r="D2" s="999"/>
      <c r="E2" s="999"/>
      <c r="F2" s="999"/>
      <c r="G2" s="999"/>
      <c r="H2" s="999"/>
      <c r="I2" s="999"/>
      <c r="J2" s="999"/>
      <c r="K2" s="999"/>
      <c r="L2" s="999"/>
      <c r="M2" s="999"/>
      <c r="N2" s="999"/>
      <c r="O2" s="999"/>
      <c r="P2" s="999"/>
      <c r="Q2" s="999"/>
      <c r="R2" s="999"/>
      <c r="S2" s="999"/>
      <c r="T2" s="2"/>
    </row>
    <row r="3" ht="14.25" customHeight="1">
      <c r="B3" s="1030" t="s">
        <v>171</v>
      </c>
      <c r="C3" s="1030"/>
      <c r="D3" s="1030"/>
      <c r="E3" s="1030"/>
      <c r="F3" s="1030"/>
      <c r="G3" s="1030"/>
      <c r="H3" s="1030"/>
      <c r="I3" s="1030"/>
      <c r="J3" s="1030"/>
      <c r="K3" s="1030"/>
      <c r="L3" s="1030"/>
      <c r="M3" s="1030"/>
      <c r="N3" s="1030"/>
      <c r="O3" s="1030"/>
      <c r="P3" s="1030"/>
      <c r="Q3" s="1030"/>
      <c r="R3" s="1030"/>
      <c r="S3" s="1030"/>
      <c r="T3" s="2"/>
    </row>
    <row r="4" ht="14.25" customHeight="1">
      <c r="B4" s="1030" t="s">
        <v>172</v>
      </c>
      <c r="C4" s="1030"/>
      <c r="D4" s="1030"/>
      <c r="E4" s="1030"/>
      <c r="F4" s="1030"/>
      <c r="G4" s="1030"/>
      <c r="H4" s="1030"/>
      <c r="I4" s="1030"/>
      <c r="J4" s="1030"/>
      <c r="K4" s="1030"/>
      <c r="L4" s="1030"/>
      <c r="M4" s="1030"/>
      <c r="N4" s="1030"/>
      <c r="O4" s="1030"/>
      <c r="P4" s="1030"/>
      <c r="Q4" s="1030"/>
      <c r="R4" s="1030"/>
      <c r="S4" s="1030"/>
      <c r="T4" s="2"/>
    </row>
    <row r="5" ht="15" customHeight="1">
      <c r="A5" s="14"/>
      <c r="B5" s="13"/>
      <c r="C5" s="2"/>
      <c r="D5" s="2"/>
      <c r="E5" s="2"/>
      <c r="F5" s="2"/>
      <c r="G5" s="2"/>
      <c r="H5" s="2"/>
      <c r="I5" s="2"/>
      <c r="J5" s="2"/>
      <c r="K5" s="2"/>
      <c r="L5" s="2"/>
      <c r="M5" s="2"/>
      <c r="N5" s="2"/>
      <c r="O5" s="2"/>
      <c r="P5" s="2"/>
      <c r="Q5" s="2"/>
      <c r="R5" s="2"/>
      <c r="S5" s="2"/>
      <c r="T5" s="2"/>
    </row>
    <row r="6" s="0" customFormat="1" ht="18" customHeight="1">
      <c r="A6" s="14"/>
      <c r="B6" s="1031" t="s">
        <v>173</v>
      </c>
      <c r="C6" s="1031"/>
      <c r="D6" s="1031"/>
      <c r="E6" s="1031"/>
      <c r="F6" s="1031"/>
      <c r="G6" s="1031"/>
      <c r="H6" s="1031"/>
      <c r="I6" s="1031"/>
      <c r="J6" s="1031"/>
      <c r="K6" s="1031"/>
      <c r="L6" s="1031"/>
      <c r="M6" s="1031"/>
      <c r="N6" s="1031"/>
      <c r="O6" s="1031"/>
      <c r="P6" s="1031"/>
      <c r="Q6" s="1031"/>
      <c r="R6" s="1031"/>
      <c r="S6" s="1031"/>
      <c r="T6" s="2"/>
      <c r="U6" s="236"/>
      <c r="V6" s="236"/>
      <c r="W6" s="236"/>
      <c r="X6" s="236"/>
      <c r="Y6" s="236"/>
      <c r="Z6" s="236"/>
      <c r="AA6" s="236"/>
      <c r="AB6" s="236"/>
      <c r="AC6" s="236"/>
      <c r="AD6" s="236"/>
      <c r="AE6" s="236"/>
      <c r="AF6" s="236"/>
      <c r="AG6" s="236"/>
      <c r="AH6" s="236"/>
      <c r="AI6" s="236"/>
      <c r="AJ6" s="236"/>
      <c r="AK6" s="236"/>
      <c r="AL6" s="236"/>
      <c r="AM6" s="236"/>
      <c r="AN6" s="236"/>
      <c r="AO6" s="236"/>
    </row>
    <row r="7" ht="15" customHeight="1">
      <c r="A7" s="14"/>
      <c r="B7" s="13"/>
      <c r="C7" s="2"/>
      <c r="D7" s="2"/>
      <c r="E7" s="2"/>
      <c r="F7" s="2"/>
      <c r="G7" s="2"/>
      <c r="H7" s="2"/>
      <c r="I7" s="2"/>
      <c r="J7" s="2"/>
      <c r="K7" s="2"/>
      <c r="L7" s="2"/>
      <c r="M7" s="2"/>
      <c r="N7" s="2"/>
      <c r="O7" s="2"/>
      <c r="P7" s="2"/>
      <c r="Q7" s="2"/>
      <c r="R7" s="2"/>
      <c r="S7" s="2"/>
      <c r="T7" s="2"/>
    </row>
    <row r="8" ht="15" customHeight="1">
      <c r="A8" s="2"/>
      <c r="B8" s="2"/>
      <c r="C8" s="15"/>
      <c r="D8" s="1032" t="s">
        <v>11</v>
      </c>
      <c r="E8" s="1032"/>
      <c r="F8" s="1032"/>
      <c r="G8" s="2"/>
      <c r="H8" s="1032" t="s">
        <v>13</v>
      </c>
      <c r="I8" s="1032"/>
      <c r="J8" s="1032"/>
      <c r="K8" s="2"/>
      <c r="L8" s="1032" t="s">
        <v>14</v>
      </c>
      <c r="M8" s="1032"/>
      <c r="N8" s="1032"/>
      <c r="O8" s="2"/>
      <c r="P8" s="1032" t="s">
        <v>12</v>
      </c>
      <c r="Q8" s="1032"/>
      <c r="R8" s="1032"/>
      <c r="S8" s="3"/>
      <c r="T8" s="2"/>
    </row>
    <row r="9" ht="15" customHeight="1">
      <c r="A9" s="2"/>
      <c r="B9" s="2"/>
      <c r="C9" s="2"/>
      <c r="D9" s="3"/>
      <c r="E9" s="3"/>
      <c r="F9" s="171" t="s">
        <v>24</v>
      </c>
      <c r="G9" s="50"/>
      <c r="H9" s="2"/>
      <c r="I9" s="2"/>
      <c r="J9" s="171" t="s">
        <v>24</v>
      </c>
      <c r="K9" s="2"/>
      <c r="L9" s="2"/>
      <c r="M9" s="2"/>
      <c r="N9" s="171" t="s">
        <v>24</v>
      </c>
      <c r="O9" s="2"/>
      <c r="P9" s="2"/>
      <c r="Q9" s="2"/>
      <c r="R9" s="171" t="s">
        <v>24</v>
      </c>
      <c r="S9" s="2"/>
      <c r="T9" s="2"/>
    </row>
    <row r="10" ht="15" customHeight="1">
      <c r="A10" s="2"/>
      <c r="B10" s="173" t="s">
        <v>22</v>
      </c>
      <c r="C10" s="45"/>
      <c r="D10" s="18" t="s">
        <v>19</v>
      </c>
      <c r="E10" s="113">
        <v>37.859868192854665279223031560</v>
      </c>
      <c r="F10" s="113">
        <v>52.125435540362700142044294410</v>
      </c>
      <c r="G10" s="659"/>
      <c r="H10" s="18" t="s">
        <v>19</v>
      </c>
      <c r="I10" s="667">
        <v>0</v>
      </c>
      <c r="J10" s="113">
        <v>-100</v>
      </c>
      <c r="K10" s="9"/>
      <c r="L10" s="18" t="s">
        <v>19</v>
      </c>
      <c r="M10" s="667">
        <v>1.4047866805411030176899063500</v>
      </c>
      <c r="N10" s="113">
        <v>39.655172420621759810084195260</v>
      </c>
      <c r="O10" s="9"/>
      <c r="P10" s="18" t="s">
        <v>19</v>
      </c>
      <c r="Q10" s="667">
        <v>39.264654873395768296912937910</v>
      </c>
      <c r="R10" s="113">
        <v>14.285714285785130165140304960</v>
      </c>
      <c r="S10" s="674"/>
      <c r="T10" s="9"/>
    </row>
    <row r="11" ht="15" customHeight="1">
      <c r="A11" s="2"/>
      <c r="B11" s="44"/>
      <c r="C11" s="45"/>
      <c r="D11" s="133" t="s">
        <v>16</v>
      </c>
      <c r="E11" s="92"/>
      <c r="F11" s="92"/>
      <c r="G11" s="661"/>
      <c r="H11" s="133" t="s">
        <v>16</v>
      </c>
      <c r="I11" s="668"/>
      <c r="J11" s="92"/>
      <c r="K11" s="120"/>
      <c r="L11" s="133" t="s">
        <v>16</v>
      </c>
      <c r="M11" s="668"/>
      <c r="N11" s="92"/>
      <c r="O11" s="120"/>
      <c r="P11" s="133" t="s">
        <v>16</v>
      </c>
      <c r="Q11" s="668">
        <v>58.929674947472500308985292300</v>
      </c>
      <c r="R11" s="92">
        <v>57.437675417009656995540994350</v>
      </c>
      <c r="S11" s="674"/>
      <c r="T11" s="9"/>
    </row>
    <row r="12" ht="15" customHeight="1">
      <c r="A12" s="2"/>
      <c r="B12" s="44"/>
      <c r="C12" s="45"/>
      <c r="D12" s="19" t="s">
        <v>97</v>
      </c>
      <c r="E12" s="113"/>
      <c r="F12" s="113"/>
      <c r="G12" s="113"/>
      <c r="H12" s="19" t="s">
        <v>97</v>
      </c>
      <c r="I12" s="667"/>
      <c r="J12" s="113"/>
      <c r="K12" s="9"/>
      <c r="L12" s="19" t="s">
        <v>97</v>
      </c>
      <c r="M12" s="667"/>
      <c r="N12" s="113"/>
      <c r="O12" s="9"/>
      <c r="P12" s="19" t="s">
        <v>97</v>
      </c>
      <c r="Q12" s="667">
        <v>66.629681749265291578949342570</v>
      </c>
      <c r="R12" s="113">
        <v>-27.40891658689483165252280100</v>
      </c>
      <c r="S12" s="667"/>
      <c r="T12" s="9"/>
    </row>
    <row r="13" ht="15" customHeight="1">
      <c r="A13" s="2"/>
      <c r="B13" s="17"/>
      <c r="C13" s="2"/>
      <c r="D13" s="2"/>
      <c r="E13" s="662"/>
      <c r="F13" s="659"/>
      <c r="G13" s="662"/>
      <c r="H13" s="2"/>
      <c r="I13" s="9"/>
      <c r="J13" s="659"/>
      <c r="K13" s="9"/>
      <c r="L13" s="2"/>
      <c r="M13" s="9"/>
      <c r="N13" s="659"/>
      <c r="O13" s="9"/>
      <c r="P13" s="2"/>
      <c r="Q13" s="674"/>
      <c r="R13" s="659"/>
      <c r="S13" s="674"/>
      <c r="T13" s="9"/>
    </row>
    <row r="14" ht="15" customHeight="1">
      <c r="A14" s="2"/>
      <c r="B14" s="173" t="s">
        <v>9</v>
      </c>
      <c r="C14" s="45"/>
      <c r="D14" s="18" t="s">
        <v>19</v>
      </c>
      <c r="E14" s="663">
        <v>101.51626202473660100778744847</v>
      </c>
      <c r="F14" s="113">
        <v>-4.6873619435432842784939103300</v>
      </c>
      <c r="G14" s="664"/>
      <c r="H14" s="53" t="s">
        <v>19</v>
      </c>
      <c r="I14" s="670">
        <v>0</v>
      </c>
      <c r="J14" s="113">
        <v>-100</v>
      </c>
      <c r="K14" s="671"/>
      <c r="L14" s="53" t="s">
        <v>19</v>
      </c>
      <c r="M14" s="670">
        <v>101.4691358024691358024691358</v>
      </c>
      <c r="N14" s="113">
        <v>3.140726893530671717026049200</v>
      </c>
      <c r="O14" s="671"/>
      <c r="P14" s="53" t="s">
        <v>19</v>
      </c>
      <c r="Q14" s="670">
        <v>101.51461572438162544169611307</v>
      </c>
      <c r="R14" s="113">
        <v>-4.7333158259348886703761159500</v>
      </c>
      <c r="S14" s="675"/>
      <c r="T14" s="9"/>
    </row>
    <row r="15" ht="15" customHeight="1">
      <c r="A15" s="2"/>
      <c r="B15" s="44"/>
      <c r="C15" s="45"/>
      <c r="D15" s="133" t="s">
        <v>16</v>
      </c>
      <c r="E15" s="665"/>
      <c r="F15" s="92"/>
      <c r="G15" s="666"/>
      <c r="H15" s="143" t="s">
        <v>16</v>
      </c>
      <c r="I15" s="672"/>
      <c r="J15" s="92"/>
      <c r="K15" s="673"/>
      <c r="L15" s="143" t="s">
        <v>16</v>
      </c>
      <c r="M15" s="672"/>
      <c r="N15" s="92"/>
      <c r="O15" s="673"/>
      <c r="P15" s="143" t="s">
        <v>16</v>
      </c>
      <c r="Q15" s="672">
        <v>94.04999790268456375838926174</v>
      </c>
      <c r="R15" s="92">
        <v>-7.8468567168646061840479345800</v>
      </c>
      <c r="S15" s="675"/>
      <c r="T15" s="9"/>
    </row>
    <row r="16" ht="15" customHeight="1">
      <c r="A16" s="2"/>
      <c r="B16" s="44"/>
      <c r="C16" s="45"/>
      <c r="D16" s="19" t="s">
        <v>98</v>
      </c>
      <c r="E16" s="113"/>
      <c r="F16" s="113"/>
      <c r="G16" s="113"/>
      <c r="H16" s="19" t="s">
        <v>98</v>
      </c>
      <c r="I16" s="667"/>
      <c r="J16" s="113"/>
      <c r="K16" s="9"/>
      <c r="L16" s="19" t="s">
        <v>98</v>
      </c>
      <c r="M16" s="667"/>
      <c r="N16" s="113"/>
      <c r="O16" s="9"/>
      <c r="P16" s="19" t="s">
        <v>98</v>
      </c>
      <c r="Q16" s="667">
        <v>107.93686123141033072627855331</v>
      </c>
      <c r="R16" s="113">
        <v>3.3786594574183002909012282600</v>
      </c>
      <c r="S16" s="667"/>
      <c r="T16" s="9"/>
    </row>
    <row r="17" ht="15" customHeight="1">
      <c r="A17" s="2"/>
      <c r="B17" s="17"/>
      <c r="C17" s="2"/>
      <c r="D17" s="2"/>
      <c r="E17" s="662"/>
      <c r="F17" s="113"/>
      <c r="G17" s="662"/>
      <c r="H17" s="2"/>
      <c r="I17" s="9"/>
      <c r="J17" s="113"/>
      <c r="K17" s="9"/>
      <c r="L17" s="2"/>
      <c r="M17" s="9"/>
      <c r="N17" s="113"/>
      <c r="O17" s="9"/>
      <c r="P17" s="2"/>
      <c r="Q17" s="675"/>
      <c r="R17" s="113"/>
      <c r="S17" s="675"/>
      <c r="T17" s="9"/>
    </row>
    <row r="18" ht="15" customHeight="1">
      <c r="A18" s="2"/>
      <c r="B18" s="173" t="s">
        <v>10</v>
      </c>
      <c r="C18" s="45"/>
      <c r="D18" s="18" t="s">
        <v>19</v>
      </c>
      <c r="E18" s="663">
        <v>38.433922996878251821019771072</v>
      </c>
      <c r="F18" s="113">
        <v>44.994765768287078628751980450</v>
      </c>
      <c r="G18" s="664"/>
      <c r="H18" s="53" t="s">
        <v>19</v>
      </c>
      <c r="I18" s="670">
        <v>0</v>
      </c>
      <c r="J18" s="113">
        <v>-100</v>
      </c>
      <c r="K18" s="671"/>
      <c r="L18" s="53" t="s">
        <v>19</v>
      </c>
      <c r="M18" s="670">
        <v>1.4254249046132500867152271939</v>
      </c>
      <c r="N18" s="113">
        <v>44.041359977305986688256818780</v>
      </c>
      <c r="O18" s="671"/>
      <c r="P18" s="53" t="s">
        <v>19</v>
      </c>
      <c r="Q18" s="670">
        <v>39.859363510232396808879639265</v>
      </c>
      <c r="R18" s="113">
        <v>8.876210484540829558418880230</v>
      </c>
      <c r="S18" s="675"/>
      <c r="T18" s="9"/>
    </row>
    <row r="19" ht="15" customHeight="1">
      <c r="A19" s="2"/>
      <c r="B19" s="44"/>
      <c r="C19" s="45"/>
      <c r="D19" s="133" t="s">
        <v>16</v>
      </c>
      <c r="E19" s="665"/>
      <c r="F19" s="92"/>
      <c r="G19" s="666"/>
      <c r="H19" s="143" t="s">
        <v>16</v>
      </c>
      <c r="I19" s="672"/>
      <c r="J19" s="92"/>
      <c r="K19" s="673"/>
      <c r="L19" s="143" t="s">
        <v>16</v>
      </c>
      <c r="M19" s="672"/>
      <c r="N19" s="92"/>
      <c r="O19" s="673"/>
      <c r="P19" s="143" t="s">
        <v>16</v>
      </c>
      <c r="Q19" s="672">
        <v>55.423358052156717340254603881</v>
      </c>
      <c r="R19" s="92">
        <v>45.083766608546528189186739120</v>
      </c>
      <c r="S19" s="675"/>
      <c r="T19" s="9"/>
    </row>
    <row r="20" ht="15" customHeight="1">
      <c r="A20" s="2"/>
      <c r="B20" s="44"/>
      <c r="C20" s="45"/>
      <c r="D20" s="19" t="s">
        <v>99</v>
      </c>
      <c r="E20" s="113"/>
      <c r="F20" s="113"/>
      <c r="G20" s="113"/>
      <c r="H20" s="19" t="s">
        <v>99</v>
      </c>
      <c r="I20" s="667"/>
      <c r="J20" s="113"/>
      <c r="K20" s="9"/>
      <c r="L20" s="19" t="s">
        <v>99</v>
      </c>
      <c r="M20" s="667"/>
      <c r="N20" s="113"/>
      <c r="O20" s="9"/>
      <c r="P20" s="19" t="s">
        <v>99</v>
      </c>
      <c r="Q20" s="667">
        <v>71.917987128624013593218051080</v>
      </c>
      <c r="R20" s="113">
        <v>-24.956311081774054841755019590</v>
      </c>
      <c r="S20" s="667"/>
      <c r="T20" s="9"/>
    </row>
    <row r="21" ht="15" customHeight="1">
      <c r="A21" s="2"/>
      <c r="B21" s="17"/>
      <c r="C21" s="2"/>
      <c r="D21" s="2"/>
      <c r="E21" s="9"/>
      <c r="F21" s="9"/>
      <c r="G21" s="9"/>
      <c r="H21" s="2"/>
      <c r="I21" s="9"/>
      <c r="J21" s="9"/>
      <c r="K21" s="9"/>
      <c r="L21" s="2"/>
      <c r="M21" s="9"/>
      <c r="N21" s="9"/>
      <c r="O21" s="9"/>
      <c r="P21" s="2"/>
      <c r="Q21" s="9"/>
      <c r="R21" s="9"/>
      <c r="S21" s="9"/>
      <c r="T21" s="9"/>
    </row>
    <row r="22" ht="15" customHeight="1">
      <c r="A22" s="2"/>
      <c r="E22" s="4"/>
      <c r="F22" s="4"/>
      <c r="G22" s="4"/>
      <c r="I22" s="4"/>
      <c r="J22" s="4"/>
      <c r="K22" s="4"/>
      <c r="M22" s="4"/>
      <c r="N22" s="4"/>
      <c r="O22" s="4"/>
      <c r="Q22" s="4"/>
      <c r="R22" s="4"/>
      <c r="S22" s="4"/>
      <c r="T22" s="9"/>
    </row>
    <row r="23" s="0" customFormat="1" ht="18" customHeight="1">
      <c r="A23" s="2"/>
      <c r="B23" s="1033" t="s">
        <v>58</v>
      </c>
      <c r="C23" s="1033"/>
      <c r="D23" s="1033"/>
      <c r="E23" s="1033"/>
      <c r="F23" s="1033"/>
      <c r="G23" s="1033"/>
      <c r="H23" s="1033"/>
      <c r="I23" s="1033"/>
      <c r="J23" s="1033"/>
      <c r="K23" s="1033"/>
      <c r="L23" s="1033"/>
      <c r="M23" s="1033"/>
      <c r="N23" s="1033"/>
      <c r="O23" s="1033"/>
      <c r="P23" s="1033"/>
      <c r="Q23" s="1033"/>
      <c r="R23" s="1033"/>
      <c r="S23" s="1033"/>
      <c r="T23" s="2"/>
      <c r="U23" s="236"/>
      <c r="V23" s="236"/>
      <c r="W23" s="236"/>
      <c r="X23" s="236"/>
      <c r="Y23" s="236"/>
      <c r="Z23" s="236"/>
      <c r="AA23" s="236"/>
      <c r="AB23" s="236"/>
      <c r="AC23" s="236"/>
      <c r="AD23" s="236"/>
      <c r="AE23" s="236"/>
      <c r="AF23" s="236"/>
      <c r="AG23" s="236"/>
      <c r="AH23" s="236"/>
      <c r="AI23" s="236"/>
      <c r="AJ23" s="236"/>
      <c r="AK23" s="236"/>
      <c r="AL23" s="236"/>
      <c r="AM23" s="236"/>
      <c r="AN23" s="236"/>
      <c r="AO23" s="236"/>
    </row>
    <row r="24" ht="15" customHeight="1">
      <c r="A24" s="2"/>
      <c r="B24" s="17"/>
      <c r="C24" s="2"/>
      <c r="D24" s="2"/>
      <c r="E24" s="2"/>
      <c r="F24" s="2"/>
      <c r="G24" s="2"/>
      <c r="H24" s="2"/>
      <c r="I24" s="2"/>
      <c r="J24" s="2"/>
      <c r="K24" s="2"/>
      <c r="L24" s="2"/>
      <c r="M24" s="2"/>
      <c r="N24" s="2"/>
      <c r="O24" s="2"/>
      <c r="P24" s="2"/>
      <c r="Q24" s="2"/>
      <c r="R24" s="2"/>
      <c r="S24" s="2"/>
      <c r="T24" s="2"/>
    </row>
    <row r="25" ht="15" customHeight="1">
      <c r="A25" s="2"/>
      <c r="B25" s="2"/>
      <c r="C25" s="15"/>
      <c r="D25" s="1032" t="s">
        <v>11</v>
      </c>
      <c r="E25" s="1032"/>
      <c r="F25" s="1032"/>
      <c r="G25" s="2"/>
      <c r="H25" s="1032" t="s">
        <v>13</v>
      </c>
      <c r="I25" s="1032"/>
      <c r="J25" s="1032"/>
      <c r="K25" s="2"/>
      <c r="L25" s="1032" t="s">
        <v>14</v>
      </c>
      <c r="M25" s="1032"/>
      <c r="N25" s="1032"/>
      <c r="O25" s="2"/>
      <c r="P25" s="1032" t="s">
        <v>12</v>
      </c>
      <c r="Q25" s="1032"/>
      <c r="R25" s="1032"/>
      <c r="S25" s="3"/>
      <c r="T25" s="2"/>
    </row>
    <row r="26" ht="15" customHeight="1">
      <c r="A26" s="2"/>
      <c r="B26" s="17"/>
      <c r="C26" s="2"/>
      <c r="D26" s="2"/>
      <c r="E26" s="2"/>
      <c r="F26" s="171" t="s">
        <v>24</v>
      </c>
      <c r="G26" s="2"/>
      <c r="H26" s="2"/>
      <c r="I26" s="2"/>
      <c r="J26" s="171" t="s">
        <v>24</v>
      </c>
      <c r="K26" s="2"/>
      <c r="L26" s="2"/>
      <c r="M26" s="2"/>
      <c r="N26" s="171" t="s">
        <v>24</v>
      </c>
      <c r="O26" s="2"/>
      <c r="P26" s="2"/>
      <c r="Q26" s="2"/>
      <c r="R26" s="171" t="s">
        <v>24</v>
      </c>
      <c r="S26" s="2"/>
      <c r="T26" s="2"/>
    </row>
    <row r="27" ht="15" customHeight="1">
      <c r="A27" s="2"/>
      <c r="B27" s="173" t="s">
        <v>22</v>
      </c>
      <c r="C27" s="45"/>
      <c r="D27" s="18" t="s">
        <v>19</v>
      </c>
      <c r="E27" s="667">
        <v>32.910748263197486614451966900</v>
      </c>
      <c r="F27" s="113">
        <v>5.3701163440350466642312428900</v>
      </c>
      <c r="G27" s="9"/>
      <c r="H27" s="18" t="s">
        <v>19</v>
      </c>
      <c r="I27" s="667">
        <v>3.7545909111022611619983185100</v>
      </c>
      <c r="J27" s="113">
        <v>-40.772209276751628989191090390</v>
      </c>
      <c r="K27" s="9"/>
      <c r="L27" s="18" t="s">
        <v>19</v>
      </c>
      <c r="M27" s="667">
        <v>1.3341298287534846674631620900</v>
      </c>
      <c r="N27" s="113">
        <v>7.5455562097867580228423972500</v>
      </c>
      <c r="O27" s="9"/>
      <c r="P27" s="18" t="s">
        <v>19</v>
      </c>
      <c r="Q27" s="667">
        <v>37.999469003053232443913447500</v>
      </c>
      <c r="R27" s="113">
        <v>-2.0966278038798965281830471200</v>
      </c>
      <c r="S27" s="674"/>
      <c r="T27" s="9"/>
    </row>
    <row r="28" ht="15" customHeight="1">
      <c r="A28" s="2"/>
      <c r="B28" s="44"/>
      <c r="C28" s="45"/>
      <c r="D28" s="133" t="s">
        <v>16</v>
      </c>
      <c r="E28" s="668"/>
      <c r="F28" s="92"/>
      <c r="G28" s="120"/>
      <c r="H28" s="133" t="s">
        <v>16</v>
      </c>
      <c r="I28" s="668"/>
      <c r="J28" s="92"/>
      <c r="K28" s="120"/>
      <c r="L28" s="133" t="s">
        <v>16</v>
      </c>
      <c r="M28" s="668"/>
      <c r="N28" s="92"/>
      <c r="O28" s="120"/>
      <c r="P28" s="133" t="s">
        <v>16</v>
      </c>
      <c r="Q28" s="668">
        <v>53.196789808113775759582485850</v>
      </c>
      <c r="R28" s="92">
        <v>25.208717239838148280029830370</v>
      </c>
      <c r="S28" s="674"/>
      <c r="T28" s="9"/>
    </row>
    <row r="29" ht="15" customHeight="1">
      <c r="A29" s="2"/>
      <c r="B29" s="44"/>
      <c r="C29" s="45"/>
      <c r="D29" s="19" t="s">
        <v>97</v>
      </c>
      <c r="E29" s="667"/>
      <c r="F29" s="113"/>
      <c r="G29" s="676"/>
      <c r="H29" s="19" t="s">
        <v>97</v>
      </c>
      <c r="I29" s="667"/>
      <c r="J29" s="113"/>
      <c r="K29" s="676"/>
      <c r="L29" s="19" t="s">
        <v>97</v>
      </c>
      <c r="M29" s="667"/>
      <c r="N29" s="113"/>
      <c r="O29" s="676"/>
      <c r="P29" s="19" t="s">
        <v>97</v>
      </c>
      <c r="Q29" s="667">
        <v>71.431883653376486014932337390</v>
      </c>
      <c r="R29" s="113">
        <v>-21.807862619817222347050587360</v>
      </c>
      <c r="S29" s="667"/>
      <c r="T29" s="9"/>
    </row>
    <row r="30" ht="15" customHeight="1">
      <c r="A30" s="2"/>
      <c r="B30" s="17"/>
      <c r="C30" s="2"/>
      <c r="D30" s="2"/>
      <c r="E30" s="9"/>
      <c r="F30" s="659"/>
      <c r="G30" s="9"/>
      <c r="H30" s="2"/>
      <c r="I30" s="9"/>
      <c r="J30" s="659"/>
      <c r="K30" s="9"/>
      <c r="L30" s="2"/>
      <c r="M30" s="9"/>
      <c r="N30" s="659"/>
      <c r="O30" s="9"/>
      <c r="P30" s="2"/>
      <c r="Q30" s="674"/>
      <c r="R30" s="659"/>
      <c r="S30" s="674"/>
      <c r="T30" s="9"/>
    </row>
    <row r="31" ht="15" customHeight="1">
      <c r="A31" s="2"/>
      <c r="B31" s="173" t="s">
        <v>9</v>
      </c>
      <c r="C31" s="45"/>
      <c r="D31" s="18" t="s">
        <v>19</v>
      </c>
      <c r="E31" s="670">
        <v>107.2660168067226890756302521</v>
      </c>
      <c r="F31" s="113">
        <v>-6.1679522256994542299595727200</v>
      </c>
      <c r="G31" s="671"/>
      <c r="H31" s="53" t="s">
        <v>19</v>
      </c>
      <c r="I31" s="670">
        <v>123.54095462581025338833235121</v>
      </c>
      <c r="J31" s="113">
        <v>12.082584846466647780040990010</v>
      </c>
      <c r="K31" s="671"/>
      <c r="L31" s="53" t="s">
        <v>19</v>
      </c>
      <c r="M31" s="670">
        <v>97.40464344941956882255389718</v>
      </c>
      <c r="N31" s="113">
        <v>1.4218869280507682638624135600</v>
      </c>
      <c r="O31" s="671"/>
      <c r="P31" s="53" t="s">
        <v>19</v>
      </c>
      <c r="Q31" s="670">
        <v>108.52796855895196506550218341</v>
      </c>
      <c r="R31" s="113">
        <v>-4.0120773009750611976113412500</v>
      </c>
      <c r="S31" s="675"/>
      <c r="T31" s="9"/>
    </row>
    <row r="32" ht="15" customHeight="1">
      <c r="A32" s="2"/>
      <c r="B32" s="44"/>
      <c r="C32" s="45"/>
      <c r="D32" s="133" t="s">
        <v>16</v>
      </c>
      <c r="E32" s="672"/>
      <c r="F32" s="92"/>
      <c r="G32" s="673"/>
      <c r="H32" s="143" t="s">
        <v>16</v>
      </c>
      <c r="I32" s="672"/>
      <c r="J32" s="92"/>
      <c r="K32" s="673"/>
      <c r="L32" s="143" t="s">
        <v>16</v>
      </c>
      <c r="M32" s="672"/>
      <c r="N32" s="92"/>
      <c r="O32" s="673"/>
      <c r="P32" s="143" t="s">
        <v>16</v>
      </c>
      <c r="Q32" s="672">
        <v>101.97502326684252645306618453</v>
      </c>
      <c r="R32" s="92">
        <v>-6.6600292996185307182308653200</v>
      </c>
      <c r="S32" s="675"/>
      <c r="T32" s="9"/>
    </row>
    <row r="33" ht="15" customHeight="1">
      <c r="A33" s="2"/>
      <c r="B33" s="44"/>
      <c r="C33" s="45"/>
      <c r="D33" s="19" t="s">
        <v>98</v>
      </c>
      <c r="E33" s="667"/>
      <c r="F33" s="113"/>
      <c r="G33" s="676"/>
      <c r="H33" s="19" t="s">
        <v>98</v>
      </c>
      <c r="I33" s="667"/>
      <c r="J33" s="113"/>
      <c r="K33" s="676"/>
      <c r="L33" s="19" t="s">
        <v>98</v>
      </c>
      <c r="M33" s="667"/>
      <c r="N33" s="113"/>
      <c r="O33" s="676"/>
      <c r="P33" s="19" t="s">
        <v>98</v>
      </c>
      <c r="Q33" s="667">
        <v>106.42602971024318160592459478</v>
      </c>
      <c r="R33" s="113">
        <v>2.8368896826905904069643157300</v>
      </c>
      <c r="S33" s="667"/>
      <c r="T33" s="9"/>
    </row>
    <row r="34" ht="15" customHeight="1">
      <c r="A34" s="2"/>
      <c r="B34" s="17"/>
      <c r="C34" s="2"/>
      <c r="D34" s="2"/>
      <c r="E34" s="9"/>
      <c r="F34" s="113"/>
      <c r="G34" s="9"/>
      <c r="H34" s="2"/>
      <c r="I34" s="9"/>
      <c r="J34" s="113"/>
      <c r="K34" s="9"/>
      <c r="L34" s="2"/>
      <c r="M34" s="9"/>
      <c r="N34" s="113"/>
      <c r="O34" s="9"/>
      <c r="P34" s="2"/>
      <c r="Q34" s="675"/>
      <c r="R34" s="113"/>
      <c r="S34" s="675"/>
      <c r="T34" s="9"/>
    </row>
    <row r="35" ht="15" customHeight="1">
      <c r="A35" s="2"/>
      <c r="B35" s="173" t="s">
        <v>10</v>
      </c>
      <c r="C35" s="45"/>
      <c r="D35" s="18" t="s">
        <v>19</v>
      </c>
      <c r="E35" s="670">
        <v>35.302048763219611487233948405</v>
      </c>
      <c r="F35" s="113">
        <v>-1.1290620923774742818817884100</v>
      </c>
      <c r="G35" s="671"/>
      <c r="H35" s="53" t="s">
        <v>19</v>
      </c>
      <c r="I35" s="670">
        <v>4.6384574538696402495685649808</v>
      </c>
      <c r="J35" s="113">
        <v>-33.615961210556012251062898040</v>
      </c>
      <c r="K35" s="671"/>
      <c r="L35" s="53" t="s">
        <v>19</v>
      </c>
      <c r="M35" s="670">
        <v>1.2995044028496836143192176645</v>
      </c>
      <c r="N35" s="113">
        <v>9.074732417449666638875884180</v>
      </c>
      <c r="O35" s="671"/>
      <c r="P35" s="53" t="s">
        <v>19</v>
      </c>
      <c r="Q35" s="670">
        <v>41.240051772202309836718438869</v>
      </c>
      <c r="R35" s="113">
        <v>-6.0245867766983078444289619800</v>
      </c>
      <c r="S35" s="675"/>
      <c r="T35" s="9"/>
    </row>
    <row r="36" ht="15" customHeight="1">
      <c r="A36" s="2"/>
      <c r="B36" s="44"/>
      <c r="C36" s="45"/>
      <c r="D36" s="133" t="s">
        <v>16</v>
      </c>
      <c r="E36" s="672"/>
      <c r="F36" s="92"/>
      <c r="G36" s="673"/>
      <c r="H36" s="143" t="s">
        <v>16</v>
      </c>
      <c r="I36" s="672"/>
      <c r="J36" s="92"/>
      <c r="K36" s="673"/>
      <c r="L36" s="143" t="s">
        <v>16</v>
      </c>
      <c r="M36" s="672"/>
      <c r="N36" s="92"/>
      <c r="O36" s="673"/>
      <c r="P36" s="143" t="s">
        <v>16</v>
      </c>
      <c r="Q36" s="672">
        <v>54.247438784037336612900682718</v>
      </c>
      <c r="R36" s="92">
        <v>16.869779986045055945029385350</v>
      </c>
      <c r="S36" s="675"/>
      <c r="T36" s="9"/>
    </row>
    <row r="37" ht="15" customHeight="1">
      <c r="A37" s="2"/>
      <c r="B37" s="44"/>
      <c r="C37" s="45"/>
      <c r="D37" s="19" t="s">
        <v>99</v>
      </c>
      <c r="E37" s="667"/>
      <c r="F37" s="113"/>
      <c r="G37" s="676"/>
      <c r="H37" s="19" t="s">
        <v>99</v>
      </c>
      <c r="I37" s="667"/>
      <c r="J37" s="113"/>
      <c r="K37" s="676"/>
      <c r="L37" s="19" t="s">
        <v>99</v>
      </c>
      <c r="M37" s="667"/>
      <c r="N37" s="113"/>
      <c r="O37" s="676"/>
      <c r="P37" s="19" t="s">
        <v>99</v>
      </c>
      <c r="Q37" s="667">
        <v>76.022117719529735055147334400</v>
      </c>
      <c r="R37" s="113">
        <v>-19.589637941821752861808713470</v>
      </c>
      <c r="S37" s="667"/>
      <c r="T37" s="9"/>
    </row>
    <row r="38" ht="9.95" customHeight="1">
      <c r="A38" s="2"/>
      <c r="B38" s="44"/>
      <c r="C38" s="45"/>
      <c r="D38" s="19"/>
      <c r="E38" s="172"/>
      <c r="F38" s="113"/>
      <c r="G38" s="51"/>
      <c r="H38" s="52"/>
      <c r="I38" s="172"/>
      <c r="J38" s="113"/>
      <c r="K38" s="51"/>
      <c r="L38" s="52"/>
      <c r="M38" s="172"/>
      <c r="N38" s="113"/>
      <c r="O38" s="51"/>
      <c r="P38" s="52"/>
      <c r="Q38" s="172"/>
      <c r="R38" s="113"/>
      <c r="S38" s="172"/>
      <c r="T38" s="2"/>
    </row>
    <row r="39" s="680" customFormat="1" ht="9.75" customHeight="1">
      <c r="A39" s="678"/>
      <c r="B39" s="678"/>
      <c r="C39" s="678"/>
      <c r="D39" s="678"/>
      <c r="E39" s="678"/>
      <c r="F39" s="678"/>
      <c r="G39" s="678"/>
      <c r="H39" s="678"/>
      <c r="I39" s="678"/>
      <c r="J39" s="678"/>
      <c r="K39" s="678"/>
      <c r="L39" s="678"/>
      <c r="M39" s="678"/>
      <c r="N39" s="678"/>
      <c r="O39" s="678"/>
      <c r="P39" s="678"/>
      <c r="Q39" s="678"/>
      <c r="R39" s="678"/>
      <c r="S39" s="678"/>
      <c r="T39" s="678"/>
      <c r="U39" s="679"/>
      <c r="V39" s="679"/>
      <c r="W39" s="679"/>
      <c r="X39" s="679"/>
      <c r="Y39" s="679"/>
      <c r="Z39" s="679"/>
      <c r="AA39" s="679"/>
      <c r="AB39" s="679"/>
      <c r="AC39" s="679"/>
      <c r="AD39" s="679"/>
      <c r="AE39" s="679"/>
      <c r="AF39" s="679"/>
      <c r="AG39" s="679"/>
      <c r="AH39" s="679"/>
      <c r="AI39" s="679"/>
      <c r="AJ39" s="679"/>
      <c r="AK39" s="679"/>
      <c r="AL39" s="679"/>
      <c r="AM39" s="679"/>
      <c r="AN39" s="679"/>
      <c r="AO39" s="679"/>
    </row>
    <row r="40" ht="35.1" customHeight="1">
      <c r="A40" s="2"/>
      <c r="B40" s="1034" t="s">
        <v>126</v>
      </c>
      <c r="C40" s="1034"/>
      <c r="D40" s="1034"/>
      <c r="E40" s="1034"/>
      <c r="F40" s="1034"/>
      <c r="G40" s="1034"/>
      <c r="H40" s="1034"/>
      <c r="I40" s="1034"/>
      <c r="J40" s="1034"/>
      <c r="K40" s="1034"/>
      <c r="L40" s="1034"/>
      <c r="M40" s="1034"/>
      <c r="N40" s="1034"/>
      <c r="O40" s="1034"/>
      <c r="P40" s="1034"/>
      <c r="Q40" s="1034"/>
      <c r="R40" s="1034"/>
      <c r="S40" s="1034"/>
      <c r="T40" s="2"/>
    </row>
    <row r="41" s="683" customFormat="1" ht="15" customHeight="1">
      <c r="A41" s="681"/>
      <c r="B41" s="681"/>
      <c r="C41" s="681"/>
      <c r="D41" s="681"/>
      <c r="E41" s="681"/>
      <c r="F41" s="681"/>
      <c r="G41" s="681"/>
      <c r="H41" s="681"/>
      <c r="I41" s="681"/>
      <c r="J41" s="681"/>
      <c r="K41" s="681"/>
      <c r="L41" s="681"/>
      <c r="M41" s="681"/>
      <c r="N41" s="681"/>
      <c r="O41" s="681"/>
      <c r="P41" s="681"/>
      <c r="Q41" s="681"/>
      <c r="R41" s="681"/>
      <c r="S41" s="681"/>
      <c r="T41" s="681"/>
      <c r="U41" s="682"/>
      <c r="V41" s="682"/>
      <c r="W41" s="682"/>
      <c r="X41" s="682"/>
      <c r="Y41" s="682"/>
      <c r="Z41" s="682"/>
      <c r="AA41" s="682"/>
      <c r="AB41" s="682"/>
      <c r="AC41" s="682"/>
      <c r="AD41" s="682"/>
      <c r="AE41" s="682"/>
      <c r="AF41" s="682"/>
      <c r="AG41" s="682"/>
      <c r="AH41" s="682"/>
      <c r="AI41" s="682"/>
      <c r="AJ41" s="682"/>
      <c r="AK41" s="682"/>
      <c r="AL41" s="682"/>
      <c r="AM41" s="682"/>
      <c r="AN41" s="682"/>
      <c r="AO41" s="682"/>
    </row>
    <row r="42" ht="18" customHeight="1">
      <c r="A42" s="236"/>
      <c r="B42" s="236"/>
      <c r="C42" s="236"/>
      <c r="D42" s="236"/>
      <c r="E42" s="236"/>
      <c r="F42" s="236"/>
      <c r="G42" s="236"/>
      <c r="H42" s="236"/>
      <c r="I42" s="236"/>
      <c r="J42" s="236"/>
      <c r="K42" s="236"/>
      <c r="L42" s="236"/>
      <c r="M42" s="236"/>
      <c r="N42" s="236"/>
      <c r="O42" s="236"/>
      <c r="P42" s="236"/>
      <c r="Q42" s="236"/>
      <c r="R42" s="236"/>
      <c r="S42" s="236"/>
      <c r="T42" s="236"/>
    </row>
    <row r="43">
      <c r="A43" s="236"/>
      <c r="B43" s="236"/>
      <c r="C43" s="236"/>
      <c r="D43" s="236"/>
      <c r="E43" s="236"/>
      <c r="F43" s="236"/>
      <c r="G43" s="236"/>
      <c r="H43" s="236"/>
      <c r="I43" s="236"/>
      <c r="J43" s="236"/>
      <c r="K43" s="236"/>
      <c r="L43" s="236"/>
      <c r="M43" s="236"/>
      <c r="N43" s="236"/>
      <c r="O43" s="236"/>
      <c r="P43" s="236"/>
      <c r="Q43" s="236"/>
      <c r="R43" s="236"/>
      <c r="S43" s="236"/>
      <c r="T43" s="236"/>
    </row>
    <row r="44">
      <c r="A44" s="236"/>
      <c r="B44" s="236"/>
      <c r="C44" s="236"/>
      <c r="D44" s="236"/>
      <c r="E44" s="236"/>
      <c r="F44" s="236"/>
      <c r="G44" s="236"/>
      <c r="H44" s="236"/>
      <c r="I44" s="236"/>
      <c r="J44" s="236"/>
      <c r="K44" s="236"/>
      <c r="L44" s="236"/>
      <c r="M44" s="236"/>
      <c r="N44" s="236"/>
      <c r="O44" s="236"/>
      <c r="P44" s="236"/>
      <c r="Q44" s="236"/>
      <c r="R44" s="236"/>
      <c r="S44" s="236"/>
      <c r="T44" s="236"/>
    </row>
    <row r="45">
      <c r="A45" s="236"/>
      <c r="B45" s="236"/>
      <c r="C45" s="236"/>
      <c r="D45" s="236"/>
      <c r="E45" s="236"/>
      <c r="F45" s="236"/>
      <c r="G45" s="236"/>
      <c r="H45" s="236"/>
      <c r="I45" s="236"/>
      <c r="J45" s="236"/>
      <c r="K45" s="236"/>
      <c r="L45" s="236"/>
      <c r="M45" s="236"/>
      <c r="N45" s="236"/>
      <c r="O45" s="236"/>
      <c r="P45" s="236"/>
      <c r="Q45" s="236"/>
      <c r="R45" s="236"/>
      <c r="S45" s="236"/>
      <c r="T45" s="236"/>
    </row>
    <row r="46">
      <c r="A46" s="236"/>
      <c r="B46" s="236"/>
      <c r="C46" s="236"/>
      <c r="D46" s="236"/>
      <c r="E46" s="236"/>
      <c r="F46" s="236"/>
      <c r="G46" s="236"/>
      <c r="H46" s="236"/>
      <c r="I46" s="236"/>
      <c r="J46" s="236"/>
      <c r="K46" s="236"/>
      <c r="L46" s="236"/>
      <c r="M46" s="236"/>
      <c r="N46" s="236"/>
      <c r="O46" s="236"/>
      <c r="P46" s="236"/>
      <c r="Q46" s="236"/>
      <c r="R46" s="236"/>
      <c r="S46" s="236"/>
      <c r="T46" s="236"/>
    </row>
    <row r="47">
      <c r="A47" s="236"/>
      <c r="B47" s="236"/>
      <c r="C47" s="236"/>
      <c r="D47" s="236"/>
      <c r="E47" s="236"/>
      <c r="F47" s="236"/>
      <c r="G47" s="236"/>
      <c r="H47" s="236"/>
      <c r="I47" s="236"/>
      <c r="J47" s="236"/>
      <c r="K47" s="236"/>
      <c r="L47" s="236"/>
      <c r="M47" s="236"/>
      <c r="N47" s="236"/>
      <c r="O47" s="236"/>
      <c r="P47" s="236"/>
      <c r="Q47" s="236"/>
      <c r="R47" s="236"/>
      <c r="S47" s="236"/>
      <c r="T47" s="236"/>
    </row>
    <row r="48">
      <c r="A48" s="236"/>
      <c r="B48" s="236"/>
      <c r="C48" s="236"/>
      <c r="D48" s="236"/>
      <c r="E48" s="236"/>
      <c r="F48" s="236"/>
      <c r="G48" s="236"/>
      <c r="H48" s="236"/>
      <c r="I48" s="236"/>
      <c r="J48" s="236"/>
      <c r="K48" s="236"/>
      <c r="L48" s="236"/>
      <c r="M48" s="236"/>
      <c r="N48" s="236"/>
      <c r="O48" s="236"/>
      <c r="P48" s="236"/>
      <c r="Q48" s="236"/>
      <c r="R48" s="236"/>
      <c r="S48" s="236"/>
      <c r="T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sheetData>
  <mergeCells count="14">
    <mergeCell ref="B40:S40"/>
    <mergeCell ref="D25:F25"/>
    <mergeCell ref="H25:J25"/>
    <mergeCell ref="L25:N25"/>
    <mergeCell ref="P25:R25"/>
    <mergeCell ref="B2:S2"/>
    <mergeCell ref="B6:S6"/>
    <mergeCell ref="B23:S23"/>
    <mergeCell ref="D8:F8"/>
    <mergeCell ref="H8:J8"/>
    <mergeCell ref="L8:N8"/>
    <mergeCell ref="P8:R8"/>
    <mergeCell ref="B4:S4"/>
    <mergeCell ref="B3:S3"/>
  </mergeCells>
  <phoneticPr fontId="0" type="noConversion"/>
  <printOptions horizontalCentered="1" verticalCentered="1"/>
  <pageMargins left="0.25" right="0.25" top="0.25" bottom="0.25" header="0" footer="0"/>
  <pageSetup scale="88" fitToWidth="1" fitToHeight="1" orientation="landscape" r:id="rId1"/>
  <headerFooter alignWithMargins="0">
    <oddHeader/>
    <oddFooter/>
  </headerFooter>
  <rowBreaks count="1" manualBreakCount="1">
    <brk id="42" max="16383" man="1"/>
  </rowBreaks>
  <colBreaks count="1" manualBreakCount="1">
    <brk id="21" max="1048575" man="1"/>
  </colBreaks>
  <drawing r:id="rId35"/>
</worksheet>
</file>

<file path=xl/worksheets/sheet3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pageSetUpPr fitToPage="1"/>
  </sheetPr>
  <dimension ref="A1:AD86"/>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141</v>
      </c>
      <c r="Z1" s="5"/>
      <c r="AB1" s="685"/>
      <c r="AD1" s="236"/>
    </row>
    <row r="2" ht="15" customHeight="1">
      <c r="A2" s="11"/>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171</v>
      </c>
      <c r="C3" s="999"/>
      <c r="D3" s="999"/>
      <c r="E3" s="999"/>
      <c r="F3" s="999"/>
      <c r="G3" s="999"/>
      <c r="H3" s="999"/>
      <c r="I3" s="999"/>
      <c r="J3" s="999"/>
      <c r="K3" s="999"/>
      <c r="L3" s="999"/>
      <c r="M3" s="999"/>
      <c r="N3" s="999"/>
      <c r="O3" s="999"/>
      <c r="P3" s="999"/>
      <c r="Q3" s="999"/>
      <c r="R3" s="1035" t="s">
        <v>247</v>
      </c>
      <c r="S3" s="1035"/>
      <c r="T3" s="1035"/>
      <c r="U3" s="1035"/>
      <c r="V3" s="1035"/>
      <c r="W3" s="1035"/>
      <c r="X3" s="1035"/>
      <c r="Y3" s="1035"/>
      <c r="Z3" s="1035"/>
      <c r="AA3" s="1035"/>
      <c r="AB3" s="1035"/>
    </row>
    <row r="4" ht="19.5" customHeight="1">
      <c r="A4" s="4"/>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 r="D6" s="960" t="s">
        <v>22</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2024</v>
      </c>
      <c r="C9" s="285" t="s">
        <v>180</v>
      </c>
      <c r="D9" s="415">
        <v>33.714880332986472424557752340</v>
      </c>
      <c r="E9" s="416"/>
      <c r="F9" s="417">
        <v>57.116637940895538899753256020</v>
      </c>
      <c r="G9" s="415">
        <v>9.573361082206035379812695110</v>
      </c>
      <c r="H9" s="416"/>
      <c r="I9" s="417">
        <v>7.3227225587505588297296473700</v>
      </c>
      <c r="J9" s="415">
        <v>1.7169614984391259105098855400</v>
      </c>
      <c r="K9" s="416"/>
      <c r="L9" s="417">
        <v>0.3049888529981857903766533400</v>
      </c>
      <c r="M9" s="415">
        <v>45.005202913631633714880332990</v>
      </c>
      <c r="N9" s="416">
        <v>41.824249165739710789766407120</v>
      </c>
      <c r="O9" s="417">
        <v>64.744349352644283519859556730</v>
      </c>
      <c r="P9" s="5"/>
      <c r="Q9" s="415">
        <v>-23.884103367195386603169435280</v>
      </c>
      <c r="R9" s="416"/>
      <c r="S9" s="417">
        <v>-9.196691972716524961420813320</v>
      </c>
      <c r="T9" s="415">
        <v>150.90909091115520661158723149</v>
      </c>
      <c r="U9" s="416"/>
      <c r="V9" s="417">
        <v>18.625510388753189883673587200</v>
      </c>
      <c r="W9" s="415">
        <v>62.295081961923891427208120120</v>
      </c>
      <c r="X9" s="416"/>
      <c r="Y9" s="417">
        <v>-81.48774469421022259902932574</v>
      </c>
      <c r="Z9" s="415">
        <v>-8.465608465536594160297807560</v>
      </c>
      <c r="AA9" s="416">
        <v>-22.340791738374775000666545500</v>
      </c>
      <c r="AB9" s="417">
        <v>-8.452277522602990616272585780</v>
      </c>
    </row>
    <row r="10" ht="18" customHeight="1">
      <c r="A10" s="58"/>
      <c r="B10" s="286"/>
      <c r="C10" s="287" t="s">
        <v>183</v>
      </c>
      <c r="D10" s="271">
        <v>33.154121863799283154121863800</v>
      </c>
      <c r="E10" s="92"/>
      <c r="F10" s="272">
        <v>58.835811897170079486569790520</v>
      </c>
      <c r="G10" s="271">
        <v>5.9318996415770609318996415800</v>
      </c>
      <c r="H10" s="92"/>
      <c r="I10" s="272">
        <v>7.328845721059468661359073600</v>
      </c>
      <c r="J10" s="271">
        <v>1.3261648745519713261648745500</v>
      </c>
      <c r="K10" s="92"/>
      <c r="L10" s="272">
        <v>0.2299002048997035527514079900</v>
      </c>
      <c r="M10" s="271">
        <v>40.412186379928315412186379930</v>
      </c>
      <c r="N10" s="92">
        <v>40.357598978288633461047254150</v>
      </c>
      <c r="O10" s="272">
        <v>66.394557823129251700680272110</v>
      </c>
      <c r="P10" s="5"/>
      <c r="Q10" s="271">
        <v>-16.289592760127966257857094640</v>
      </c>
      <c r="R10" s="92"/>
      <c r="S10" s="272">
        <v>-2.2089006058155564335506898500</v>
      </c>
      <c r="T10" s="271">
        <v>-7.0224719099347620249965045600</v>
      </c>
      <c r="U10" s="92"/>
      <c r="V10" s="272">
        <v>-20.835722579699934191633527580</v>
      </c>
      <c r="W10" s="271">
        <v>7.2463768102885948330341676700</v>
      </c>
      <c r="X10" s="92"/>
      <c r="Y10" s="272">
        <v>-86.60068519472996578286307549</v>
      </c>
      <c r="Z10" s="271">
        <v>-14.421252371876236187074431320</v>
      </c>
      <c r="AA10" s="92">
        <v>-19.088464985239053328785773870</v>
      </c>
      <c r="AB10" s="272">
        <v>-6.6683666964632997678249655400</v>
      </c>
    </row>
    <row r="11" ht="18" customHeight="1">
      <c r="A11" s="58"/>
      <c r="B11" s="288"/>
      <c r="C11" s="289" t="s">
        <v>185</v>
      </c>
      <c r="D11" s="420">
        <v>32.813041970169961845300034690</v>
      </c>
      <c r="E11" s="91"/>
      <c r="F11" s="421">
        <v>60.507627173593299601421392860</v>
      </c>
      <c r="G11" s="420">
        <v>3.7981269510926118626430801200</v>
      </c>
      <c r="H11" s="91"/>
      <c r="I11" s="421">
        <v>6.4847636172592750272425205300</v>
      </c>
      <c r="J11" s="420">
        <v>1.3007284079084287200832466200</v>
      </c>
      <c r="K11" s="91"/>
      <c r="L11" s="421">
        <v>0.2287342182908676945019120800</v>
      </c>
      <c r="M11" s="420">
        <v>37.911897329171002428026361430</v>
      </c>
      <c r="N11" s="91">
        <v>44.926461500432579409220121120</v>
      </c>
      <c r="O11" s="421">
        <v>67.221125009143442323165825470</v>
      </c>
      <c r="P11" s="5"/>
      <c r="Q11" s="420">
        <v>-21.232306411234504274470035490</v>
      </c>
      <c r="R11" s="91"/>
      <c r="S11" s="421">
        <v>-2.8534043243345338612476460500</v>
      </c>
      <c r="T11" s="420">
        <v>19.021739131753077741035395350</v>
      </c>
      <c r="U11" s="91"/>
      <c r="V11" s="421">
        <v>-15.968041595973853396598749160</v>
      </c>
      <c r="W11" s="420">
        <v>15.384615386727810650926247780</v>
      </c>
      <c r="X11" s="91"/>
      <c r="Y11" s="421">
        <v>-86.17840640223471413638099668</v>
      </c>
      <c r="Z11" s="420">
        <v>-17.540550735565634712764347920</v>
      </c>
      <c r="AA11" s="91">
        <v>-12.704130643607823560392772220</v>
      </c>
      <c r="AB11" s="421">
        <v>-6.1901553664219961822368282200</v>
      </c>
    </row>
    <row r="12" ht="18" customHeight="1">
      <c r="A12" s="58"/>
      <c r="B12" s="286"/>
      <c r="C12" s="287" t="s">
        <v>187</v>
      </c>
      <c r="D12" s="271">
        <v>30.394265232974910394265232970</v>
      </c>
      <c r="E12" s="92"/>
      <c r="F12" s="272">
        <v>62.194267515923566878980891720</v>
      </c>
      <c r="G12" s="271">
        <v>3.3512544802867383512544802900</v>
      </c>
      <c r="H12" s="92"/>
      <c r="I12" s="272">
        <v>7.5796178343949044585987261100</v>
      </c>
      <c r="J12" s="271">
        <v>1.2724014336917562724014336900</v>
      </c>
      <c r="K12" s="92"/>
      <c r="L12" s="272">
        <v>0.2261146496815286624203821700</v>
      </c>
      <c r="M12" s="271">
        <v>35.017921146953405017921146950</v>
      </c>
      <c r="N12" s="92">
        <v>48.109833971902937420178799490</v>
      </c>
      <c r="O12" s="272">
        <v>70.0</v>
      </c>
      <c r="P12" s="5"/>
      <c r="Q12" s="271">
        <v>-40.761439049949262691189662620</v>
      </c>
      <c r="R12" s="92"/>
      <c r="S12" s="272">
        <v>-6.8502671551906231941611108800</v>
      </c>
      <c r="T12" s="271">
        <v>-63.261296660185725699684529270</v>
      </c>
      <c r="U12" s="92"/>
      <c r="V12" s="272">
        <v>-37.994925074968172495108365410</v>
      </c>
      <c r="W12" s="271">
        <v>5.9701492518017375807880876200</v>
      </c>
      <c r="X12" s="92"/>
      <c r="Y12" s="272">
        <v>-90.10505223272115841387125523</v>
      </c>
      <c r="Z12" s="271">
        <v>-43.181157313209442921668627760</v>
      </c>
      <c r="AA12" s="92">
        <v>-29.191729323266211628695774670</v>
      </c>
      <c r="AB12" s="272">
        <v>-13.875197619238925950250938190</v>
      </c>
    </row>
    <row r="13" ht="18" customHeight="1">
      <c r="A13" s="58"/>
      <c r="B13" s="288"/>
      <c r="C13" s="289" t="s">
        <v>188</v>
      </c>
      <c r="D13" s="420">
        <v>30.072840790842872008324661810</v>
      </c>
      <c r="E13" s="91"/>
      <c r="F13" s="421">
        <v>57.704849763188743314029463260</v>
      </c>
      <c r="G13" s="420">
        <v>5.0294831772459243843218869200</v>
      </c>
      <c r="H13" s="91"/>
      <c r="I13" s="421">
        <v>8.029085756272645575300236870</v>
      </c>
      <c r="J13" s="420">
        <v>1.2660423170308706208810267100</v>
      </c>
      <c r="K13" s="91"/>
      <c r="L13" s="421">
        <v>0.2232000229276097208670667500</v>
      </c>
      <c r="M13" s="420">
        <v>36.368366285119667013527575440</v>
      </c>
      <c r="N13" s="91">
        <v>43.356816215548139908540353480</v>
      </c>
      <c r="O13" s="421">
        <v>65.957135542388998610196766880</v>
      </c>
      <c r="P13" s="5"/>
      <c r="Q13" s="420">
        <v>-33.867276887902876906723066160</v>
      </c>
      <c r="R13" s="91"/>
      <c r="S13" s="421">
        <v>-2.8348044294463290792384604700</v>
      </c>
      <c r="T13" s="420">
        <v>67.630057803958501787565335160</v>
      </c>
      <c r="U13" s="91"/>
      <c r="V13" s="421">
        <v>-7.8125488317144616865248198800</v>
      </c>
      <c r="W13" s="420">
        <v>-2.6666666660359466666625794700</v>
      </c>
      <c r="X13" s="91"/>
      <c r="Y13" s="421">
        <v>-91.19968527634788054967661637</v>
      </c>
      <c r="Z13" s="420">
        <v>-26.933797909413724653692529460</v>
      </c>
      <c r="AA13" s="91">
        <v>-20.498583569455727814202794200</v>
      </c>
      <c r="AB13" s="421">
        <v>-6.6215152644418194466967421400</v>
      </c>
    </row>
    <row r="14" ht="18" customHeight="1">
      <c r="A14" s="58"/>
      <c r="B14" s="286"/>
      <c r="C14" s="287" t="s">
        <v>189</v>
      </c>
      <c r="D14" s="271">
        <v>24.887270204647936177592785290</v>
      </c>
      <c r="E14" s="92"/>
      <c r="F14" s="272">
        <v>54.797569213034002517845239970</v>
      </c>
      <c r="G14" s="271">
        <v>8.46340617412417620534165800</v>
      </c>
      <c r="H14" s="92"/>
      <c r="I14" s="272">
        <v>6.0032627922695978942418817700</v>
      </c>
      <c r="J14" s="271">
        <v>1.0058966354491848768643773800</v>
      </c>
      <c r="K14" s="92"/>
      <c r="L14" s="272">
        <v>0.1720302578812434179179985900</v>
      </c>
      <c r="M14" s="271">
        <v>34.356573014221297259798820670</v>
      </c>
      <c r="N14" s="92">
        <v>37.430478309232480533926585090</v>
      </c>
      <c r="O14" s="272">
        <v>60.972862263184843830005120330</v>
      </c>
      <c r="P14" s="5"/>
      <c r="Q14" s="271">
        <v>-32.022738038913640422222654850</v>
      </c>
      <c r="R14" s="92"/>
      <c r="S14" s="272">
        <v>-7.1822377698680900637793802400</v>
      </c>
      <c r="T14" s="271">
        <v>577.77777777348518518521237199</v>
      </c>
      <c r="U14" s="92"/>
      <c r="V14" s="272">
        <v>9.573389869376282612625026650</v>
      </c>
      <c r="W14" s="271">
        <v>-7.936507932878004535004269690</v>
      </c>
      <c r="X14" s="92"/>
      <c r="Y14" s="272">
        <v>-89.51671243194295437620871860</v>
      </c>
      <c r="Z14" s="271">
        <v>-11.798753339274918148738154180</v>
      </c>
      <c r="AA14" s="92">
        <v>-11.122523844456966328967702510</v>
      </c>
      <c r="AB14" s="272">
        <v>-7.8368935473706168155780760700</v>
      </c>
    </row>
    <row r="15" ht="18" customHeight="1">
      <c r="A15" s="58"/>
      <c r="B15" s="288"/>
      <c r="C15" s="289" t="s">
        <v>190</v>
      </c>
      <c r="D15" s="420">
        <v>45.143369175627240143369175630</v>
      </c>
      <c r="E15" s="91"/>
      <c r="F15" s="421">
        <v>57.605676742872985273000746990</v>
      </c>
      <c r="G15" s="420">
        <v>6.7204301075268817204301075300</v>
      </c>
      <c r="H15" s="91"/>
      <c r="I15" s="421">
        <v>7.923743807121520710905555420</v>
      </c>
      <c r="J15" s="420">
        <v>0.77060931899641577060931900</v>
      </c>
      <c r="K15" s="91"/>
      <c r="L15" s="421">
        <v>0.1274199639888651423219666700</v>
      </c>
      <c r="M15" s="420">
        <v>52.634408602150537634408602150</v>
      </c>
      <c r="N15" s="91">
        <v>38.697318007662835249042145590</v>
      </c>
      <c r="O15" s="421">
        <v>65.656840513983371126228269090</v>
      </c>
      <c r="P15" s="5"/>
      <c r="Q15" s="420">
        <v>1.8600889607088352018214466300</v>
      </c>
      <c r="R15" s="91"/>
      <c r="S15" s="421">
        <v>2.2294466764503621239710919300</v>
      </c>
      <c r="T15" s="420">
        <v>-22.680412371121266872143690070</v>
      </c>
      <c r="U15" s="91"/>
      <c r="V15" s="421">
        <v>0.4968206743955740215216102100</v>
      </c>
      <c r="W15" s="420">
        <v>-29.508196724038699274283092620</v>
      </c>
      <c r="X15" s="91"/>
      <c r="Y15" s="421">
        <v>-90.77030672437303295202411779</v>
      </c>
      <c r="Z15" s="420">
        <v>-2.7161311692078531890496472500</v>
      </c>
      <c r="AA15" s="91">
        <v>-0.9803921568248846597462369800</v>
      </c>
      <c r="AB15" s="421">
        <v>0.0645101833251104442927551200</v>
      </c>
    </row>
    <row r="16" ht="18" customHeight="1">
      <c r="A16" s="58"/>
      <c r="B16" s="286"/>
      <c r="C16" s="287" t="s">
        <v>191</v>
      </c>
      <c r="D16" s="271">
        <v>38.154699965313909122441900800</v>
      </c>
      <c r="E16" s="92"/>
      <c r="F16" s="272">
        <v>59.729296302380194630632847260</v>
      </c>
      <c r="G16" s="271">
        <v>2.9483177245924384321886923300</v>
      </c>
      <c r="H16" s="92"/>
      <c r="I16" s="272">
        <v>8.076712671729564869738028120</v>
      </c>
      <c r="J16" s="271">
        <v>1.0926118626430801248699271600</v>
      </c>
      <c r="K16" s="92"/>
      <c r="L16" s="272">
        <v>0.1831651901796121622726766600</v>
      </c>
      <c r="M16" s="271">
        <v>42.195629552549427679500520290</v>
      </c>
      <c r="N16" s="92">
        <v>47.225312075145223087381040660</v>
      </c>
      <c r="O16" s="272">
        <v>67.989174164289371662643552040</v>
      </c>
      <c r="P16" s="5"/>
      <c r="Q16" s="271">
        <v>-5.9427105600586738503443925600</v>
      </c>
      <c r="R16" s="92"/>
      <c r="S16" s="272">
        <v>1.94824836576959637578117100</v>
      </c>
      <c r="T16" s="271">
        <v>-54.301075268634408602149806520</v>
      </c>
      <c r="U16" s="92"/>
      <c r="V16" s="272">
        <v>-1.0355878316704524904435063100</v>
      </c>
      <c r="W16" s="271">
        <v>1.6129032262129032258080774900</v>
      </c>
      <c r="X16" s="92"/>
      <c r="Y16" s="272">
        <v>-87.86397537334876582236996111</v>
      </c>
      <c r="Z16" s="271">
        <v>-12.261089073143329402880157780</v>
      </c>
      <c r="AA16" s="92">
        <v>-7.2009714632223262431113156600</v>
      </c>
      <c r="AB16" s="272">
        <v>-0.3943589524011320268872639500</v>
      </c>
    </row>
    <row r="17" ht="18" customHeight="1">
      <c r="A17" s="58"/>
      <c r="B17" s="288"/>
      <c r="C17" s="289" t="s">
        <v>192</v>
      </c>
      <c r="D17" s="420">
        <v>31.164874551971326164874551970</v>
      </c>
      <c r="E17" s="91"/>
      <c r="F17" s="421">
        <v>57.776641825176894724098038690</v>
      </c>
      <c r="G17" s="420">
        <v>0.6810035842293906810035842300</v>
      </c>
      <c r="H17" s="91"/>
      <c r="I17" s="421">
        <v>3.9928190403048483707097067700</v>
      </c>
      <c r="J17" s="420">
        <v>1.2544802867383512544802867400</v>
      </c>
      <c r="K17" s="91"/>
      <c r="L17" s="421">
        <v>0.2140102088984221944484528900</v>
      </c>
      <c r="M17" s="420">
        <v>33.100358422939068100358422940</v>
      </c>
      <c r="N17" s="91">
        <v>45.734355044699872286079182630</v>
      </c>
      <c r="O17" s="421">
        <v>61.983471074380165289256198350</v>
      </c>
      <c r="P17" s="5"/>
      <c r="Q17" s="420">
        <v>-19.453450671604240980108257690</v>
      </c>
      <c r="R17" s="91"/>
      <c r="S17" s="421">
        <v>5.4223438517849673788738097700</v>
      </c>
      <c r="T17" s="420">
        <v>-89.75741239890140292500050414</v>
      </c>
      <c r="U17" s="91"/>
      <c r="V17" s="421">
        <v>-33.830848022981391930566554610</v>
      </c>
      <c r="W17" s="420">
        <v>18.644067791100258546650598320</v>
      </c>
      <c r="X17" s="91"/>
      <c r="Y17" s="421">
        <v>-84.23302906930443192515957748</v>
      </c>
      <c r="Z17" s="420">
        <v>-28.659714175410186693234149260</v>
      </c>
      <c r="AA17" s="91">
        <v>12.539283469479599163427541170</v>
      </c>
      <c r="AB17" s="421">
        <v>-0.342546446102601698790629400</v>
      </c>
    </row>
    <row r="18" ht="18" customHeight="1">
      <c r="A18" s="58"/>
      <c r="B18" s="286"/>
      <c r="C18" s="287" t="s">
        <v>194</v>
      </c>
      <c r="D18" s="271">
        <v>20.482136663198057578910856750</v>
      </c>
      <c r="E18" s="92"/>
      <c r="F18" s="272">
        <v>51.805831753000776726445492040</v>
      </c>
      <c r="G18" s="271">
        <v>2.8616024973985431841831425600</v>
      </c>
      <c r="H18" s="92"/>
      <c r="I18" s="272">
        <v>3.9537953446264211196248549400</v>
      </c>
      <c r="J18" s="271">
        <v>1.2140131807145334720776968400</v>
      </c>
      <c r="K18" s="92"/>
      <c r="L18" s="272">
        <v>0.2047083388490010934717010700</v>
      </c>
      <c r="M18" s="271">
        <v>24.557752341311134235171696150</v>
      </c>
      <c r="N18" s="92">
        <v>40.545050055617352614015572860</v>
      </c>
      <c r="O18" s="272">
        <v>55.964335436476198939542048050</v>
      </c>
      <c r="P18" s="5"/>
      <c r="Q18" s="271">
        <v>-31.575898030052853905036245340</v>
      </c>
      <c r="R18" s="92"/>
      <c r="S18" s="272">
        <v>12.939293502012871890398767130</v>
      </c>
      <c r="T18" s="271">
        <v>-75.627769571736283324860142310</v>
      </c>
      <c r="U18" s="92"/>
      <c r="V18" s="272">
        <v>-43.660723537052608313612944170</v>
      </c>
      <c r="W18" s="271">
        <v>16.666666669665000000077056820</v>
      </c>
      <c r="X18" s="92"/>
      <c r="Y18" s="272">
        <v>-82.51273863347675286250328412</v>
      </c>
      <c r="Z18" s="271">
        <v>-42.509135200957195185456072440</v>
      </c>
      <c r="AA18" s="92">
        <v>10.902636916975959014437595360</v>
      </c>
      <c r="AB18" s="272">
        <v>3.5246305683133397974306832100</v>
      </c>
    </row>
    <row r="19" ht="18" customHeight="1">
      <c r="A19" s="58"/>
      <c r="B19" s="288">
        <v>2025</v>
      </c>
      <c r="C19" s="289" t="s">
        <v>195</v>
      </c>
      <c r="D19" s="420">
        <v>22.459243843218869233437391610</v>
      </c>
      <c r="E19" s="91"/>
      <c r="F19" s="421">
        <v>50.520048294750932393096879660</v>
      </c>
      <c r="G19" s="420">
        <v>2.9483177245924384321886923300</v>
      </c>
      <c r="H19" s="91"/>
      <c r="I19" s="421">
        <v>4.7362545276328999118528324700</v>
      </c>
      <c r="J19" s="420">
        <v>1.1099549080818591744710371100</v>
      </c>
      <c r="K19" s="91"/>
      <c r="L19" s="421">
        <v>0.1924573268371464091165595400</v>
      </c>
      <c r="M19" s="420">
        <v>26.517516475893166840097121050</v>
      </c>
      <c r="N19" s="91">
        <v>42.213570634037819799777530590</v>
      </c>
      <c r="O19" s="421">
        <v>55.448760149220978714066271670</v>
      </c>
      <c r="P19" s="5"/>
      <c r="Q19" s="420">
        <v>-29.504627109335405499191060290</v>
      </c>
      <c r="R19" s="91"/>
      <c r="S19" s="421">
        <v>6.6001080739203384045063763300</v>
      </c>
      <c r="T19" s="420">
        <v>-41.379310344292318668247193400</v>
      </c>
      <c r="U19" s="91"/>
      <c r="V19" s="421">
        <v>-3.5835476409114361855584581900</v>
      </c>
      <c r="W19" s="420">
        <v>23.076923079176331360987996990</v>
      </c>
      <c r="X19" s="91"/>
      <c r="Y19" s="421">
        <v>-83.64411217090652739735191063</v>
      </c>
      <c r="Z19" s="420">
        <v>-29.830197338229382475846354320</v>
      </c>
      <c r="AA19" s="91">
        <v>13.415241573870238770638805100</v>
      </c>
      <c r="AB19" s="421">
        <v>3.6791859287763593928876379600</v>
      </c>
    </row>
    <row r="20" ht="18" customHeight="1">
      <c r="A20" s="58"/>
      <c r="B20" s="286"/>
      <c r="C20" s="287" t="s">
        <v>196</v>
      </c>
      <c r="D20" s="271">
        <v>30.721966205837173579109062980</v>
      </c>
      <c r="E20" s="92"/>
      <c r="F20" s="272">
        <v>59.213211706540002417263383660</v>
      </c>
      <c r="G20" s="271">
        <v>9.927035330261136712749615980</v>
      </c>
      <c r="H20" s="92"/>
      <c r="I20" s="272">
        <v>8.147400164023769062579951980</v>
      </c>
      <c r="J20" s="271">
        <v>1.4592933947772657450076804900</v>
      </c>
      <c r="K20" s="92"/>
      <c r="L20" s="272">
        <v>0.2325206205279032853008172600</v>
      </c>
      <c r="M20" s="271">
        <v>42.108294930875576036866359450</v>
      </c>
      <c r="N20" s="92">
        <v>56.643404488232074438970990700</v>
      </c>
      <c r="O20" s="272">
        <v>67.593132491091674765144152900</v>
      </c>
      <c r="P20" s="5"/>
      <c r="Q20" s="271">
        <v>-7.2667679270497333693663140800</v>
      </c>
      <c r="R20" s="92"/>
      <c r="S20" s="272">
        <v>2.6417459719234882617742884300</v>
      </c>
      <c r="T20" s="271">
        <v>2.9739010985026691145408485100</v>
      </c>
      <c r="U20" s="92"/>
      <c r="V20" s="272">
        <v>1.6157203179861829632365687900</v>
      </c>
      <c r="W20" s="271">
        <v>29.039812648460045302755853900</v>
      </c>
      <c r="X20" s="92"/>
      <c r="Y20" s="272">
        <v>-62.948799185027568552513084720</v>
      </c>
      <c r="Z20" s="271">
        <v>-4.0827099420930432074131919400</v>
      </c>
      <c r="AA20" s="92">
        <v>19.908803963386186819323627890</v>
      </c>
      <c r="AB20" s="272">
        <v>1.8972042486133186244819520900</v>
      </c>
    </row>
    <row r="21" ht="18" customHeight="1">
      <c r="A21" s="58"/>
      <c r="B21" s="288"/>
      <c r="C21" s="289" t="s">
        <v>180</v>
      </c>
      <c r="D21" s="420">
        <v>39.281997918834547346514047870</v>
      </c>
      <c r="E21" s="91"/>
      <c r="F21" s="421">
        <v>58.884429278276394039541574450</v>
      </c>
      <c r="G21" s="420">
        <v>4.6826222684703433922996878300</v>
      </c>
      <c r="H21" s="91"/>
      <c r="I21" s="421">
        <v>9.665744419559578302602177740</v>
      </c>
      <c r="J21" s="420">
        <v>1.3701005896635449184876864400</v>
      </c>
      <c r="K21" s="91"/>
      <c r="L21" s="421">
        <v>0.227530932403220109030265800</v>
      </c>
      <c r="M21" s="420">
        <v>45.334720776968435657301422130</v>
      </c>
      <c r="N21" s="91">
        <v>55.691509084167593622543566930</v>
      </c>
      <c r="O21" s="421">
        <v>68.777704630239192451174017990</v>
      </c>
      <c r="P21" s="5"/>
      <c r="Q21" s="420">
        <v>16.512345678965596898338686650</v>
      </c>
      <c r="R21" s="91"/>
      <c r="S21" s="421">
        <v>3.0950549631537688243580650300</v>
      </c>
      <c r="T21" s="420">
        <v>-51.086956521708293950850642130</v>
      </c>
      <c r="U21" s="91"/>
      <c r="V21" s="421">
        <v>31.996594735709028957539613350</v>
      </c>
      <c r="W21" s="420">
        <v>-20.202020200201775329006618100</v>
      </c>
      <c r="X21" s="91"/>
      <c r="Y21" s="421">
        <v>-25.396967736647047546270223850</v>
      </c>
      <c r="Z21" s="420">
        <v>0.7321772640399751411674793500</v>
      </c>
      <c r="AA21" s="91">
        <v>33.156028368920753640410562180</v>
      </c>
      <c r="AB21" s="421">
        <v>6.2296637744761291558761160600</v>
      </c>
    </row>
    <row r="22" ht="18" customHeight="1">
      <c r="A22" s="58"/>
      <c r="B22" s="286"/>
      <c r="C22" s="287" t="s">
        <v>183</v>
      </c>
      <c r="D22" s="271">
        <v>31.021505376344086021505376340</v>
      </c>
      <c r="E22" s="92"/>
      <c r="F22" s="272">
        <v>62.101699686525522091732781340</v>
      </c>
      <c r="G22" s="271">
        <v>1.8996415770609318996415770600</v>
      </c>
      <c r="H22" s="92"/>
      <c r="I22" s="272">
        <v>5.4918214655910326478652525800</v>
      </c>
      <c r="J22" s="271">
        <v>1.2544802867383512544802867400</v>
      </c>
      <c r="K22" s="92"/>
      <c r="L22" s="272">
        <v>0.2129792258123946179227521800</v>
      </c>
      <c r="M22" s="271">
        <v>34.175627240143369175627240140</v>
      </c>
      <c r="N22" s="92">
        <v>50.459770114942528735632183910</v>
      </c>
      <c r="O22" s="272">
        <v>67.806500377928949357520786090</v>
      </c>
      <c r="P22" s="5"/>
      <c r="Q22" s="271">
        <v>-6.4324324324344555149744338600</v>
      </c>
      <c r="R22" s="92"/>
      <c r="S22" s="272">
        <v>5.5508502118264231816675605200</v>
      </c>
      <c r="T22" s="271">
        <v>-67.975830815833809475999192530</v>
      </c>
      <c r="U22" s="92"/>
      <c r="V22" s="272">
        <v>-25.065669621344478053768583920</v>
      </c>
      <c r="W22" s="271">
        <v>-5.4054054088312636960044892400</v>
      </c>
      <c r="X22" s="92"/>
      <c r="Y22" s="272">
        <v>-7.3601409337436315078498740400</v>
      </c>
      <c r="Z22" s="271">
        <v>-15.432372505483983657897412290</v>
      </c>
      <c r="AA22" s="92">
        <v>25.031645569585038555519958650</v>
      </c>
      <c r="AB22" s="272">
        <v>2.1265938069666700726358106800</v>
      </c>
    </row>
    <row r="23" ht="18" customHeight="1">
      <c r="A23" s="58"/>
      <c r="B23" s="288"/>
      <c r="C23" s="289" t="s">
        <v>185</v>
      </c>
      <c r="D23" s="420">
        <v>36.021505376344086021505376340</v>
      </c>
      <c r="E23" s="91"/>
      <c r="F23" s="421">
        <v>62.829425800466583155924491710</v>
      </c>
      <c r="G23" s="420">
        <v>1.9771071800208116545265348600</v>
      </c>
      <c r="H23" s="91"/>
      <c r="I23" s="421">
        <v>7.2625986719488495051557573500</v>
      </c>
      <c r="J23" s="420">
        <v>1.4741588622962192160943461700</v>
      </c>
      <c r="K23" s="91"/>
      <c r="L23" s="421">
        <v>0.259815188179988303004309500</v>
      </c>
      <c r="M23" s="420">
        <v>39.472771418661116892126257370</v>
      </c>
      <c r="N23" s="91">
        <v>52.156717340254603880855271290</v>
      </c>
      <c r="O23" s="421">
        <v>70.351839660595420964084558550</v>
      </c>
      <c r="P23" s="5"/>
      <c r="Q23" s="420">
        <v>9.778012684888934715660556210</v>
      </c>
      <c r="R23" s="91"/>
      <c r="S23" s="421">
        <v>3.8371999288704613707712761100</v>
      </c>
      <c r="T23" s="420">
        <v>-47.945205479553312066053471630</v>
      </c>
      <c r="U23" s="91"/>
      <c r="V23" s="421">
        <v>11.994809688571337111393174450</v>
      </c>
      <c r="W23" s="420">
        <v>13.333333334067733333338092460</v>
      </c>
      <c r="X23" s="91"/>
      <c r="Y23" s="421">
        <v>13.588246704401508868736453500</v>
      </c>
      <c r="Z23" s="420">
        <v>4.1171088745772718179147789600</v>
      </c>
      <c r="AA23" s="91">
        <v>16.093535075737557787746807210</v>
      </c>
      <c r="AB23" s="421">
        <v>4.6573374829290691774914705100</v>
      </c>
    </row>
    <row r="24" ht="18" customHeight="1">
      <c r="A24" s="59"/>
      <c r="B24" s="286"/>
      <c r="C24" s="287" t="s">
        <v>187</v>
      </c>
      <c r="D24" s="271">
        <v>34.820788530465949820788530470</v>
      </c>
      <c r="E24" s="92"/>
      <c r="F24" s="272">
        <v>64.948172000057103087116697110</v>
      </c>
      <c r="G24" s="271">
        <v>4.6057347670250896057347670300</v>
      </c>
      <c r="H24" s="92"/>
      <c r="I24" s="272">
        <v>10.180043254325148262733325170</v>
      </c>
      <c r="J24" s="271">
        <v>1.4336917562724014336917562700</v>
      </c>
      <c r="K24" s="92"/>
      <c r="L24" s="272">
        <v>0.2519812686714145609587456700</v>
      </c>
      <c r="M24" s="271">
        <v>40.860215053763440860215053760</v>
      </c>
      <c r="N24" s="92">
        <v>56.538952745849297573435504470</v>
      </c>
      <c r="O24" s="272">
        <v>75.380196523053665910808767950</v>
      </c>
      <c r="P24" s="93"/>
      <c r="Q24" s="271">
        <v>14.563679245188449793075905770</v>
      </c>
      <c r="R24" s="92"/>
      <c r="S24" s="272">
        <v>4.4279072560072611730840669300</v>
      </c>
      <c r="T24" s="271">
        <v>37.433155079670050616262268400</v>
      </c>
      <c r="U24" s="92"/>
      <c r="V24" s="272">
        <v>34.308133691426370771395011830</v>
      </c>
      <c r="W24" s="271">
        <v>12.676056337298155127955532890</v>
      </c>
      <c r="X24" s="92"/>
      <c r="Y24" s="272">
        <v>11.439603318817852321908035130</v>
      </c>
      <c r="Z24" s="271">
        <v>16.683725690735221245242624570</v>
      </c>
      <c r="AA24" s="92">
        <v>17.520573400591194513374604720</v>
      </c>
      <c r="AB24" s="272">
        <v>7.6859950329338084440125256400</v>
      </c>
    </row>
    <row r="25" ht="18" customHeight="1">
      <c r="A25" s="60"/>
      <c r="B25" s="288"/>
      <c r="C25" s="289" t="s">
        <v>188</v>
      </c>
      <c r="D25" s="420">
        <v>30.887963926465487339576829690</v>
      </c>
      <c r="E25" s="91"/>
      <c r="F25" s="421">
        <v>63.760449047260066920783721940</v>
      </c>
      <c r="G25" s="420">
        <v>4.5612209503988900450919181400</v>
      </c>
      <c r="H25" s="91"/>
      <c r="I25" s="421">
        <v>8.768321560314396327516887760</v>
      </c>
      <c r="J25" s="420">
        <v>1.1793270898369753728754769300</v>
      </c>
      <c r="K25" s="91"/>
      <c r="L25" s="421">
        <v>0.2076788109026049983528904100</v>
      </c>
      <c r="M25" s="420">
        <v>36.628511966701352757544224770</v>
      </c>
      <c r="N25" s="91">
        <v>53.293783215918922259300457300</v>
      </c>
      <c r="O25" s="421">
        <v>72.736449418477068246653500110</v>
      </c>
      <c r="P25" s="93"/>
      <c r="Q25" s="420">
        <v>2.7104959632375434521459764700</v>
      </c>
      <c r="R25" s="91"/>
      <c r="S25" s="421">
        <v>10.494090720121573396398409740</v>
      </c>
      <c r="T25" s="420">
        <v>-9.310344826758116527935363780</v>
      </c>
      <c r="U25" s="91"/>
      <c r="V25" s="421">
        <v>9.206973576466747689168504090</v>
      </c>
      <c r="W25" s="420">
        <v>-6.8493150662218052166832169200</v>
      </c>
      <c r="X25" s="91"/>
      <c r="Y25" s="421">
        <v>-6.9539473140416965643194788400</v>
      </c>
      <c r="Z25" s="420">
        <v>0.715307582314836031854241800</v>
      </c>
      <c r="AA25" s="91">
        <v>22.919042189418121342453758150</v>
      </c>
      <c r="AB25" s="421">
        <v>10.278363091919057484962820640</v>
      </c>
    </row>
    <row r="26" ht="18" customHeight="1">
      <c r="A26" s="60"/>
      <c r="B26" s="290"/>
      <c r="C26" s="291" t="s">
        <v>189</v>
      </c>
      <c r="D26" s="273">
        <v>37.859868192854665279223031560</v>
      </c>
      <c r="E26" s="274"/>
      <c r="F26" s="275">
        <v>63.473276673672530644240657610</v>
      </c>
      <c r="G26" s="273">
        <v>0</v>
      </c>
      <c r="H26" s="274"/>
      <c r="I26" s="275">
        <v>7.1599001671929365436550446600</v>
      </c>
      <c r="J26" s="273">
        <v>1.4047866805411030176899063500</v>
      </c>
      <c r="K26" s="274"/>
      <c r="L26" s="275">
        <v>0.2467880483160118553344930300</v>
      </c>
      <c r="M26" s="273">
        <v>39.264654873395768296912937910</v>
      </c>
      <c r="N26" s="274">
        <v>58.929674947472500308985292300</v>
      </c>
      <c r="O26" s="275">
        <v>70.879964889181479043230195300</v>
      </c>
      <c r="P26" s="184"/>
      <c r="Q26" s="273">
        <v>52.125435540362700142044294410</v>
      </c>
      <c r="R26" s="274"/>
      <c r="S26" s="275">
        <v>15.832285236868378394141921940</v>
      </c>
      <c r="T26" s="273">
        <v>-100</v>
      </c>
      <c r="U26" s="274"/>
      <c r="V26" s="275">
        <v>19.266812313738473881451719040</v>
      </c>
      <c r="W26" s="273">
        <v>39.655172420621759810084195260</v>
      </c>
      <c r="X26" s="274"/>
      <c r="Y26" s="275">
        <v>43.456186910716626516487382420</v>
      </c>
      <c r="Z26" s="273">
        <v>14.285714285785130165140304960</v>
      </c>
      <c r="AA26" s="274">
        <v>57.437675417009656995540994350</v>
      </c>
      <c r="AB26" s="275">
        <v>16.248380440491282373881580450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2023</v>
      </c>
      <c r="C29" s="285"/>
      <c r="D29" s="427">
        <v>40.663303686003805478118500820</v>
      </c>
      <c r="E29" s="428"/>
      <c r="F29" s="429">
        <v>59.265284544185395850297367010</v>
      </c>
      <c r="G29" s="427">
        <v>5.0931457144121421301827514500</v>
      </c>
      <c r="H29" s="428"/>
      <c r="I29" s="429">
        <v>7.5997718765873277529995955600</v>
      </c>
      <c r="J29" s="427">
        <v>1.1637683083322270896942342600</v>
      </c>
      <c r="K29" s="428"/>
      <c r="L29" s="429">
        <v>1.8413067829449774689014641300</v>
      </c>
      <c r="M29" s="427">
        <v>46.920217708748174697995486530</v>
      </c>
      <c r="N29" s="428">
        <v>51.092663544770824464311054350</v>
      </c>
      <c r="O29" s="429">
        <v>68.706363203717701072198426700</v>
      </c>
      <c r="P29" s="5"/>
      <c r="Q29" s="427">
        <v>10.298265618483265152156935890</v>
      </c>
      <c r="R29" s="428"/>
      <c r="S29" s="429">
        <v>12.327453515466012948445502660</v>
      </c>
      <c r="T29" s="427">
        <v>-37.632078027410458810049282370</v>
      </c>
      <c r="U29" s="428"/>
      <c r="V29" s="429">
        <v>16.211956234836266179520243880</v>
      </c>
      <c r="W29" s="427">
        <v>15.350877188221196906937062970</v>
      </c>
      <c r="X29" s="428"/>
      <c r="Y29" s="429">
        <v>35.472308308080019407451994300</v>
      </c>
      <c r="Z29" s="427">
        <v>1.9077366650726393882917253900</v>
      </c>
      <c r="AA29" s="428">
        <v>3.5717710231352548035614155200</v>
      </c>
      <c r="AB29" s="429">
        <v>13.264825782690374622010995030</v>
      </c>
    </row>
    <row r="30" ht="18" customHeight="1">
      <c r="A30" s="58"/>
      <c r="B30" s="286">
        <v>2024</v>
      </c>
      <c r="C30" s="287"/>
      <c r="D30" s="271">
        <v>31.233474352194606028556319410</v>
      </c>
      <c r="E30" s="92"/>
      <c r="F30" s="272">
        <v>56.992934518913642437258212680</v>
      </c>
      <c r="G30" s="271">
        <v>6.339238498149127445795875200</v>
      </c>
      <c r="H30" s="92"/>
      <c r="I30" s="272">
        <v>6.9426734476170851581098108400</v>
      </c>
      <c r="J30" s="271">
        <v>1.2405252952582407897056231300</v>
      </c>
      <c r="K30" s="92"/>
      <c r="L30" s="272">
        <v>0.3972307931157921922452385200</v>
      </c>
      <c r="M30" s="271">
        <v>38.813238145601974264057817730</v>
      </c>
      <c r="N30" s="92">
        <v>42.486490542156193975371710580</v>
      </c>
      <c r="O30" s="272">
        <v>64.332838759646519787613262040</v>
      </c>
      <c r="P30" s="5"/>
      <c r="Q30" s="271">
        <v>-23.190022647008873364180006020</v>
      </c>
      <c r="R30" s="92"/>
      <c r="S30" s="272">
        <v>-3.834200818848074205753519200</v>
      </c>
      <c r="T30" s="271">
        <v>24.466073692453228543660360820</v>
      </c>
      <c r="U30" s="92"/>
      <c r="V30" s="272">
        <v>-8.646291489434663827448564550</v>
      </c>
      <c r="W30" s="271">
        <v>6.5955556970240267631133197800</v>
      </c>
      <c r="X30" s="92"/>
      <c r="Y30" s="272">
        <v>-78.426691477768509324637077020</v>
      </c>
      <c r="Z30" s="271">
        <v>-17.278222393232460188970858580</v>
      </c>
      <c r="AA30" s="92">
        <v>-16.844244174308087568263623970</v>
      </c>
      <c r="AB30" s="272">
        <v>-6.3655304110434353294050220600</v>
      </c>
    </row>
    <row r="31" ht="18" customHeight="1">
      <c r="A31" s="58"/>
      <c r="B31" s="425">
        <v>2025</v>
      </c>
      <c r="C31" s="426"/>
      <c r="D31" s="430">
        <v>32.910748263197486614451966900</v>
      </c>
      <c r="E31" s="431"/>
      <c r="F31" s="432">
        <v>60.711780165875804711152535730</v>
      </c>
      <c r="G31" s="430">
        <v>3.7545909111022611619983185100</v>
      </c>
      <c r="H31" s="431"/>
      <c r="I31" s="432">
        <v>7.6693849627006561291541550900</v>
      </c>
      <c r="J31" s="430">
        <v>1.3341298287534846674631620900</v>
      </c>
      <c r="K31" s="431"/>
      <c r="L31" s="432">
        <v>0.2288961798975460463986085800</v>
      </c>
      <c r="M31" s="430">
        <v>37.999469003053232443913447500</v>
      </c>
      <c r="N31" s="431">
        <v>53.196789808113775759582485850</v>
      </c>
      <c r="O31" s="432">
        <v>68.610061308474006886705299400</v>
      </c>
      <c r="P31" s="184"/>
      <c r="Q31" s="430">
        <v>5.3701163440350466642312428900</v>
      </c>
      <c r="R31" s="431"/>
      <c r="S31" s="432">
        <v>6.5250994327069804036339213800</v>
      </c>
      <c r="T31" s="430">
        <v>-40.772209276751628989191090390</v>
      </c>
      <c r="U31" s="431"/>
      <c r="V31" s="432">
        <v>10.467315229292135217121098140</v>
      </c>
      <c r="W31" s="430">
        <v>7.5455562097867580228423972500</v>
      </c>
      <c r="X31" s="431"/>
      <c r="Y31" s="432">
        <v>-42.377030211773366570203950280</v>
      </c>
      <c r="Z31" s="430">
        <v>-2.0966278038798965281830471200</v>
      </c>
      <c r="AA31" s="431">
        <v>25.208717239838148280029830370</v>
      </c>
      <c r="AB31" s="432">
        <v>6.6485835715367726779160187800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2023</v>
      </c>
      <c r="C34" s="285"/>
      <c r="D34" s="427">
        <v>44.389901823281907433380084150</v>
      </c>
      <c r="E34" s="428"/>
      <c r="F34" s="429">
        <v>61.676672985986873713791672690</v>
      </c>
      <c r="G34" s="427">
        <v>4.4062646096306685366993922400</v>
      </c>
      <c r="H34" s="428"/>
      <c r="I34" s="429">
        <v>8.766982595201179088118167900</v>
      </c>
      <c r="J34" s="427">
        <v>1.1979897148200093501636278600</v>
      </c>
      <c r="K34" s="428"/>
      <c r="L34" s="429">
        <v>2.1527163008981149985436741500</v>
      </c>
      <c r="M34" s="427">
        <v>49.994156147732585320243104250</v>
      </c>
      <c r="N34" s="428">
        <v>54.722638680659670164917541230</v>
      </c>
      <c r="O34" s="429">
        <v>72.596371882086167800453514740</v>
      </c>
      <c r="P34" s="5"/>
      <c r="Q34" s="427">
        <v>25.928381963026724841517421640</v>
      </c>
      <c r="R34" s="428"/>
      <c r="S34" s="429">
        <v>12.949082067735765344929464430</v>
      </c>
      <c r="T34" s="427">
        <v>-46.181299071776057175432646590</v>
      </c>
      <c r="U34" s="428"/>
      <c r="V34" s="429">
        <v>29.511460879030127165400391490</v>
      </c>
      <c r="W34" s="427">
        <v>28.930817612690162572736579040</v>
      </c>
      <c r="X34" s="428"/>
      <c r="Y34" s="429">
        <v>4.3322254313788604412831320800</v>
      </c>
      <c r="Z34" s="427">
        <v>12.684404636490540899910179680</v>
      </c>
      <c r="AA34" s="428">
        <v>5.5125065242286684520779691500</v>
      </c>
      <c r="AB34" s="429">
        <v>14.436129954663273436143588370</v>
      </c>
    </row>
    <row r="35" ht="18" customHeight="1">
      <c r="A35" s="58"/>
      <c r="B35" s="286">
        <v>2024</v>
      </c>
      <c r="C35" s="287"/>
      <c r="D35" s="271">
        <v>28.430341280972417017297802710</v>
      </c>
      <c r="E35" s="92"/>
      <c r="F35" s="272">
        <v>58.189163192832740512581984260</v>
      </c>
      <c r="G35" s="271">
        <v>5.6393174380551659654043945800</v>
      </c>
      <c r="H35" s="92"/>
      <c r="I35" s="272">
        <v>7.1999058699636595794974724100</v>
      </c>
      <c r="J35" s="271">
        <v>1.1804581580177653108929406300</v>
      </c>
      <c r="K35" s="92"/>
      <c r="L35" s="272">
        <v>0.206908458646959860597266200</v>
      </c>
      <c r="M35" s="271">
        <v>35.250116877045348293595137910</v>
      </c>
      <c r="N35" s="92">
        <v>42.909795102448775612193903050</v>
      </c>
      <c r="O35" s="272">
        <v>65.595977521443359952676722860</v>
      </c>
      <c r="P35" s="5"/>
      <c r="Q35" s="271">
        <v>-35.953133228040849012575827480</v>
      </c>
      <c r="R35" s="92"/>
      <c r="S35" s="272">
        <v>-5.654503760212373994050794700</v>
      </c>
      <c r="T35" s="271">
        <v>27.984084881527401163737739860</v>
      </c>
      <c r="U35" s="92"/>
      <c r="V35" s="272">
        <v>-17.874755746570418610593657200</v>
      </c>
      <c r="W35" s="271">
        <v>-1.4634146325005401546423501900</v>
      </c>
      <c r="X35" s="92"/>
      <c r="Y35" s="272">
        <v>-90.38849389673612330301529701</v>
      </c>
      <c r="Z35" s="271">
        <v>-29.491525423682857363619223340</v>
      </c>
      <c r="AA35" s="92">
        <v>-21.586757990925369393882486960</v>
      </c>
      <c r="AB35" s="272">
        <v>-9.642898369667312335058614750</v>
      </c>
    </row>
    <row r="36" ht="18" customHeight="1">
      <c r="A36" s="58"/>
      <c r="B36" s="425">
        <v>2025</v>
      </c>
      <c r="C36" s="426"/>
      <c r="D36" s="430">
        <v>34.519635343618513323983169710</v>
      </c>
      <c r="E36" s="431"/>
      <c r="F36" s="432">
        <v>64.050985405985039316622355210</v>
      </c>
      <c r="G36" s="430">
        <v>3.0388031790556334735857877500</v>
      </c>
      <c r="H36" s="431"/>
      <c r="I36" s="432">
        <v>8.686697512853062683568800650</v>
      </c>
      <c r="J36" s="430">
        <v>1.3382421692379616643291257600</v>
      </c>
      <c r="K36" s="431"/>
      <c r="L36" s="432">
        <v>0.2353033771295604270986006200</v>
      </c>
      <c r="M36" s="430">
        <v>38.896680691912108461898083220</v>
      </c>
      <c r="N36" s="431">
        <v>56.251041146093619856738297520</v>
      </c>
      <c r="O36" s="432">
        <v>72.972986295967662427289756480</v>
      </c>
      <c r="P36" s="184"/>
      <c r="Q36" s="430">
        <v>21.418293936161748335585059940</v>
      </c>
      <c r="R36" s="431"/>
      <c r="S36" s="432">
        <v>10.073735196642848871180605550</v>
      </c>
      <c r="T36" s="430">
        <v>-46.113989637734107224351610310</v>
      </c>
      <c r="U36" s="431"/>
      <c r="V36" s="432">
        <v>20.650153900596240483471774190</v>
      </c>
      <c r="W36" s="430">
        <v>13.366336635369473581047144580</v>
      </c>
      <c r="X36" s="431"/>
      <c r="Y36" s="432">
        <v>13.723420841123808506589792940</v>
      </c>
      <c r="Z36" s="430">
        <v>10.344827586348852099149546940</v>
      </c>
      <c r="AA36" s="431">
        <v>31.091376716798693861707880460</v>
      </c>
      <c r="AB36" s="432">
        <v>11.246129798372149649630751300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7.2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 customHeight="1">
      <c r="A39" s="58"/>
      <c r="B39" s="284">
        <v>2023</v>
      </c>
      <c r="C39" s="285"/>
      <c r="D39" s="427">
        <v>37.576962733834143467373692740</v>
      </c>
      <c r="E39" s="428"/>
      <c r="F39" s="429">
        <v>56.381579408104747536380364250</v>
      </c>
      <c r="G39" s="427">
        <v>5.2040064810723228752393577800</v>
      </c>
      <c r="H39" s="428"/>
      <c r="I39" s="429">
        <v>6.8129999419990090798763603600</v>
      </c>
      <c r="J39" s="427">
        <v>1.1577551922227132125497127700</v>
      </c>
      <c r="K39" s="428"/>
      <c r="L39" s="429">
        <v>1.8035258280405604713088952400</v>
      </c>
      <c r="M39" s="427">
        <v>43.938724407129179555162763290</v>
      </c>
      <c r="N39" s="428">
        <v>48.401301632288878391854301160</v>
      </c>
      <c r="O39" s="429">
        <v>64.998105178144317087565619860</v>
      </c>
      <c r="P39" s="5"/>
      <c r="Q39" s="427">
        <v>2.9333440928990763866690460900</v>
      </c>
      <c r="R39" s="428"/>
      <c r="S39" s="429">
        <v>4.6595500836740673313902652300</v>
      </c>
      <c r="T39" s="427">
        <v>-36.775232641746503686187000320</v>
      </c>
      <c r="U39" s="428"/>
      <c r="V39" s="429">
        <v>12.441390901923323585158243130</v>
      </c>
      <c r="W39" s="427">
        <v>-8.284714120603717889165770150</v>
      </c>
      <c r="X39" s="428"/>
      <c r="Y39" s="429">
        <v>72.085172325555450361671927380</v>
      </c>
      <c r="Z39" s="427">
        <v>-4.479810432596154980872239200</v>
      </c>
      <c r="AA39" s="428">
        <v>-3.1272322367022371064835016700</v>
      </c>
      <c r="AB39" s="429">
        <v>6.5916424558591276738475559700</v>
      </c>
    </row>
    <row r="40" ht="18" customHeight="1">
      <c r="A40" s="58"/>
      <c r="B40" s="286">
        <v>2024</v>
      </c>
      <c r="C40" s="287"/>
      <c r="D40" s="271">
        <v>33.597743698219636876432222810</v>
      </c>
      <c r="E40" s="92"/>
      <c r="F40" s="272">
        <v>55.951020268627929971777594250</v>
      </c>
      <c r="G40" s="271">
        <v>7.0245020271461307949938304200</v>
      </c>
      <c r="H40" s="92"/>
      <c r="I40" s="272">
        <v>7.055302718501587412295767700</v>
      </c>
      <c r="J40" s="271">
        <v>1.1825019096304130677478112700</v>
      </c>
      <c r="K40" s="92"/>
      <c r="L40" s="272">
        <v>0.7170951472475211025541657800</v>
      </c>
      <c r="M40" s="271">
        <v>41.804747634996180739173864500</v>
      </c>
      <c r="N40" s="92">
        <v>42.264952392328476255707762560</v>
      </c>
      <c r="O40" s="272">
        <v>63.723418134377038486627527720</v>
      </c>
      <c r="P40" s="5"/>
      <c r="Q40" s="271">
        <v>-10.589517475825969874724865330</v>
      </c>
      <c r="R40" s="92"/>
      <c r="S40" s="272">
        <v>-0.7636521431150511626676541900</v>
      </c>
      <c r="T40" s="271">
        <v>34.982576456386780939857243020</v>
      </c>
      <c r="U40" s="92"/>
      <c r="V40" s="272">
        <v>3.5564770081365635845438805100</v>
      </c>
      <c r="W40" s="271">
        <v>2.1374741048138715268385967200</v>
      </c>
      <c r="X40" s="92"/>
      <c r="Y40" s="272">
        <v>-60.239263773519904226502389740</v>
      </c>
      <c r="Z40" s="271">
        <v>-4.856710796454056354621659200</v>
      </c>
      <c r="AA40" s="92">
        <v>-12.678066566450577112845041820</v>
      </c>
      <c r="AB40" s="272">
        <v>-1.9611141589900462424422987800</v>
      </c>
    </row>
    <row r="41" ht="18" customHeight="1">
      <c r="A41" s="58"/>
      <c r="B41" s="425">
        <v>2025</v>
      </c>
      <c r="C41" s="426"/>
      <c r="D41" s="430">
        <v>33.162468699366622477537192520</v>
      </c>
      <c r="E41" s="431"/>
      <c r="F41" s="432">
        <v>59.384900955983798392611371580</v>
      </c>
      <c r="G41" s="430">
        <v>3.6014140521431727794962439200</v>
      </c>
      <c r="H41" s="431"/>
      <c r="I41" s="432">
        <v>7.1135588891610832956543657900</v>
      </c>
      <c r="J41" s="430">
        <v>1.2505523641184268669907202800</v>
      </c>
      <c r="K41" s="431"/>
      <c r="L41" s="432">
        <v>0.2134022825528391158399527800</v>
      </c>
      <c r="M41" s="430">
        <v>38.014435115628222124024156720</v>
      </c>
      <c r="N41" s="431">
        <v>49.810003673962105705138298430</v>
      </c>
      <c r="O41" s="432">
        <v>66.711862127697720804105690150</v>
      </c>
      <c r="P41" s="184"/>
      <c r="Q41" s="430">
        <v>-1.2955483045032496987107678100</v>
      </c>
      <c r="R41" s="431"/>
      <c r="S41" s="432">
        <v>6.1372977130694252496324380900</v>
      </c>
      <c r="T41" s="430">
        <v>-48.730685274924991280507620940</v>
      </c>
      <c r="U41" s="431"/>
      <c r="V41" s="432">
        <v>0.8257075987445214772518451500</v>
      </c>
      <c r="W41" s="430">
        <v>5.754786014801955884361159600</v>
      </c>
      <c r="X41" s="431"/>
      <c r="Y41" s="432">
        <v>-70.240729785147942800085821020</v>
      </c>
      <c r="Z41" s="430">
        <v>-9.066703505700466539787648400</v>
      </c>
      <c r="AA41" s="431">
        <v>17.85179174373491940666633100</v>
      </c>
      <c r="AB41" s="432">
        <v>4.6897107543646662993494458200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2">
    <mergeCell ref="B43:AB43"/>
    <mergeCell ref="Q38:AB38"/>
    <mergeCell ref="Q7:S7"/>
    <mergeCell ref="T7:V7"/>
    <mergeCell ref="Q33:AB33"/>
    <mergeCell ref="B33:O33"/>
    <mergeCell ref="B38:O38"/>
    <mergeCell ref="J7:L7"/>
    <mergeCell ref="G7:I7"/>
    <mergeCell ref="D7:F7"/>
    <mergeCell ref="B8:C8"/>
    <mergeCell ref="M7:O7"/>
    <mergeCell ref="Q28:AB28"/>
    <mergeCell ref="W7:Y7"/>
    <mergeCell ref="Z7:AB7"/>
    <mergeCell ref="B28:O28"/>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39"/>
</worksheet>
</file>

<file path=xl/worksheets/sheet4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pageSetUpPr fitToPage="1"/>
  </sheetPr>
  <dimension ref="A1:AD82"/>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143</v>
      </c>
      <c r="Z1" s="5"/>
      <c r="AB1" s="685"/>
      <c r="AD1" s="236"/>
    </row>
    <row r="2" ht="15" customHeight="1">
      <c r="A2" s="11"/>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171</v>
      </c>
      <c r="C3" s="999"/>
      <c r="D3" s="999"/>
      <c r="E3" s="999"/>
      <c r="F3" s="999"/>
      <c r="G3" s="999"/>
      <c r="H3" s="999"/>
      <c r="I3" s="999"/>
      <c r="J3" s="999"/>
      <c r="K3" s="999"/>
      <c r="L3" s="999"/>
      <c r="M3" s="999"/>
      <c r="N3" s="999"/>
      <c r="O3" s="999"/>
      <c r="P3" s="999"/>
      <c r="Q3" s="999"/>
      <c r="R3" s="1035" t="s">
        <v>247</v>
      </c>
      <c r="S3" s="1035"/>
      <c r="T3" s="1035"/>
      <c r="U3" s="1035"/>
      <c r="V3" s="1035"/>
      <c r="W3" s="1035"/>
      <c r="X3" s="1035"/>
      <c r="Y3" s="1035"/>
      <c r="Z3" s="1035"/>
      <c r="AA3" s="1035"/>
      <c r="AB3" s="1035"/>
    </row>
    <row r="4" ht="19.5" customHeight="1">
      <c r="A4" s="4"/>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90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2024</v>
      </c>
      <c r="C9" s="285" t="s">
        <v>180</v>
      </c>
      <c r="D9" s="434">
        <v>120.34773662551440329218106996</v>
      </c>
      <c r="E9" s="435"/>
      <c r="F9" s="436">
        <v>128.76923015518635579422256978</v>
      </c>
      <c r="G9" s="434">
        <v>94.95289855072463768115942029</v>
      </c>
      <c r="H9" s="435"/>
      <c r="I9" s="436">
        <v>119.0468391168717564660214847</v>
      </c>
      <c r="J9" s="434">
        <v>97.6969696969696969696969697</v>
      </c>
      <c r="K9" s="435"/>
      <c r="L9" s="436">
        <v>93.32549820079131715859486256</v>
      </c>
      <c r="M9" s="434">
        <v>114.08175337186897880539499037</v>
      </c>
      <c r="N9" s="435">
        <v>110.19483008274231678486997636</v>
      </c>
      <c r="O9" s="436">
        <v>127.50264370932754880694143167</v>
      </c>
      <c r="P9" s="5"/>
      <c r="Q9" s="415">
        <v>9.743365029722032930219314260</v>
      </c>
      <c r="R9" s="416"/>
      <c r="S9" s="417">
        <v>8.086120884740476448544893940</v>
      </c>
      <c r="T9" s="415">
        <v>-18.438084955660792545473610430</v>
      </c>
      <c r="U9" s="416"/>
      <c r="V9" s="417">
        <v>-7.0795356217522301299699337900</v>
      </c>
      <c r="W9" s="415">
        <v>5.3662509108165437174147816600</v>
      </c>
      <c r="X9" s="416"/>
      <c r="Y9" s="417">
        <v>1.8277549183800275964113442400</v>
      </c>
      <c r="Z9" s="415">
        <v>3.878622823206542039004647600</v>
      </c>
      <c r="AA9" s="416">
        <v>6.5218231688860950450389560700</v>
      </c>
      <c r="AB9" s="417">
        <v>6.8940976291338897261490894300</v>
      </c>
    </row>
    <row r="10" ht="18" customHeight="1">
      <c r="A10" s="58"/>
      <c r="B10" s="286"/>
      <c r="C10" s="287" t="s">
        <v>183</v>
      </c>
      <c r="D10" s="276">
        <v>117.30756756756756756756756757</v>
      </c>
      <c r="E10" s="94"/>
      <c r="F10" s="277">
        <v>129.92593706903818624881873457</v>
      </c>
      <c r="G10" s="276">
        <v>125.98791540785498489425981873</v>
      </c>
      <c r="H10" s="94"/>
      <c r="I10" s="277">
        <v>130.12843251440014207701992076</v>
      </c>
      <c r="J10" s="276">
        <v>94.32432432432432432432432432</v>
      </c>
      <c r="K10" s="94"/>
      <c r="L10" s="277">
        <v>90.9865639691726140756969821</v>
      </c>
      <c r="M10" s="276">
        <v>117.82745454545454545454545455</v>
      </c>
      <c r="N10" s="94">
        <v>110.84335284810126582278481013</v>
      </c>
      <c r="O10" s="277">
        <v>129.81345628415300546448087432</v>
      </c>
      <c r="P10" s="5"/>
      <c r="Q10" s="271">
        <v>5.433640514372532254725774800</v>
      </c>
      <c r="R10" s="92"/>
      <c r="S10" s="272">
        <v>6.3507093432827457310073391900</v>
      </c>
      <c r="T10" s="271">
        <v>6.8711825324316362542434859200</v>
      </c>
      <c r="U10" s="92"/>
      <c r="V10" s="272">
        <v>10.307280506030369823102026070</v>
      </c>
      <c r="W10" s="271">
        <v>0.1751328055298283709620894800</v>
      </c>
      <c r="X10" s="92"/>
      <c r="Y10" s="272">
        <v>1.0991017474879938266272598100</v>
      </c>
      <c r="Z10" s="271">
        <v>5.476468327719782638637544500</v>
      </c>
      <c r="AA10" s="92">
        <v>8.138494960016295802545820840</v>
      </c>
      <c r="AB10" s="272">
        <v>7.4213032338823601633928926300</v>
      </c>
    </row>
    <row r="11" ht="18" customHeight="1">
      <c r="A11" s="58"/>
      <c r="B11" s="288"/>
      <c r="C11" s="289" t="s">
        <v>185</v>
      </c>
      <c r="D11" s="439">
        <v>117.7219873150105708245243129</v>
      </c>
      <c r="E11" s="95"/>
      <c r="F11" s="440">
        <v>132.95955997884306030214994335</v>
      </c>
      <c r="G11" s="439">
        <v>122.82191780821917808219178082</v>
      </c>
      <c r="H11" s="95"/>
      <c r="I11" s="440">
        <v>125.57223762114158079567135117</v>
      </c>
      <c r="J11" s="439">
        <v>97.10666666666666666666666667</v>
      </c>
      <c r="K11" s="95"/>
      <c r="L11" s="440">
        <v>93.41826497430761908767196558</v>
      </c>
      <c r="M11" s="439">
        <v>117.52575480329368709972552608</v>
      </c>
      <c r="N11" s="95">
        <v>110.75142503438789546079779918</v>
      </c>
      <c r="O11" s="440">
        <v>132.11236370758884850595225141</v>
      </c>
      <c r="P11" s="5"/>
      <c r="Q11" s="420">
        <v>11.198671416106790332251048320</v>
      </c>
      <c r="R11" s="91"/>
      <c r="S11" s="421">
        <v>7.940266433852219977356771370</v>
      </c>
      <c r="T11" s="420">
        <v>1.2283667490167863635441550300</v>
      </c>
      <c r="U11" s="91"/>
      <c r="V11" s="421">
        <v>4.4738534562063591251529134800</v>
      </c>
      <c r="W11" s="420">
        <v>4.5022075054928112619329626100</v>
      </c>
      <c r="X11" s="91"/>
      <c r="Y11" s="421">
        <v>1.9632719488100915529826838800</v>
      </c>
      <c r="Z11" s="420">
        <v>10.226214005229359300678140410</v>
      </c>
      <c r="AA11" s="91">
        <v>8.880027338714872903562104830</v>
      </c>
      <c r="AB11" s="421">
        <v>8.174776967958106466911479970</v>
      </c>
    </row>
    <row r="12" ht="18" customHeight="1">
      <c r="A12" s="58"/>
      <c r="B12" s="286"/>
      <c r="C12" s="287" t="s">
        <v>187</v>
      </c>
      <c r="D12" s="276">
        <v>110.42511792452830188679245283</v>
      </c>
      <c r="E12" s="94"/>
      <c r="F12" s="277">
        <v>128.63066526594138771356119598</v>
      </c>
      <c r="G12" s="276">
        <v>105.54010695187165775401069519</v>
      </c>
      <c r="H12" s="94"/>
      <c r="I12" s="277">
        <v>118.83999071357564767446956605</v>
      </c>
      <c r="J12" s="276">
        <v>95</v>
      </c>
      <c r="K12" s="94"/>
      <c r="L12" s="277">
        <v>92.15846446816934400877201565</v>
      </c>
      <c r="M12" s="276">
        <v>109.39709314227226202661207779</v>
      </c>
      <c r="N12" s="94">
        <v>108.96732014865941067162198035</v>
      </c>
      <c r="O12" s="277">
        <v>127.45271568945038332793434834</v>
      </c>
      <c r="P12" s="5"/>
      <c r="Q12" s="271">
        <v>-0.5016310083238092794903051400</v>
      </c>
      <c r="R12" s="92"/>
      <c r="S12" s="272">
        <v>1.6774251262870498028179979800</v>
      </c>
      <c r="T12" s="271">
        <v>-6.4862402282088546363710218200</v>
      </c>
      <c r="U12" s="92"/>
      <c r="V12" s="272">
        <v>3.8256991527914535718046419700</v>
      </c>
      <c r="W12" s="271">
        <v>1.1602034329242746215236538900</v>
      </c>
      <c r="X12" s="92"/>
      <c r="Y12" s="272">
        <v>-0.6856619238249656577096836900</v>
      </c>
      <c r="Z12" s="271">
        <v>-1.3795264710813315756653270900</v>
      </c>
      <c r="AA12" s="92">
        <v>1.9065746686097255689903930100</v>
      </c>
      <c r="AB12" s="272">
        <v>2.9931422383351941752657794600</v>
      </c>
    </row>
    <row r="13" ht="18" customHeight="1">
      <c r="A13" s="58"/>
      <c r="B13" s="288"/>
      <c r="C13" s="289" t="s">
        <v>188</v>
      </c>
      <c r="D13" s="439">
        <v>109.86735870818915801614763552</v>
      </c>
      <c r="E13" s="95"/>
      <c r="F13" s="440">
        <v>125.91295617381523447740467271</v>
      </c>
      <c r="G13" s="439">
        <v>109.47586206896551724137931034</v>
      </c>
      <c r="H13" s="95"/>
      <c r="I13" s="440">
        <v>120.23082301235627084109896332</v>
      </c>
      <c r="J13" s="439">
        <v>97.42465753424657534246575342</v>
      </c>
      <c r="K13" s="95"/>
      <c r="L13" s="440">
        <v>94.17320424822663739434078787</v>
      </c>
      <c r="M13" s="439">
        <v>109.38009060562708631378159275</v>
      </c>
      <c r="N13" s="95">
        <v>109.78790763968072976054732041</v>
      </c>
      <c r="O13" s="440">
        <v>125.11385161361872019518686925</v>
      </c>
      <c r="P13" s="5"/>
      <c r="Q13" s="420">
        <v>0.866327681826929395457441500</v>
      </c>
      <c r="R13" s="91"/>
      <c r="S13" s="421">
        <v>3.0000860492230348669406512500</v>
      </c>
      <c r="T13" s="420">
        <v>-0.2983568228588210075946628100</v>
      </c>
      <c r="U13" s="91"/>
      <c r="V13" s="421">
        <v>5.7118119558266368989896061300</v>
      </c>
      <c r="W13" s="420">
        <v>2.7252820900955033134392170200</v>
      </c>
      <c r="X13" s="91"/>
      <c r="Y13" s="421">
        <v>0.3783521707847660732708977100</v>
      </c>
      <c r="Z13" s="420">
        <v>0.7102988985575264292281716200</v>
      </c>
      <c r="AA13" s="91">
        <v>6.516462985793977669054166700</v>
      </c>
      <c r="AB13" s="421">
        <v>4.1094534793265940288027053900</v>
      </c>
    </row>
    <row r="14" ht="18" customHeight="1">
      <c r="A14" s="58"/>
      <c r="B14" s="286"/>
      <c r="C14" s="287" t="s">
        <v>189</v>
      </c>
      <c r="D14" s="276">
        <v>106.50871080139372822299651568</v>
      </c>
      <c r="E14" s="94"/>
      <c r="F14" s="277">
        <v>123.56957858536924407130671954</v>
      </c>
      <c r="G14" s="276">
        <v>107.67827868852459016393442623</v>
      </c>
      <c r="H14" s="94"/>
      <c r="I14" s="277">
        <v>121.25866294846445355380398999</v>
      </c>
      <c r="J14" s="276">
        <v>98.37931034482758620689655172</v>
      </c>
      <c r="K14" s="94"/>
      <c r="L14" s="277">
        <v>94.91963186200029498383132368</v>
      </c>
      <c r="M14" s="276">
        <v>106.55835941443715295305401312</v>
      </c>
      <c r="N14" s="94">
        <v>102.05837213141819382532606902</v>
      </c>
      <c r="O14" s="277">
        <v>123.2612169489898747540668938</v>
      </c>
      <c r="P14" s="5"/>
      <c r="Q14" s="271">
        <v>2.0265042617744654262535580400</v>
      </c>
      <c r="R14" s="92"/>
      <c r="S14" s="272">
        <v>2.6890553792342396369654286900</v>
      </c>
      <c r="T14" s="271">
        <v>5.4951158739576314534119653400</v>
      </c>
      <c r="U14" s="92"/>
      <c r="V14" s="272">
        <v>5.9599145796745753672301486600</v>
      </c>
      <c r="W14" s="271">
        <v>6.0920327237483659394670541100</v>
      </c>
      <c r="X14" s="92"/>
      <c r="Y14" s="272">
        <v>3.5725590330711060748135337100</v>
      </c>
      <c r="Z14" s="271">
        <v>2.4680984472401921575587216500</v>
      </c>
      <c r="AA14" s="92">
        <v>2.2902445283072318388812953200</v>
      </c>
      <c r="AB14" s="272">
        <v>3.4644204847495866121546140900</v>
      </c>
    </row>
    <row r="15" ht="18" customHeight="1">
      <c r="A15" s="58"/>
      <c r="B15" s="288"/>
      <c r="C15" s="289" t="s">
        <v>190</v>
      </c>
      <c r="D15" s="439">
        <v>111.02461294164350932909884875</v>
      </c>
      <c r="E15" s="95"/>
      <c r="F15" s="440">
        <v>126.44804513391316363459223338</v>
      </c>
      <c r="G15" s="439">
        <v>131.87733333333333333333333333</v>
      </c>
      <c r="H15" s="95"/>
      <c r="I15" s="440">
        <v>125.0878781574714226311272843</v>
      </c>
      <c r="J15" s="439">
        <v>92.60465116279069767441860465</v>
      </c>
      <c r="K15" s="95"/>
      <c r="L15" s="440">
        <v>89.3123580744803574285771963</v>
      </c>
      <c r="M15" s="439">
        <v>113.41747701736465781409601634</v>
      </c>
      <c r="N15" s="95">
        <v>105.13613036303630363036303632</v>
      </c>
      <c r="O15" s="440">
        <v>126.21182538220666789463989685</v>
      </c>
      <c r="P15" s="5"/>
      <c r="Q15" s="420">
        <v>2.5747436432663093534109712400</v>
      </c>
      <c r="R15" s="91"/>
      <c r="S15" s="421">
        <v>5.1904861556802097849459375700</v>
      </c>
      <c r="T15" s="420">
        <v>8.562201552487286646445943460</v>
      </c>
      <c r="U15" s="91"/>
      <c r="V15" s="421">
        <v>2.4321187471524192195733385900</v>
      </c>
      <c r="W15" s="420">
        <v>-0.5828278611293518685658154500</v>
      </c>
      <c r="X15" s="91"/>
      <c r="Y15" s="421">
        <v>-3.5638833155475192902511321400</v>
      </c>
      <c r="Z15" s="420">
        <v>3.0511771464398959703073851300</v>
      </c>
      <c r="AA15" s="91">
        <v>0.7313224553821407980288518400</v>
      </c>
      <c r="AB15" s="421">
        <v>5.3016260696120401847664599200</v>
      </c>
    </row>
    <row r="16" ht="18" customHeight="1">
      <c r="A16" s="58"/>
      <c r="B16" s="286"/>
      <c r="C16" s="287" t="s">
        <v>191</v>
      </c>
      <c r="D16" s="276">
        <v>114.73136363636363636363636364</v>
      </c>
      <c r="E16" s="94"/>
      <c r="F16" s="277">
        <v>132.95191922091151379398980794</v>
      </c>
      <c r="G16" s="276">
        <v>133.23529411764705882352941176</v>
      </c>
      <c r="H16" s="94"/>
      <c r="I16" s="277">
        <v>131.16200417493305851951162959</v>
      </c>
      <c r="J16" s="276">
        <v>94.68253968253968253968253968</v>
      </c>
      <c r="K16" s="94"/>
      <c r="L16" s="277">
        <v>90.44748072575430223708727944</v>
      </c>
      <c r="M16" s="276">
        <v>115.5049691738594327990135635</v>
      </c>
      <c r="N16" s="94">
        <v>110.56920047108086888249149438</v>
      </c>
      <c r="O16" s="277">
        <v>132.62477944657227697207040496</v>
      </c>
      <c r="P16" s="5"/>
      <c r="Q16" s="271">
        <v>-6.4467160263749704797187343500</v>
      </c>
      <c r="R16" s="92"/>
      <c r="S16" s="272">
        <v>0.1465296506659290790294574300</v>
      </c>
      <c r="T16" s="271">
        <v>21.238544584953621291304217800</v>
      </c>
      <c r="U16" s="92"/>
      <c r="V16" s="272">
        <v>-0.3390117084002604480875497100</v>
      </c>
      <c r="W16" s="271">
        <v>1.9860573370167503500410295500</v>
      </c>
      <c r="X16" s="92"/>
      <c r="Y16" s="272">
        <v>-0.732119582006254911566673700</v>
      </c>
      <c r="Z16" s="271">
        <v>-3.9553383285127001908727005800</v>
      </c>
      <c r="AA16" s="92">
        <v>-1.9211098624567267269316392200</v>
      </c>
      <c r="AB16" s="272">
        <v>0.7027861737643878804031561400</v>
      </c>
    </row>
    <row r="17" ht="18" customHeight="1">
      <c r="A17" s="58"/>
      <c r="B17" s="288"/>
      <c r="C17" s="289" t="s">
        <v>192</v>
      </c>
      <c r="D17" s="439">
        <v>120.77573317998849913743530765</v>
      </c>
      <c r="E17" s="95"/>
      <c r="F17" s="440">
        <v>128.69588378364195038375423708</v>
      </c>
      <c r="G17" s="439">
        <v>133.13157894736842105263157895</v>
      </c>
      <c r="H17" s="95"/>
      <c r="I17" s="440">
        <v>140.7385933989046456148626465</v>
      </c>
      <c r="J17" s="439">
        <v>92.55714285714285714285714286</v>
      </c>
      <c r="K17" s="95"/>
      <c r="L17" s="440">
        <v>90.01713783050464064531688079</v>
      </c>
      <c r="M17" s="439">
        <v>119.96041147807255008121277748</v>
      </c>
      <c r="N17" s="95">
        <v>105.12325328120636693660988551</v>
      </c>
      <c r="O17" s="440">
        <v>129.33809876543209876543209877</v>
      </c>
      <c r="P17" s="5"/>
      <c r="Q17" s="420">
        <v>8.381399033895798763138512240</v>
      </c>
      <c r="R17" s="91"/>
      <c r="S17" s="421">
        <v>5.1444717776725158058448297200</v>
      </c>
      <c r="T17" s="420">
        <v>24.196775854199051670101290260</v>
      </c>
      <c r="U17" s="91"/>
      <c r="V17" s="421">
        <v>16.057126196740596559977358940</v>
      </c>
      <c r="W17" s="420">
        <v>0.6241280370170069693688226200</v>
      </c>
      <c r="X17" s="91"/>
      <c r="Y17" s="421">
        <v>-2.3726217602266616898858956200</v>
      </c>
      <c r="Z17" s="420">
        <v>8.674807644302534639762149560</v>
      </c>
      <c r="AA17" s="91">
        <v>-0.1895946825461018546474168500</v>
      </c>
      <c r="AB17" s="421">
        <v>6.3370804429546164173161859900</v>
      </c>
    </row>
    <row r="18" ht="18" customHeight="1">
      <c r="A18" s="58"/>
      <c r="B18" s="286"/>
      <c r="C18" s="287" t="s">
        <v>194</v>
      </c>
      <c r="D18" s="276">
        <v>111.44877222692633361558001693</v>
      </c>
      <c r="E18" s="94"/>
      <c r="F18" s="277">
        <v>120.37556178420626340779623011</v>
      </c>
      <c r="G18" s="276">
        <v>132.53939393939393939393939394</v>
      </c>
      <c r="H18" s="94"/>
      <c r="I18" s="277">
        <v>144.1016165147413282620160378</v>
      </c>
      <c r="J18" s="276">
        <v>92.62857142857142857142857143</v>
      </c>
      <c r="K18" s="94"/>
      <c r="L18" s="277">
        <v>90.55072424671270789992437733</v>
      </c>
      <c r="M18" s="276">
        <v>112.97590395480225988700564972</v>
      </c>
      <c r="N18" s="94">
        <v>97.20555860387136107300716354</v>
      </c>
      <c r="O18" s="277">
        <v>121.94267718202508865717461494</v>
      </c>
      <c r="P18" s="5"/>
      <c r="Q18" s="271">
        <v>2.7309280595371712229300438300</v>
      </c>
      <c r="R18" s="92"/>
      <c r="S18" s="272">
        <v>3.6230914353210075014820255100</v>
      </c>
      <c r="T18" s="271">
        <v>33.247950247949456456631983810</v>
      </c>
      <c r="U18" s="92"/>
      <c r="V18" s="272">
        <v>22.055839095918365184438387240</v>
      </c>
      <c r="W18" s="271">
        <v>-2.0149103364554757390870032400</v>
      </c>
      <c r="X18" s="92"/>
      <c r="Y18" s="272">
        <v>-0.9801355121825552933844583400</v>
      </c>
      <c r="Z18" s="271">
        <v>6.9165239108966313909585985800</v>
      </c>
      <c r="AA18" s="92">
        <v>0.0810342337489159118092818200</v>
      </c>
      <c r="AB18" s="272">
        <v>5.2341377781561400717476950700</v>
      </c>
    </row>
    <row r="19" ht="18" customHeight="1">
      <c r="A19" s="58"/>
      <c r="B19" s="288">
        <v>2025</v>
      </c>
      <c r="C19" s="289" t="s">
        <v>195</v>
      </c>
      <c r="D19" s="439">
        <v>107.83243243243243243243243243</v>
      </c>
      <c r="E19" s="95"/>
      <c r="F19" s="440">
        <v>121.47106276149193922884702977</v>
      </c>
      <c r="G19" s="439">
        <v>130.56470588235294117647058824</v>
      </c>
      <c r="H19" s="95"/>
      <c r="I19" s="440">
        <v>147.51541213958226836242899888</v>
      </c>
      <c r="J19" s="439">
        <v>92.390625</v>
      </c>
      <c r="K19" s="95"/>
      <c r="L19" s="440">
        <v>89.56074304448482545478935578</v>
      </c>
      <c r="M19" s="439">
        <v>109.71301504251144538914323087</v>
      </c>
      <c r="N19" s="95">
        <v>98.37507539159713072756551017</v>
      </c>
      <c r="O19" s="440">
        <v>123.58492955516859268640177299</v>
      </c>
      <c r="P19" s="5"/>
      <c r="Q19" s="420">
        <v>-3.3598349172728343853306934200</v>
      </c>
      <c r="R19" s="91"/>
      <c r="S19" s="421">
        <v>-0.3951861898773013530759742700</v>
      </c>
      <c r="T19" s="420">
        <v>24.678997352143233630966772470</v>
      </c>
      <c r="U19" s="91"/>
      <c r="V19" s="421">
        <v>18.963129218728025165914134410</v>
      </c>
      <c r="W19" s="420">
        <v>-1.5106088560966370964447645200</v>
      </c>
      <c r="X19" s="91"/>
      <c r="Y19" s="421">
        <v>-0.7075029964776095644023377600</v>
      </c>
      <c r="Z19" s="420">
        <v>-0.4817835894056870062383912400</v>
      </c>
      <c r="AA19" s="91">
        <v>-7.7002466967947080034678307700</v>
      </c>
      <c r="AB19" s="421">
        <v>1.7641851455423863723925596400</v>
      </c>
    </row>
    <row r="20" ht="18" customHeight="1">
      <c r="A20" s="58"/>
      <c r="B20" s="286"/>
      <c r="C20" s="287" t="s">
        <v>196</v>
      </c>
      <c r="D20" s="276">
        <v>117.3875</v>
      </c>
      <c r="E20" s="94"/>
      <c r="F20" s="277">
        <v>132.07942047134394245575697216</v>
      </c>
      <c r="G20" s="276">
        <v>120.98452611218568665377176015</v>
      </c>
      <c r="H20" s="94"/>
      <c r="I20" s="277">
        <v>131.6194433042050700445946524</v>
      </c>
      <c r="J20" s="276">
        <v>94.06578947368421052631578947</v>
      </c>
      <c r="K20" s="94"/>
      <c r="L20" s="277">
        <v>91.3600853099069842809921299</v>
      </c>
      <c r="M20" s="276">
        <v>117.42785225718194254445964432</v>
      </c>
      <c r="N20" s="94">
        <v>106.63674356806377581833554776</v>
      </c>
      <c r="O20" s="277">
        <v>131.88390204159877312374197259</v>
      </c>
      <c r="P20" s="5"/>
      <c r="Q20" s="271">
        <v>-0.6448719527876675067628595400</v>
      </c>
      <c r="R20" s="92"/>
      <c r="S20" s="272">
        <v>1.938949850060607487557983300</v>
      </c>
      <c r="T20" s="271">
        <v>1.9675736301607135725004299600</v>
      </c>
      <c r="U20" s="92"/>
      <c r="V20" s="272">
        <v>6.0226058143108278503781780600</v>
      </c>
      <c r="W20" s="271">
        <v>0.7729743219815303721061004700</v>
      </c>
      <c r="X20" s="92"/>
      <c r="Y20" s="272">
        <v>0.0827287653594763625619180600</v>
      </c>
      <c r="Z20" s="271">
        <v>-0.1637646159289581345597669700</v>
      </c>
      <c r="AA20" s="92">
        <v>-6.2053795133691070324545519600</v>
      </c>
      <c r="AB20" s="272">
        <v>2.5939786970344522131003786100</v>
      </c>
    </row>
    <row r="21" ht="18" customHeight="1">
      <c r="A21" s="58"/>
      <c r="B21" s="288"/>
      <c r="C21" s="289" t="s">
        <v>180</v>
      </c>
      <c r="D21" s="441">
        <v>113.94481236203090507726269316</v>
      </c>
      <c r="E21" s="154"/>
      <c r="F21" s="442">
        <v>128.36635248616698071481925352</v>
      </c>
      <c r="G21" s="441">
        <v>128.72222222222222222222222222</v>
      </c>
      <c r="H21" s="154"/>
      <c r="I21" s="442">
        <v>123.3329704903459724029205145</v>
      </c>
      <c r="J21" s="441">
        <v>96.39240506329113924050632911</v>
      </c>
      <c r="K21" s="154"/>
      <c r="L21" s="442">
        <v>92.65157133739633618945569191</v>
      </c>
      <c r="M21" s="441">
        <v>114.9407459831675592960979342</v>
      </c>
      <c r="N21" s="154">
        <v>98.54346316023080337328007101</v>
      </c>
      <c r="O21" s="442">
        <v>127.54082913236764299236381426</v>
      </c>
      <c r="P21" s="5"/>
      <c r="Q21" s="420">
        <v>-5.3203528732690806085784676800</v>
      </c>
      <c r="R21" s="91"/>
      <c r="S21" s="421">
        <v>-0.3128679643012917018958191800</v>
      </c>
      <c r="T21" s="420">
        <v>35.564289439243529228889998450</v>
      </c>
      <c r="U21" s="91"/>
      <c r="V21" s="421">
        <v>3.6003739412494062657135806600</v>
      </c>
      <c r="W21" s="420">
        <v>-1.3353173980266455300654737300</v>
      </c>
      <c r="X21" s="91"/>
      <c r="Y21" s="421">
        <v>-0.7221251173539267638278481500</v>
      </c>
      <c r="Z21" s="420">
        <v>0.7529623150753060801343672300</v>
      </c>
      <c r="AA21" s="91">
        <v>-10.573424282904175036848984870</v>
      </c>
      <c r="AB21" s="421">
        <v>0.0299487304394283398164138800</v>
      </c>
    </row>
    <row r="22" ht="18" customHeight="1">
      <c r="A22" s="58"/>
      <c r="B22" s="286"/>
      <c r="C22" s="287" t="s">
        <v>183</v>
      </c>
      <c r="D22" s="276">
        <v>109.56152512998266897746967071</v>
      </c>
      <c r="E22" s="94"/>
      <c r="F22" s="277">
        <v>130.32025360972796170124441562</v>
      </c>
      <c r="G22" s="276">
        <v>131.10377358490566037735849057</v>
      </c>
      <c r="H22" s="94"/>
      <c r="I22" s="277">
        <v>138.04729034162210616615372515</v>
      </c>
      <c r="J22" s="276">
        <v>99.05714285714285714285714286</v>
      </c>
      <c r="K22" s="94"/>
      <c r="L22" s="277">
        <v>94.56970769827787352780106021</v>
      </c>
      <c r="M22" s="276">
        <v>110.37336654431043523859465128</v>
      </c>
      <c r="N22" s="94">
        <v>102.26124778537079220450518856</v>
      </c>
      <c r="O22" s="277">
        <v>130.83379408748383644713960851</v>
      </c>
      <c r="P22" s="5"/>
      <c r="Q22" s="271">
        <v>-6.603190738869914835676962500</v>
      </c>
      <c r="R22" s="92"/>
      <c r="S22" s="272">
        <v>0.3034933205973733404995401500</v>
      </c>
      <c r="T22" s="271">
        <v>4.0605943518015168489454749200</v>
      </c>
      <c r="U22" s="92"/>
      <c r="V22" s="272">
        <v>6.0854170562192902078169176100</v>
      </c>
      <c r="W22" s="271">
        <v>5.0176013098920020830230175900</v>
      </c>
      <c r="X22" s="92"/>
      <c r="Y22" s="272">
        <v>3.938102037011540467887780300</v>
      </c>
      <c r="Z22" s="271">
        <v>-6.3262743220096551817564348800</v>
      </c>
      <c r="AA22" s="92">
        <v>-7.7425527487337426727080031200</v>
      </c>
      <c r="AB22" s="272">
        <v>0.786003109762377491278663500</v>
      </c>
    </row>
    <row r="23" ht="18" customHeight="1">
      <c r="A23" s="58"/>
      <c r="B23" s="288"/>
      <c r="C23" s="289" t="s">
        <v>185</v>
      </c>
      <c r="D23" s="439">
        <v>109.71497351949927780452575831</v>
      </c>
      <c r="E23" s="95"/>
      <c r="F23" s="440">
        <v>129.82885552894528975604043194</v>
      </c>
      <c r="G23" s="439">
        <v>115.79824561403508771929824561</v>
      </c>
      <c r="H23" s="95"/>
      <c r="I23" s="440">
        <v>132.55773810175055864747261995</v>
      </c>
      <c r="J23" s="439">
        <v>99.35294117647058823529411765</v>
      </c>
      <c r="K23" s="95"/>
      <c r="L23" s="440">
        <v>93.6065557863050872551825178</v>
      </c>
      <c r="M23" s="439">
        <v>109.63275043936731107205623902</v>
      </c>
      <c r="N23" s="95">
        <v>103.56587322274881516587677725</v>
      </c>
      <c r="O23" s="440">
        <v>129.97679302959096674915261286</v>
      </c>
      <c r="P23" s="5"/>
      <c r="Q23" s="420">
        <v>-6.8016298213481465091373119500</v>
      </c>
      <c r="R23" s="91"/>
      <c r="S23" s="421">
        <v>-2.3546290694357679934259340800</v>
      </c>
      <c r="T23" s="420">
        <v>-5.7185820898295634244979442800</v>
      </c>
      <c r="U23" s="91"/>
      <c r="V23" s="421">
        <v>5.5629338243764636161338787300</v>
      </c>
      <c r="W23" s="420">
        <v>2.3132031886960907259006099300</v>
      </c>
      <c r="X23" s="91"/>
      <c r="Y23" s="421">
        <v>0.2015567427385718821328257100</v>
      </c>
      <c r="Z23" s="420">
        <v>-6.7159784484201088825050433900</v>
      </c>
      <c r="AA23" s="91">
        <v>-6.4879994179933242703951838100</v>
      </c>
      <c r="AB23" s="421">
        <v>-1.6164805609985318340129726400</v>
      </c>
    </row>
    <row r="24" ht="18" customHeight="1">
      <c r="A24" s="59"/>
      <c r="B24" s="286"/>
      <c r="C24" s="287" t="s">
        <v>187</v>
      </c>
      <c r="D24" s="276">
        <v>102.80391147709727225939269171</v>
      </c>
      <c r="E24" s="94"/>
      <c r="F24" s="277">
        <v>130.22691624279149224737609192</v>
      </c>
      <c r="G24" s="276">
        <v>115.27237354085603112840466926</v>
      </c>
      <c r="H24" s="94"/>
      <c r="I24" s="277">
        <v>125.16691776387953703894118186</v>
      </c>
      <c r="J24" s="276">
        <v>96.6</v>
      </c>
      <c r="K24" s="94"/>
      <c r="L24" s="277">
        <v>90.86885273794022823731966944</v>
      </c>
      <c r="M24" s="276">
        <v>103.99178947368421052631578947</v>
      </c>
      <c r="N24" s="94">
        <v>107.94234583239213914614863339</v>
      </c>
      <c r="O24" s="277">
        <v>129.41200064174554789026151131</v>
      </c>
      <c r="P24" s="93"/>
      <c r="Q24" s="271">
        <v>-6.9016964533499602535054825900</v>
      </c>
      <c r="R24" s="92"/>
      <c r="S24" s="272">
        <v>1.2409567917508536071943437300</v>
      </c>
      <c r="T24" s="271">
        <v>9.221391630189952813413422600</v>
      </c>
      <c r="U24" s="92"/>
      <c r="V24" s="272">
        <v>5.3239040261515992287809598100</v>
      </c>
      <c r="W24" s="271">
        <v>1.6842105263157894736842105300</v>
      </c>
      <c r="X24" s="92"/>
      <c r="Y24" s="272">
        <v>-1.3993415989529235170225305100</v>
      </c>
      <c r="Z24" s="271">
        <v>-4.9409938722821046016522355700</v>
      </c>
      <c r="AA24" s="92">
        <v>-0.9406254232086747196683072500</v>
      </c>
      <c r="AB24" s="272">
        <v>1.537264185895225008360108200</v>
      </c>
    </row>
    <row r="25" ht="18" customHeight="1">
      <c r="A25" s="60"/>
      <c r="B25" s="288"/>
      <c r="C25" s="289" t="s">
        <v>188</v>
      </c>
      <c r="D25" s="439">
        <v>96.0960134755755193711398091</v>
      </c>
      <c r="E25" s="95"/>
      <c r="F25" s="440">
        <v>131.09197994772118082301212636</v>
      </c>
      <c r="G25" s="439">
        <v>127.09505703422053231939163498</v>
      </c>
      <c r="H25" s="95"/>
      <c r="I25" s="440">
        <v>120.8700811703917163849588792</v>
      </c>
      <c r="J25" s="439">
        <v>99</v>
      </c>
      <c r="K25" s="95"/>
      <c r="L25" s="440">
        <v>94.5227945714855130796948103</v>
      </c>
      <c r="M25" s="439">
        <v>100.05007102272727272727272727</v>
      </c>
      <c r="N25" s="95">
        <v>104.75469967532467532467532468</v>
      </c>
      <c r="O25" s="440">
        <v>129.7553249260845954262957823</v>
      </c>
      <c r="P25" s="93"/>
      <c r="Q25" s="420">
        <v>-12.534519255350634045889226340</v>
      </c>
      <c r="R25" s="91"/>
      <c r="S25" s="421">
        <v>4.1131778105284715802507589100</v>
      </c>
      <c r="T25" s="420">
        <v>16.094136764244503461468910460</v>
      </c>
      <c r="U25" s="91"/>
      <c r="V25" s="421">
        <v>0.5316924079657897096579978300</v>
      </c>
      <c r="W25" s="420">
        <v>1.6169853768764760616256158600</v>
      </c>
      <c r="X25" s="91"/>
      <c r="Y25" s="421">
        <v>0.3712205887824986588930845200</v>
      </c>
      <c r="Z25" s="420">
        <v>-8.529906613914481894155664330</v>
      </c>
      <c r="AA25" s="91">
        <v>-4.5844830023477785302036371500</v>
      </c>
      <c r="AB25" s="421">
        <v>3.7097997165168102496890089400</v>
      </c>
    </row>
    <row r="26" ht="18" customHeight="1">
      <c r="A26" s="60"/>
      <c r="B26" s="290"/>
      <c r="C26" s="291" t="s">
        <v>189</v>
      </c>
      <c r="D26" s="443">
        <v>101.51626202473660100778744847</v>
      </c>
      <c r="E26" s="444"/>
      <c r="F26" s="445">
        <v>127.55312465480205830232383371</v>
      </c>
      <c r="G26" s="443">
        <v>0</v>
      </c>
      <c r="H26" s="444"/>
      <c r="I26" s="445">
        <v>136.75971279806197920467877599</v>
      </c>
      <c r="J26" s="443">
        <v>101.4691358024691358024691358</v>
      </c>
      <c r="K26" s="444"/>
      <c r="L26" s="445">
        <v>96.22199100944225484762174245</v>
      </c>
      <c r="M26" s="443">
        <v>101.51461572438162544169611307</v>
      </c>
      <c r="N26" s="444">
        <v>94.04999790268456375838926174</v>
      </c>
      <c r="O26" s="445">
        <v>128.37403508771929824561403509</v>
      </c>
      <c r="P26" s="184"/>
      <c r="Q26" s="273">
        <v>-4.6873619435432842784939103300</v>
      </c>
      <c r="R26" s="274"/>
      <c r="S26" s="275">
        <v>3.22372716246579679445782300</v>
      </c>
      <c r="T26" s="273">
        <v>-100</v>
      </c>
      <c r="U26" s="274"/>
      <c r="V26" s="275">
        <v>12.783457670274213649271389390</v>
      </c>
      <c r="W26" s="273">
        <v>3.140726893530671717026049200</v>
      </c>
      <c r="X26" s="274"/>
      <c r="Y26" s="275">
        <v>1.3720651059158180193804073300</v>
      </c>
      <c r="Z26" s="273">
        <v>-4.7333158259348886703761159500</v>
      </c>
      <c r="AA26" s="274">
        <v>-7.8468567168646061840479345800</v>
      </c>
      <c r="AB26" s="275">
        <v>4.1479536429003087025282190200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1037" t="s">
        <v>59</v>
      </c>
      <c r="C28" s="1037"/>
      <c r="D28" s="1037"/>
      <c r="E28" s="1037"/>
      <c r="F28" s="1037"/>
      <c r="G28" s="1037"/>
      <c r="H28" s="1037"/>
      <c r="I28" s="1037"/>
      <c r="J28" s="1037"/>
      <c r="K28" s="1037"/>
      <c r="L28" s="1037"/>
      <c r="M28" s="1037"/>
      <c r="N28" s="1037"/>
      <c r="O28" s="1037"/>
      <c r="P28" s="411"/>
      <c r="Q28" s="1038"/>
      <c r="R28" s="1038"/>
      <c r="S28" s="1038"/>
      <c r="T28" s="1038"/>
      <c r="U28" s="1038"/>
      <c r="V28" s="1038"/>
      <c r="W28" s="1038"/>
      <c r="X28" s="1038"/>
      <c r="Y28" s="1038"/>
      <c r="Z28" s="1038"/>
      <c r="AA28" s="1038"/>
      <c r="AB28" s="1038"/>
      <c r="AC28" s="9"/>
    </row>
    <row r="29" ht="18" customHeight="1">
      <c r="A29" s="58"/>
      <c r="B29" s="284">
        <v>2023</v>
      </c>
      <c r="C29" s="285"/>
      <c r="D29" s="454">
        <v>107.85935034550301975080254638</v>
      </c>
      <c r="E29" s="455"/>
      <c r="F29" s="456">
        <v>121.40198165666795884180419255</v>
      </c>
      <c r="G29" s="454">
        <v>115.13292788879235447437011295</v>
      </c>
      <c r="H29" s="455"/>
      <c r="I29" s="456">
        <v>118.52491363394337912006957169</v>
      </c>
      <c r="J29" s="454">
        <v>93.83840304182509505703422053</v>
      </c>
      <c r="K29" s="455"/>
      <c r="L29" s="456">
        <v>92.11018044317228217057035536</v>
      </c>
      <c r="M29" s="454">
        <v>108.30113641722072900457396143</v>
      </c>
      <c r="N29" s="455">
        <v>102.9658524279035319168633986</v>
      </c>
      <c r="O29" s="456">
        <v>120.29873227232105264587560677</v>
      </c>
      <c r="P29" s="5"/>
      <c r="Q29" s="427">
        <v>-6.3134466440907640841101497900</v>
      </c>
      <c r="R29" s="428"/>
      <c r="S29" s="429">
        <v>0.3096526015404033393446489200</v>
      </c>
      <c r="T29" s="427">
        <v>-9.275830941318502856534994950</v>
      </c>
      <c r="U29" s="428"/>
      <c r="V29" s="429">
        <v>2.9308349190966949009325645900</v>
      </c>
      <c r="W29" s="427">
        <v>1.0516277885352855650941802700</v>
      </c>
      <c r="X29" s="428"/>
      <c r="Y29" s="429">
        <v>1.3915121155353687461580557600</v>
      </c>
      <c r="Z29" s="427">
        <v>-7.2198574573712131710914071900</v>
      </c>
      <c r="AA29" s="428">
        <v>-1.6412211227733426828209002100</v>
      </c>
      <c r="AB29" s="429">
        <v>0.485617939365052059717984400</v>
      </c>
    </row>
    <row r="30" ht="18" customHeight="1">
      <c r="A30" s="58"/>
      <c r="B30" s="286">
        <v>2024</v>
      </c>
      <c r="C30" s="287"/>
      <c r="D30" s="276">
        <v>114.31703703703703703703703704</v>
      </c>
      <c r="E30" s="94"/>
      <c r="F30" s="277">
        <v>127.82879832025207757621690681</v>
      </c>
      <c r="G30" s="276">
        <v>110.22314911366006256517205422</v>
      </c>
      <c r="H30" s="94"/>
      <c r="I30" s="277">
        <v>122.78467537174097918473809087</v>
      </c>
      <c r="J30" s="276">
        <v>96.0390763765541740674955595</v>
      </c>
      <c r="K30" s="94"/>
      <c r="L30" s="277">
        <v>91.67895520736411828016515717</v>
      </c>
      <c r="M30" s="276">
        <v>113.06419131422083451603746807</v>
      </c>
      <c r="N30" s="94">
        <v>109.251184140816953113774108</v>
      </c>
      <c r="O30" s="277">
        <v>127.0612349690314906949420519</v>
      </c>
      <c r="P30" s="5"/>
      <c r="Q30" s="271">
        <v>5.9871366468011163819726152100</v>
      </c>
      <c r="R30" s="92"/>
      <c r="S30" s="272">
        <v>5.2938317611040337151061129700</v>
      </c>
      <c r="T30" s="271">
        <v>-4.264443600254827809392039700</v>
      </c>
      <c r="U30" s="92"/>
      <c r="V30" s="272">
        <v>3.5939800395033740411403658400</v>
      </c>
      <c r="W30" s="271">
        <v>2.3451734720739989108389109700</v>
      </c>
      <c r="X30" s="92"/>
      <c r="Y30" s="272">
        <v>-0.4681624048080092143189232600</v>
      </c>
      <c r="Z30" s="271">
        <v>4.3979731465351301104476921200</v>
      </c>
      <c r="AA30" s="92">
        <v>6.1042875523398832044936099500</v>
      </c>
      <c r="AB30" s="272">
        <v>5.6214247390607168914130531400</v>
      </c>
    </row>
    <row r="31" ht="18" customHeight="1">
      <c r="A31" s="58"/>
      <c r="B31" s="425">
        <v>2025</v>
      </c>
      <c r="C31" s="426"/>
      <c r="D31" s="457">
        <v>107.2660168067226890756302521</v>
      </c>
      <c r="E31" s="458"/>
      <c r="F31" s="459">
        <v>128.99392076603420119469716143</v>
      </c>
      <c r="G31" s="457">
        <v>123.54095462581025338833235121</v>
      </c>
      <c r="H31" s="458"/>
      <c r="I31" s="459">
        <v>130.2080649954902194360685969</v>
      </c>
      <c r="J31" s="457">
        <v>97.40464344941956882255389718</v>
      </c>
      <c r="K31" s="458"/>
      <c r="L31" s="459">
        <v>92.99288659904719343675811874</v>
      </c>
      <c r="M31" s="457">
        <v>108.52796855895196506550218341</v>
      </c>
      <c r="N31" s="458">
        <v>101.97502326684252645306618453</v>
      </c>
      <c r="O31" s="459">
        <v>129.00953422391961329949431891</v>
      </c>
      <c r="P31" s="93"/>
      <c r="Q31" s="430">
        <v>-6.1679522256994542299595727200</v>
      </c>
      <c r="R31" s="431"/>
      <c r="S31" s="432">
        <v>0.9114710151735601339975428100</v>
      </c>
      <c r="T31" s="430">
        <v>12.082584846466647780040990010</v>
      </c>
      <c r="U31" s="431"/>
      <c r="V31" s="432">
        <v>6.0458600402027025495121044400</v>
      </c>
      <c r="W31" s="430">
        <v>1.4218869280507682638624135600</v>
      </c>
      <c r="X31" s="431"/>
      <c r="Y31" s="432">
        <v>1.4331875714276656116086186400</v>
      </c>
      <c r="Z31" s="430">
        <v>-4.0120773009750611976113412500</v>
      </c>
      <c r="AA31" s="431">
        <v>-6.6600292996185307182308653200</v>
      </c>
      <c r="AB31" s="432">
        <v>1.5333545714355391057227926600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1039" t="s">
        <v>44</v>
      </c>
      <c r="C33" s="1039"/>
      <c r="D33" s="1039"/>
      <c r="E33" s="1039"/>
      <c r="F33" s="1039"/>
      <c r="G33" s="1039"/>
      <c r="H33" s="1039"/>
      <c r="I33" s="1039"/>
      <c r="J33" s="1039"/>
      <c r="K33" s="1039"/>
      <c r="L33" s="1039"/>
      <c r="M33" s="1039"/>
      <c r="N33" s="1039"/>
      <c r="O33" s="1039"/>
      <c r="P33" s="411"/>
      <c r="Q33" s="1038"/>
      <c r="R33" s="1038"/>
      <c r="S33" s="1038"/>
      <c r="T33" s="1038"/>
      <c r="U33" s="1038"/>
      <c r="V33" s="1038"/>
      <c r="W33" s="1038"/>
      <c r="X33" s="1038"/>
      <c r="Y33" s="1038"/>
      <c r="Z33" s="1038"/>
      <c r="AA33" s="1038"/>
      <c r="AB33" s="1038"/>
      <c r="AC33" s="9"/>
    </row>
    <row r="34" ht="18" customHeight="1">
      <c r="A34" s="58"/>
      <c r="B34" s="284">
        <v>2023</v>
      </c>
      <c r="C34" s="285"/>
      <c r="D34" s="454">
        <v>108.4403633491311216429699842</v>
      </c>
      <c r="E34" s="455"/>
      <c r="F34" s="456">
        <v>123.13376578468990437004065374</v>
      </c>
      <c r="G34" s="454">
        <v>111.12864721485411140583554377</v>
      </c>
      <c r="H34" s="455"/>
      <c r="I34" s="456">
        <v>114.21304530208904678214766179</v>
      </c>
      <c r="J34" s="454">
        <v>93.88780487804878048780487805</v>
      </c>
      <c r="K34" s="455"/>
      <c r="L34" s="456">
        <v>92.90587498779581987516863242</v>
      </c>
      <c r="M34" s="454">
        <v>108.32863471654003506721215663</v>
      </c>
      <c r="N34" s="455">
        <v>103.77778614916286149162861492</v>
      </c>
      <c r="O34" s="456">
        <v>121.16011516340845663377900305</v>
      </c>
      <c r="P34" s="5"/>
      <c r="Q34" s="427">
        <v>-6.5581930082551326314925723800</v>
      </c>
      <c r="R34" s="428"/>
      <c r="S34" s="429">
        <v>-0.0794396540156960228701116300</v>
      </c>
      <c r="T34" s="427">
        <v>-12.511879415786437242484711270</v>
      </c>
      <c r="U34" s="428"/>
      <c r="V34" s="429">
        <v>4.3013135727383431390195194900</v>
      </c>
      <c r="W34" s="427">
        <v>1.4348099178188109039512767600</v>
      </c>
      <c r="X34" s="428"/>
      <c r="Y34" s="429">
        <v>4.1136236326472061281851203800</v>
      </c>
      <c r="Z34" s="427">
        <v>-7.8710691693575643812767521900</v>
      </c>
      <c r="AA34" s="428">
        <v>-1.0662012349825732842117683700</v>
      </c>
      <c r="AB34" s="429">
        <v>0.4136620995119791959107884100</v>
      </c>
    </row>
    <row r="35" ht="18" customHeight="1">
      <c r="A35" s="58"/>
      <c r="B35" s="286">
        <v>2024</v>
      </c>
      <c r="C35" s="287"/>
      <c r="D35" s="276">
        <v>109.07112024665981500513874615</v>
      </c>
      <c r="E35" s="94"/>
      <c r="F35" s="277">
        <v>126.11656956196056590204336215</v>
      </c>
      <c r="G35" s="276">
        <v>107.80414507772020725388601036</v>
      </c>
      <c r="H35" s="94"/>
      <c r="I35" s="277">
        <v>120.04214734474031355641595223</v>
      </c>
      <c r="J35" s="276">
        <v>96.84653465346534653465346535</v>
      </c>
      <c r="K35" s="94"/>
      <c r="L35" s="277">
        <v>93.66435638944238127097527899</v>
      </c>
      <c r="M35" s="276">
        <v>108.45889920424403183023872679</v>
      </c>
      <c r="N35" s="94">
        <v>107.21596108118600475566555055</v>
      </c>
      <c r="O35" s="277">
        <v>125.34746896323684131421528842</v>
      </c>
      <c r="P35" s="5"/>
      <c r="Q35" s="271">
        <v>0.5816624714998706866489349400</v>
      </c>
      <c r="R35" s="92"/>
      <c r="S35" s="272">
        <v>2.4224092865607741551644809600</v>
      </c>
      <c r="T35" s="271">
        <v>-2.9915797775805619266590747400</v>
      </c>
      <c r="U35" s="92"/>
      <c r="V35" s="272">
        <v>5.1037094994026358011211324200</v>
      </c>
      <c r="W35" s="271">
        <v>3.1513462044511413426736920600</v>
      </c>
      <c r="X35" s="92"/>
      <c r="Y35" s="272">
        <v>0.8163976731740396256991410100</v>
      </c>
      <c r="Z35" s="271">
        <v>0.1202493579697914222616074400</v>
      </c>
      <c r="AA35" s="92">
        <v>3.3130162625005167213865784400</v>
      </c>
      <c r="AB35" s="272">
        <v>3.4560497026514510159410276700</v>
      </c>
    </row>
    <row r="36" ht="18" customHeight="1">
      <c r="A36" s="58"/>
      <c r="B36" s="425">
        <v>2025</v>
      </c>
      <c r="C36" s="426"/>
      <c r="D36" s="457">
        <v>100.30556966311156255290333503</v>
      </c>
      <c r="E36" s="458"/>
      <c r="F36" s="459">
        <v>129.62425753253608198409062988</v>
      </c>
      <c r="G36" s="457">
        <v>121.25192307692307692307692308</v>
      </c>
      <c r="H36" s="458"/>
      <c r="I36" s="459">
        <v>126.92515776854589003413365959</v>
      </c>
      <c r="J36" s="457">
        <v>99.0349344978165938864628821</v>
      </c>
      <c r="K36" s="458"/>
      <c r="L36" s="459">
        <v>93.84734073116131755688280018</v>
      </c>
      <c r="M36" s="457">
        <v>101.89845552884615384615384615</v>
      </c>
      <c r="N36" s="458">
        <v>102.02068705115865847338417117</v>
      </c>
      <c r="O36" s="459">
        <v>129.18759330689778630440509886</v>
      </c>
      <c r="P36" s="93"/>
      <c r="Q36" s="430">
        <v>-8.036545846198589364925147010</v>
      </c>
      <c r="R36" s="431"/>
      <c r="S36" s="432">
        <v>2.7813062016499522206458838900</v>
      </c>
      <c r="T36" s="430">
        <v>12.474268025158560153256372320</v>
      </c>
      <c r="U36" s="431"/>
      <c r="V36" s="432">
        <v>5.7338281396128181853397501300</v>
      </c>
      <c r="W36" s="430">
        <v>2.2596573559872912592679194100</v>
      </c>
      <c r="X36" s="431"/>
      <c r="Y36" s="432">
        <v>0.1953617670745302897236374900</v>
      </c>
      <c r="Z36" s="430">
        <v>-6.048783201277223786715798100</v>
      </c>
      <c r="AA36" s="431">
        <v>-4.8456162474789561730113265700</v>
      </c>
      <c r="AB36" s="432">
        <v>3.0635834735723184188742670500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9" t="s">
        <v>45</v>
      </c>
      <c r="C38" s="1039"/>
      <c r="D38" s="1039"/>
      <c r="E38" s="1039"/>
      <c r="F38" s="1039"/>
      <c r="G38" s="1039"/>
      <c r="H38" s="1039"/>
      <c r="I38" s="1039"/>
      <c r="J38" s="1039"/>
      <c r="K38" s="1039"/>
      <c r="L38" s="1039"/>
      <c r="M38" s="1039"/>
      <c r="N38" s="1039"/>
      <c r="O38" s="1039"/>
      <c r="P38" s="411"/>
      <c r="Q38" s="1038"/>
      <c r="R38" s="1038"/>
      <c r="S38" s="1038"/>
      <c r="T38" s="1038"/>
      <c r="U38" s="1038"/>
      <c r="V38" s="1038"/>
      <c r="W38" s="1038"/>
      <c r="X38" s="1038"/>
      <c r="Y38" s="1038"/>
      <c r="Z38" s="1038"/>
      <c r="AA38" s="1038"/>
      <c r="AB38" s="1038"/>
      <c r="AC38" s="9"/>
    </row>
    <row r="39" ht="18" customHeight="1">
      <c r="A39" s="58"/>
      <c r="B39" s="284">
        <v>2023</v>
      </c>
      <c r="C39" s="285"/>
      <c r="D39" s="454">
        <v>109.4279330484888871467210223</v>
      </c>
      <c r="E39" s="455"/>
      <c r="F39" s="456">
        <v>121.96226424149118267466500392</v>
      </c>
      <c r="G39" s="454">
        <v>117.49023492782337956410982168</v>
      </c>
      <c r="H39" s="455"/>
      <c r="I39" s="456">
        <v>120.04887415459052516442655643</v>
      </c>
      <c r="J39" s="454">
        <v>93.83715012722646310432569975</v>
      </c>
      <c r="K39" s="455"/>
      <c r="L39" s="456">
        <v>91.35659447162003874350034345</v>
      </c>
      <c r="M39" s="454">
        <v>109.97207173985920214549111633</v>
      </c>
      <c r="N39" s="455">
        <v>103.61289137813248896648196142</v>
      </c>
      <c r="O39" s="456">
        <v>120.91247913962544038568514741</v>
      </c>
      <c r="P39" s="5"/>
      <c r="Q39" s="427">
        <v>-9.771566493115476095419974630</v>
      </c>
      <c r="R39" s="428"/>
      <c r="S39" s="429">
        <v>1.4086158442824512208012045600</v>
      </c>
      <c r="T39" s="427">
        <v>-3.8092650521052877352457703300</v>
      </c>
      <c r="U39" s="428"/>
      <c r="V39" s="429">
        <v>5.1250890911560344998850075100</v>
      </c>
      <c r="W39" s="427">
        <v>1.3963229048371424789073254100</v>
      </c>
      <c r="X39" s="428"/>
      <c r="Y39" s="429">
        <v>0.4120487326881152865171199300</v>
      </c>
      <c r="Z39" s="427">
        <v>-8.846478132287730248601110310</v>
      </c>
      <c r="AA39" s="428">
        <v>-1.1095490972697671483122982900</v>
      </c>
      <c r="AB39" s="429">
        <v>1.4694497844123694822590488400</v>
      </c>
    </row>
    <row r="40" ht="18" customHeight="1">
      <c r="A40" s="58"/>
      <c r="B40" s="286">
        <v>2024</v>
      </c>
      <c r="C40" s="287"/>
      <c r="D40" s="276">
        <v>113.79861839804127317243791536</v>
      </c>
      <c r="E40" s="94"/>
      <c r="F40" s="277">
        <v>126.38718279215806173891304299</v>
      </c>
      <c r="G40" s="276">
        <v>109.58134671685487243831033041</v>
      </c>
      <c r="H40" s="94"/>
      <c r="I40" s="277">
        <v>123.08460231222111159338297303</v>
      </c>
      <c r="J40" s="276">
        <v>95.16397515527950310559006211</v>
      </c>
      <c r="K40" s="94"/>
      <c r="L40" s="277">
        <v>91.77551300119980479127473959</v>
      </c>
      <c r="M40" s="276">
        <v>112.56283214448856249341157455</v>
      </c>
      <c r="N40" s="94">
        <v>108.03552968254545982221681954</v>
      </c>
      <c r="O40" s="277">
        <v>125.63203551832656738069890146</v>
      </c>
      <c r="P40" s="5"/>
      <c r="Q40" s="271">
        <v>3.9941221841448142067416008600</v>
      </c>
      <c r="R40" s="92"/>
      <c r="S40" s="272">
        <v>3.6281046257850617365073830500</v>
      </c>
      <c r="T40" s="271">
        <v>-6.7315281272569510730565721200</v>
      </c>
      <c r="U40" s="92"/>
      <c r="V40" s="272">
        <v>2.5287435463257023724882560400</v>
      </c>
      <c r="W40" s="271">
        <v>1.4139656056060300800473925800</v>
      </c>
      <c r="X40" s="92"/>
      <c r="Y40" s="272">
        <v>0.4585531367744163034871815600</v>
      </c>
      <c r="Z40" s="271">
        <v>2.3558348620694251988397104100</v>
      </c>
      <c r="AA40" s="92">
        <v>4.2684247545091139532221523300</v>
      </c>
      <c r="AB40" s="272">
        <v>3.9032831121406287238148378100</v>
      </c>
    </row>
    <row r="41" ht="18" customHeight="1">
      <c r="A41" s="58"/>
      <c r="B41" s="425">
        <v>2025</v>
      </c>
      <c r="C41" s="426"/>
      <c r="D41" s="457">
        <v>109.67895531669183619081460425</v>
      </c>
      <c r="E41" s="458"/>
      <c r="F41" s="459">
        <v>128.47371015748200486694177651</v>
      </c>
      <c r="G41" s="457">
        <v>126.24989775051124744376278119</v>
      </c>
      <c r="H41" s="458"/>
      <c r="I41" s="459">
        <v>130.96051939765174889031739326</v>
      </c>
      <c r="J41" s="457">
        <v>96.16607773851590106007067138</v>
      </c>
      <c r="K41" s="458"/>
      <c r="L41" s="459">
        <v>92.18625195384774246284551889</v>
      </c>
      <c r="M41" s="457">
        <v>110.80437616243025418474891507</v>
      </c>
      <c r="N41" s="458">
        <v>102.77677007049302972508772115</v>
      </c>
      <c r="O41" s="459">
        <v>128.62280264643580340229370212</v>
      </c>
      <c r="P41" s="93"/>
      <c r="Q41" s="430">
        <v>-3.6201345317743914717165701400</v>
      </c>
      <c r="R41" s="431"/>
      <c r="S41" s="432">
        <v>1.6509010796708534207126128600</v>
      </c>
      <c r="T41" s="430">
        <v>15.211120809341694307708334500</v>
      </c>
      <c r="U41" s="431"/>
      <c r="V41" s="432">
        <v>6.3987833876042002022455093400</v>
      </c>
      <c r="W41" s="430">
        <v>1.0530272422737172893624803200</v>
      </c>
      <c r="X41" s="431"/>
      <c r="Y41" s="432">
        <v>0.4475474330962027895702031700</v>
      </c>
      <c r="Z41" s="430">
        <v>-1.5621994832293909964744090100</v>
      </c>
      <c r="AA41" s="431">
        <v>-4.8676205202692719948402321300</v>
      </c>
      <c r="AB41" s="432">
        <v>2.3805768296257190248837411700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22">
    <mergeCell ref="B43:AB43"/>
    <mergeCell ref="Q38:AB38"/>
    <mergeCell ref="B28:O28"/>
    <mergeCell ref="B33:O33"/>
    <mergeCell ref="B38:O38"/>
    <mergeCell ref="Q33:AB33"/>
    <mergeCell ref="Q28:AB28"/>
    <mergeCell ref="D7:F7"/>
    <mergeCell ref="Z7:AB7"/>
    <mergeCell ref="T7:V7"/>
    <mergeCell ref="B8:C8"/>
    <mergeCell ref="Q7:S7"/>
    <mergeCell ref="J7:L7"/>
    <mergeCell ref="M7:O7"/>
    <mergeCell ref="W7:Y7"/>
    <mergeCell ref="G7:I7"/>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3"/>
</worksheet>
</file>

<file path=xl/worksheets/sheet4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pageSetUpPr fitToPage="1"/>
  </sheetPr>
  <dimension ref="A1:AD8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145</v>
      </c>
      <c r="Z1" s="5"/>
      <c r="AB1" s="685"/>
      <c r="AD1" s="236"/>
    </row>
    <row r="2" ht="15" customHeight="1">
      <c r="A2" s="11"/>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171</v>
      </c>
      <c r="C3" s="999"/>
      <c r="D3" s="999"/>
      <c r="E3" s="999"/>
      <c r="F3" s="999"/>
      <c r="G3" s="999"/>
      <c r="H3" s="999"/>
      <c r="I3" s="999"/>
      <c r="J3" s="999"/>
      <c r="K3" s="999"/>
      <c r="L3" s="999"/>
      <c r="M3" s="999"/>
      <c r="N3" s="999"/>
      <c r="O3" s="999"/>
      <c r="P3" s="999"/>
      <c r="Q3" s="999"/>
      <c r="R3" s="1035" t="s">
        <v>247</v>
      </c>
      <c r="S3" s="1035"/>
      <c r="T3" s="1035"/>
      <c r="U3" s="1035"/>
      <c r="V3" s="1035"/>
      <c r="W3" s="1035"/>
      <c r="X3" s="1035"/>
      <c r="Y3" s="1035"/>
      <c r="Z3" s="1035"/>
      <c r="AA3" s="1035"/>
      <c r="AB3" s="1035"/>
    </row>
    <row r="4" ht="19.5" customHeight="1">
      <c r="A4" s="4"/>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10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2024</v>
      </c>
      <c r="C9" s="285" t="s">
        <v>180</v>
      </c>
      <c r="D9" s="434">
        <v>40.575095386749913284772806105</v>
      </c>
      <c r="E9" s="435"/>
      <c r="F9" s="436">
        <v>73.548654967016269518218810478</v>
      </c>
      <c r="G9" s="434">
        <v>9.090183836281651057925771766</v>
      </c>
      <c r="H9" s="435"/>
      <c r="I9" s="436">
        <v>8.717469743490652657173907588</v>
      </c>
      <c r="J9" s="434">
        <v>1.6774193548387096774193548387</v>
      </c>
      <c r="K9" s="435"/>
      <c r="L9" s="436">
        <v>0.2846323665174359549561956928</v>
      </c>
      <c r="M9" s="434">
        <v>51.342724592438432188692334374</v>
      </c>
      <c r="N9" s="435">
        <v>46.088160301569645284884439501</v>
      </c>
      <c r="O9" s="436">
        <v>82.55075707702435813034891376</v>
      </c>
      <c r="P9" s="5"/>
      <c r="Q9" s="415">
        <v>-16.467853712740364620619475130</v>
      </c>
      <c r="R9" s="416"/>
      <c r="S9" s="417">
        <v>-1.8542267182291283199232560500</v>
      </c>
      <c r="T9" s="415">
        <v>104.64625956491123728728518625</v>
      </c>
      <c r="U9" s="416"/>
      <c r="V9" s="417">
        <v>10.227375124192320534936713270</v>
      </c>
      <c r="W9" s="415">
        <v>71.004243284494417314082291680</v>
      </c>
      <c r="X9" s="416"/>
      <c r="Y9" s="417">
        <v>-81.14938603768489611636960023</v>
      </c>
      <c r="Z9" s="415">
        <v>-4.9153346644153312349941984500</v>
      </c>
      <c r="AA9" s="416">
        <v>-17.275995501182469439366984020</v>
      </c>
      <c r="AB9" s="417">
        <v>-2.1408881578316269599369272900</v>
      </c>
    </row>
    <row r="10" ht="18" customHeight="1">
      <c r="A10" s="58"/>
      <c r="B10" s="286"/>
      <c r="C10" s="287" t="s">
        <v>183</v>
      </c>
      <c r="D10" s="276">
        <v>38.89229390681003584229390681</v>
      </c>
      <c r="E10" s="94"/>
      <c r="F10" s="277">
        <v>76.442979939574879655143520342</v>
      </c>
      <c r="G10" s="276">
        <v>7.473476702508960573476702509</v>
      </c>
      <c r="H10" s="94"/>
      <c r="I10" s="277">
        <v>9.536912058213373158293454231</v>
      </c>
      <c r="J10" s="276">
        <v>1.2508960573476702508960573477</v>
      </c>
      <c r="K10" s="94"/>
      <c r="L10" s="277">
        <v>0.2091782969963276854292385808</v>
      </c>
      <c r="M10" s="276">
        <v>47.616650537634408602150537634</v>
      </c>
      <c r="N10" s="94">
        <v>44.733715836526181353767560664</v>
      </c>
      <c r="O10" s="277">
        <v>86.18907029478458049886621315</v>
      </c>
      <c r="P10" s="5"/>
      <c r="Q10" s="271">
        <v>-11.74107015775676256190022700</v>
      </c>
      <c r="R10" s="92"/>
      <c r="S10" s="272">
        <v>4.0015278803898942011180674700</v>
      </c>
      <c r="T10" s="271">
        <v>-0.6338162408791876395049708600</v>
      </c>
      <c r="U10" s="92"/>
      <c r="V10" s="272">
        <v>-12.676038445334703767341815550</v>
      </c>
      <c r="W10" s="271">
        <v>7.4342003967452187651957818200</v>
      </c>
      <c r="X10" s="92"/>
      <c r="Y10" s="272">
        <v>-86.45341309172330281229090689</v>
      </c>
      <c r="Z10" s="271">
        <v>-9.734559362771999342678643710</v>
      </c>
      <c r="AA10" s="92">
        <v>-12.503483786069532348063444510</v>
      </c>
      <c r="AB10" s="272">
        <v>0.2580568242142763179342311300</v>
      </c>
    </row>
    <row r="11" ht="18" customHeight="1">
      <c r="A11" s="58"/>
      <c r="B11" s="288"/>
      <c r="C11" s="289" t="s">
        <v>185</v>
      </c>
      <c r="D11" s="439">
        <v>38.628165105792577176552202567</v>
      </c>
      <c r="E11" s="95"/>
      <c r="F11" s="440">
        <v>80.45067484364852514581456868</v>
      </c>
      <c r="G11" s="439">
        <v>4.6649323621227887617065556712</v>
      </c>
      <c r="H11" s="95"/>
      <c r="I11" s="440">
        <v>8.143062778634152984797612335</v>
      </c>
      <c r="J11" s="439">
        <v>1.263093999306278182448838016</v>
      </c>
      <c r="K11" s="95"/>
      <c r="L11" s="440">
        <v>0.2136795381298739870090610301</v>
      </c>
      <c r="M11" s="439">
        <v>44.556243496357960457856399584</v>
      </c>
      <c r="N11" s="95">
        <v>49.756696329254727474972191324</v>
      </c>
      <c r="O11" s="440">
        <v>88.80741716041255211762124205</v>
      </c>
      <c r="P11" s="5"/>
      <c r="Q11" s="420">
        <v>-12.411371224255103014526447670</v>
      </c>
      <c r="R11" s="91"/>
      <c r="S11" s="421">
        <v>4.8602942037292798825875442600</v>
      </c>
      <c r="T11" s="420">
        <v>20.483762598215305936806432930</v>
      </c>
      <c r="U11" s="91"/>
      <c r="V11" s="421">
        <v>-12.208574920148099842948303260</v>
      </c>
      <c r="W11" s="420">
        <v>20.579470198935022038507641610</v>
      </c>
      <c r="X11" s="91"/>
      <c r="Y11" s="421">
        <v>-85.90705093277468104202015717</v>
      </c>
      <c r="Z11" s="420">
        <v>-9.108070986195240707175412560</v>
      </c>
      <c r="AA11" s="91">
        <v>-4.9522335791000322531632566200</v>
      </c>
      <c r="AB11" s="421">
        <v>1.4785902064429453586473327700</v>
      </c>
    </row>
    <row r="12" ht="18" customHeight="1">
      <c r="A12" s="58"/>
      <c r="B12" s="286"/>
      <c r="C12" s="287" t="s">
        <v>187</v>
      </c>
      <c r="D12" s="276">
        <v>33.562903225806451612903225806</v>
      </c>
      <c r="E12" s="94"/>
      <c r="F12" s="277">
        <v>80.00090006301176307828460498</v>
      </c>
      <c r="G12" s="276">
        <v>3.536917562724014336917562724</v>
      </c>
      <c r="H12" s="94"/>
      <c r="I12" s="277">
        <v>9.007617130519428072141323796</v>
      </c>
      <c r="J12" s="276">
        <v>1.2087813620071684587813620072</v>
      </c>
      <c r="K12" s="94"/>
      <c r="L12" s="277">
        <v>0.2083837890840771791281150672</v>
      </c>
      <c r="M12" s="276">
        <v>38.30858781362007168458781362</v>
      </c>
      <c r="N12" s="94">
        <v>52.423996807151979565772669221</v>
      </c>
      <c r="O12" s="277">
        <v>89.21690098261526832955404384</v>
      </c>
      <c r="P12" s="5"/>
      <c r="Q12" s="271">
        <v>-41.058598040523162242821085130</v>
      </c>
      <c r="R12" s="92"/>
      <c r="S12" s="272">
        <v>-5.2877501313556458180225263400</v>
      </c>
      <c r="T12" s="271">
        <v>-65.644257215628611297731875220</v>
      </c>
      <c r="U12" s="92"/>
      <c r="V12" s="272">
        <v>-35.622797449255693507351800610</v>
      </c>
      <c r="W12" s="271">
        <v>7.1996185640386494682049869500</v>
      </c>
      <c r="X12" s="92"/>
      <c r="Y12" s="272">
        <v>-90.17289812196660406453739934</v>
      </c>
      <c r="Z12" s="271">
        <v>-43.964988288624132992069287490</v>
      </c>
      <c r="AA12" s="92">
        <v>-27.841716771332749435837484900</v>
      </c>
      <c r="AB12" s="272">
        <v>-11.297359781584029208499387620</v>
      </c>
    </row>
    <row r="13" ht="18" customHeight="1">
      <c r="A13" s="58"/>
      <c r="B13" s="288"/>
      <c r="C13" s="289" t="s">
        <v>188</v>
      </c>
      <c r="D13" s="439">
        <v>33.040235865417967395074575095</v>
      </c>
      <c r="E13" s="95"/>
      <c r="F13" s="440">
        <v>72.6578821924897664866674691</v>
      </c>
      <c r="G13" s="439">
        <v>5.5060700659035726673603884842</v>
      </c>
      <c r="H13" s="95"/>
      <c r="I13" s="440">
        <v>9.653435885134471481165706597</v>
      </c>
      <c r="J13" s="439">
        <v>1.2334373916059660076309399931</v>
      </c>
      <c r="K13" s="95"/>
      <c r="L13" s="440">
        <v>0.2101946134737065863325766251</v>
      </c>
      <c r="M13" s="439">
        <v>39.779751994450225459590704128</v>
      </c>
      <c r="N13" s="95">
        <v>47.600541342232109751575824991</v>
      </c>
      <c r="O13" s="440">
        <v>82.52151269109794455416575232</v>
      </c>
      <c r="P13" s="5"/>
      <c r="Q13" s="420">
        <v>-33.294350800716403478259730600</v>
      </c>
      <c r="R13" s="91"/>
      <c r="S13" s="421">
        <v>0.0802350476315015016963611500</v>
      </c>
      <c r="T13" s="420">
        <v>67.129922086348057183203779470</v>
      </c>
      <c r="U13" s="91"/>
      <c r="V13" s="421">
        <v>-2.5469749747429296246363361600</v>
      </c>
      <c r="W13" s="420">
        <v>-0.0140587688537587748404373300</v>
      </c>
      <c r="X13" s="91"/>
      <c r="Y13" s="421">
        <v>-91.16638909442063326545492932</v>
      </c>
      <c r="Z13" s="420">
        <v>-26.414809480785131019138690630</v>
      </c>
      <c r="AA13" s="91">
        <v>-15.317903194515528110631595870</v>
      </c>
      <c r="AB13" s="421">
        <v>-2.7841698746347301326630807800</v>
      </c>
    </row>
    <row r="14" ht="18" customHeight="1">
      <c r="A14" s="58"/>
      <c r="B14" s="286"/>
      <c r="C14" s="287" t="s">
        <v>189</v>
      </c>
      <c r="D14" s="276">
        <v>26.507110648629899410336455082</v>
      </c>
      <c r="E14" s="94"/>
      <c r="F14" s="277">
        <v>67.713125351572154579598976716</v>
      </c>
      <c r="G14" s="276">
        <v>9.113250086715227193895248006</v>
      </c>
      <c r="H14" s="94"/>
      <c r="I14" s="277">
        <v>7.279476195188767477436557704</v>
      </c>
      <c r="J14" s="276">
        <v>0.9895941727367325702393340271</v>
      </c>
      <c r="K14" s="94"/>
      <c r="L14" s="277">
        <v>0.1632904874721260008973161391</v>
      </c>
      <c r="M14" s="276">
        <v>36.609800554977454040929587236</v>
      </c>
      <c r="N14" s="94">
        <v>38.200936843406253862316153751</v>
      </c>
      <c r="O14" s="277">
        <v>75.15589203423304805793285056</v>
      </c>
      <c r="P14" s="5"/>
      <c r="Q14" s="271">
        <v>-30.645175928276558864901638800</v>
      </c>
      <c r="R14" s="92"/>
      <c r="S14" s="272">
        <v>-4.686316741830550088811979900</v>
      </c>
      <c r="T14" s="271">
        <v>615.02245203197475379529718344</v>
      </c>
      <c r="U14" s="92"/>
      <c r="V14" s="272">
        <v>16.103870306814426917575670280</v>
      </c>
      <c r="W14" s="271">
        <v>-2.327969870104296163117105300</v>
      </c>
      <c r="X14" s="92"/>
      <c r="Y14" s="272">
        <v>-89.14219079526510082087807109</v>
      </c>
      <c r="Z14" s="271">
        <v>-9.621859739982332590239049250</v>
      </c>
      <c r="AA14" s="92">
        <v>-9.087012309985004823797296240</v>
      </c>
      <c r="AB14" s="272">
        <v>-4.6439760080648529808986196900</v>
      </c>
    </row>
    <row r="15" ht="18" customHeight="1">
      <c r="A15" s="58"/>
      <c r="B15" s="288"/>
      <c r="C15" s="289" t="s">
        <v>190</v>
      </c>
      <c r="D15" s="439">
        <v>50.120250896057347670250896057</v>
      </c>
      <c r="E15" s="95"/>
      <c r="F15" s="440">
        <v>72.841252127524150870345099651</v>
      </c>
      <c r="G15" s="439">
        <v>8.862724014336917562724014337</v>
      </c>
      <c r="H15" s="95"/>
      <c r="I15" s="440">
        <v>9.9116429989623552373223789</v>
      </c>
      <c r="J15" s="439">
        <v>0.7136200716845878136200716846</v>
      </c>
      <c r="K15" s="95"/>
      <c r="L15" s="440">
        <v>0.1138017744961091606620754949</v>
      </c>
      <c r="M15" s="439">
        <v>59.69661827956989247311827957</v>
      </c>
      <c r="N15" s="95">
        <v>40.684862707535121328224776501</v>
      </c>
      <c r="O15" s="440">
        <v>82.86669690098261526832955404</v>
      </c>
      <c r="P15" s="5"/>
      <c r="Q15" s="420">
        <v>4.4827251263137617605236408900</v>
      </c>
      <c r="R15" s="91"/>
      <c r="S15" s="421">
        <v>7.5356519531761274268740211400</v>
      </c>
      <c r="T15" s="420">
        <v>-16.060153439047818804532715870</v>
      </c>
      <c r="U15" s="91"/>
      <c r="V15" s="421">
        <v>2.9410226906106345052106661700</v>
      </c>
      <c r="W15" s="420">
        <v>-29.919042591155121473279036410</v>
      </c>
      <c r="X15" s="91"/>
      <c r="Y15" s="421">
        <v>-91.09924222324512784990598072</v>
      </c>
      <c r="Z15" s="420">
        <v>0.252172003579827430114328600</v>
      </c>
      <c r="AA15" s="91">
        <v>-0.2562395295616795347697629200</v>
      </c>
      <c r="AB15" s="421">
        <v>5.3695563417602688554153482900</v>
      </c>
    </row>
    <row r="16" ht="18" customHeight="1">
      <c r="A16" s="58"/>
      <c r="B16" s="286"/>
      <c r="C16" s="287" t="s">
        <v>191</v>
      </c>
      <c r="D16" s="276">
        <v>43.775407561567811307665626084</v>
      </c>
      <c r="E16" s="94"/>
      <c r="F16" s="277">
        <v>79.41124577115940407744700025</v>
      </c>
      <c r="G16" s="276">
        <v>3.9281997918834547346514047867</v>
      </c>
      <c r="H16" s="94"/>
      <c r="I16" s="277">
        <v>10.593578211691279248117878167</v>
      </c>
      <c r="J16" s="276">
        <v>1.0345126604231703087062088103</v>
      </c>
      <c r="K16" s="94"/>
      <c r="L16" s="277">
        <v>0.1656683000839959224784249317</v>
      </c>
      <c r="M16" s="276">
        <v>48.73804890738813735691987513</v>
      </c>
      <c r="N16" s="94">
        <v>52.216649981460882461994809047</v>
      </c>
      <c r="O16" s="277">
        <v>90.17049228293467924804330334</v>
      </c>
      <c r="P16" s="5"/>
      <c r="Q16" s="271">
        <v>-12.006316912411983281493140880</v>
      </c>
      <c r="R16" s="92"/>
      <c r="S16" s="272">
        <v>2.0976327779937808906983418200</v>
      </c>
      <c r="T16" s="271">
        <v>-44.595288764738885531024606850</v>
      </c>
      <c r="U16" s="92"/>
      <c r="V16" s="272">
        <v>-1.3710887759328064492829918100</v>
      </c>
      <c r="W16" s="271">
        <v>3.6309937411016953758688796200</v>
      </c>
      <c r="X16" s="92"/>
      <c r="Y16" s="272">
        <v>-87.95282558611133536991342355</v>
      </c>
      <c r="Z16" s="271">
        <v>-15.731459846152867457443652470</v>
      </c>
      <c r="AA16" s="92">
        <v>-8.983742752707587720661325750</v>
      </c>
      <c r="AB16" s="272">
        <v>0.3056557211828672499248984700</v>
      </c>
    </row>
    <row r="17" ht="18" customHeight="1">
      <c r="A17" s="58"/>
      <c r="B17" s="288"/>
      <c r="C17" s="289" t="s">
        <v>192</v>
      </c>
      <c r="D17" s="439">
        <v>37.639605734767025089605734767</v>
      </c>
      <c r="E17" s="95"/>
      <c r="F17" s="440">
        <v>74.356159817420723842210504487</v>
      </c>
      <c r="G17" s="439">
        <v>0.9066308243727598566308243728</v>
      </c>
      <c r="H17" s="95"/>
      <c r="I17" s="440">
        <v>5.6194373542886871504910805537</v>
      </c>
      <c r="J17" s="439">
        <v>1.1611111111111111111111111111</v>
      </c>
      <c r="K17" s="95"/>
      <c r="L17" s="440">
        <v>0.1926458647154436139712034484</v>
      </c>
      <c r="M17" s="439">
        <v>39.707326164874551971326164875</v>
      </c>
      <c r="N17" s="95">
        <v>48.077441890166028097062579821</v>
      </c>
      <c r="O17" s="440">
        <v>80.16824303642485460667278849</v>
      </c>
      <c r="P17" s="5"/>
      <c r="Q17" s="420">
        <v>-12.702522964385039941945092640</v>
      </c>
      <c r="R17" s="91"/>
      <c r="S17" s="421">
        <v>10.845766578623511581576712890</v>
      </c>
      <c r="T17" s="420">
        <v>-87.27903643541515858902987678</v>
      </c>
      <c r="U17" s="91"/>
      <c r="V17" s="421">
        <v>-23.205983786822497371205739890</v>
      </c>
      <c r="W17" s="420">
        <v>19.384558683289650879751139750</v>
      </c>
      <c r="X17" s="91"/>
      <c r="Y17" s="421">
        <v>-84.60711965205192342331030221</v>
      </c>
      <c r="Z17" s="420">
        <v>-22.471081607120345418385740430</v>
      </c>
      <c r="AA17" s="91">
        <v>12.325914972204516079284144640</v>
      </c>
      <c r="AB17" s="421">
        <v>5.9728265531350781303469955200</v>
      </c>
    </row>
    <row r="18" ht="18" customHeight="1">
      <c r="A18" s="58"/>
      <c r="B18" s="286"/>
      <c r="C18" s="287" t="s">
        <v>194</v>
      </c>
      <c r="D18" s="276">
        <v>22.82708983697537287547693375</v>
      </c>
      <c r="E18" s="94"/>
      <c r="F18" s="277">
        <v>62.361561009655396736353206797</v>
      </c>
      <c r="G18" s="276">
        <v>3.7927506070065903572667360388</v>
      </c>
      <c r="H18" s="94"/>
      <c r="I18" s="277">
        <v>5.6974830052912606700365037192</v>
      </c>
      <c r="J18" s="276">
        <v>1.1245230662504335761359694762</v>
      </c>
      <c r="K18" s="94"/>
      <c r="L18" s="277">
        <v>0.1853648834211852429778655373</v>
      </c>
      <c r="M18" s="276">
        <v>27.744342698577870274020117933</v>
      </c>
      <c r="N18" s="94">
        <v>39.412042392782103571869978989</v>
      </c>
      <c r="O18" s="277">
        <v>68.244408898367842649367576054</v>
      </c>
      <c r="P18" s="5"/>
      <c r="Q18" s="271">
        <v>-29.707285030040638115555626660</v>
      </c>
      <c r="R18" s="92"/>
      <c r="S18" s="272">
        <v>17.031187372043984534098297260</v>
      </c>
      <c r="T18" s="271">
        <v>-67.524502524575346007110025580</v>
      </c>
      <c r="U18" s="92"/>
      <c r="V18" s="272">
        <v>-31.234623371896961582498279060</v>
      </c>
      <c r="W18" s="271">
        <v>14.315937939314547894209664220</v>
      </c>
      <c r="X18" s="92"/>
      <c r="Y18" s="272">
        <v>-82.68413749154258978560293623</v>
      </c>
      <c r="Z18" s="271">
        <v>-38.532765790520028260549492340</v>
      </c>
      <c r="AA18" s="92">
        <v>10.992506018824906253450566210</v>
      </c>
      <c r="AB18" s="272">
        <v>8.943252366667545639573321190</v>
      </c>
    </row>
    <row r="19" ht="18" customHeight="1">
      <c r="A19" s="58"/>
      <c r="B19" s="288">
        <v>2025</v>
      </c>
      <c r="C19" s="289" t="s">
        <v>195</v>
      </c>
      <c r="D19" s="439">
        <v>24.218348942074228234477974332</v>
      </c>
      <c r="E19" s="95"/>
      <c r="F19" s="440">
        <v>61.367239571252943291845734676</v>
      </c>
      <c r="G19" s="439">
        <v>3.8494623655913978494623655914</v>
      </c>
      <c r="H19" s="95"/>
      <c r="I19" s="440">
        <v>6.986705386417297657605590929</v>
      </c>
      <c r="J19" s="439">
        <v>1.0254942767950052029136316337</v>
      </c>
      <c r="K19" s="95"/>
      <c r="L19" s="440">
        <v>0.1723662119589010299210685134</v>
      </c>
      <c r="M19" s="439">
        <v>29.093166840097121054457162678</v>
      </c>
      <c r="N19" s="95">
        <v>41.527631936719812136942281547</v>
      </c>
      <c r="O19" s="440">
        <v>68.526311169629141979372394119</v>
      </c>
      <c r="P19" s="5"/>
      <c r="Q19" s="420">
        <v>-31.873155262765339566501278960</v>
      </c>
      <c r="R19" s="91"/>
      <c r="S19" s="421">
        <v>6.1788391684770124696854862800</v>
      </c>
      <c r="T19" s="420">
        <v>-26.912311896961242696589639830</v>
      </c>
      <c r="U19" s="91"/>
      <c r="V19" s="421">
        <v>14.700028807855219390344970710</v>
      </c>
      <c r="W19" s="420">
        <v>21.217712177643618687111626890</v>
      </c>
      <c r="X19" s="91"/>
      <c r="Y19" s="421">
        <v>-83.75983056655617139156970065</v>
      </c>
      <c r="Z19" s="420">
        <v>-30.168263932104018744927954770</v>
      </c>
      <c r="AA19" s="91">
        <v>4.681988181074219247520359500</v>
      </c>
      <c r="AB19" s="421">
        <v>5.5082787259138651526686600800</v>
      </c>
    </row>
    <row r="20" ht="18" customHeight="1">
      <c r="A20" s="58"/>
      <c r="B20" s="286"/>
      <c r="C20" s="287" t="s">
        <v>196</v>
      </c>
      <c r="D20" s="276">
        <v>36.063748079877112135176651306</v>
      </c>
      <c r="E20" s="94"/>
      <c r="F20" s="277">
        <v>78.208466864468023772986917004</v>
      </c>
      <c r="G20" s="276">
        <v>12.010176651305683563748079877</v>
      </c>
      <c r="H20" s="94"/>
      <c r="I20" s="277">
        <v>10.723562739653975603555980506</v>
      </c>
      <c r="J20" s="276">
        <v>1.3726958525345622119815668203</v>
      </c>
      <c r="K20" s="94"/>
      <c r="L20" s="277">
        <v>0.2124310372774175330780937441</v>
      </c>
      <c r="M20" s="276">
        <v>49.446866359447004608294930876</v>
      </c>
      <c r="N20" s="94">
        <v>60.402681992337164750957854406</v>
      </c>
      <c r="O20" s="277">
        <v>89.14446064139941690962099125</v>
      </c>
      <c r="P20" s="5"/>
      <c r="Q20" s="271">
        <v>-7.8647785315705535353309244200</v>
      </c>
      <c r="R20" s="92"/>
      <c r="S20" s="272">
        <v>4.6319179514990742846056925400</v>
      </c>
      <c r="T20" s="271">
        <v>4.9999884228565547405582399800</v>
      </c>
      <c r="U20" s="92"/>
      <c r="V20" s="272">
        <v>7.7356345982489874588638596500</v>
      </c>
      <c r="W20" s="271">
        <v>30.037257265011182611888301420</v>
      </c>
      <c r="X20" s="92"/>
      <c r="Y20" s="272">
        <v>-62.918147184311843416567286860</v>
      </c>
      <c r="Z20" s="271">
        <v>-4.2397885238135176603058353200</v>
      </c>
      <c r="AA20" s="92">
        <v>12.468007607706512310817120200</v>
      </c>
      <c r="AB20" s="272">
        <v>4.5403960196088674982340835100</v>
      </c>
    </row>
    <row r="21" ht="18" customHeight="1">
      <c r="A21" s="58"/>
      <c r="B21" s="288"/>
      <c r="C21" s="289" t="s">
        <v>180</v>
      </c>
      <c r="D21" s="439">
        <v>44.759798820672910163024627125</v>
      </c>
      <c r="E21" s="95"/>
      <c r="F21" s="440">
        <v>75.587794046819987439054335411</v>
      </c>
      <c r="G21" s="439">
        <v>6.0275754422476586888657648283</v>
      </c>
      <c r="H21" s="95"/>
      <c r="I21" s="440">
        <v>11.921049712647677304145292581</v>
      </c>
      <c r="J21" s="439">
        <v>1.3206729101630246271245230663</v>
      </c>
      <c r="K21" s="95"/>
      <c r="L21" s="440">
        <v>0.2108109841502125152306258299</v>
      </c>
      <c r="M21" s="439">
        <v>52.10806625043357613596947624</v>
      </c>
      <c r="N21" s="95">
        <v>54.880341737733283895686565319</v>
      </c>
      <c r="O21" s="440">
        <v>87.71965474361787725843025382</v>
      </c>
      <c r="P21" s="5"/>
      <c r="Q21" s="420">
        <v>10.313477748088308138692317420</v>
      </c>
      <c r="R21" s="91"/>
      <c r="S21" s="421">
        <v>2.7725035634369025714861995200</v>
      </c>
      <c r="T21" s="420">
        <v>-33.691380165738456366208739480</v>
      </c>
      <c r="U21" s="91"/>
      <c r="V21" s="421">
        <v>36.748965736719190531542021880</v>
      </c>
      <c r="W21" s="420">
        <v>-21.267576507695091302369473150</v>
      </c>
      <c r="X21" s="91"/>
      <c r="Y21" s="421">
        <v>-25.935694965943897588812750180</v>
      </c>
      <c r="Z21" s="420">
        <v>1.4906525980252823073191516900</v>
      </c>
      <c r="AA21" s="91">
        <v>19.076876530973300470817431420</v>
      </c>
      <c r="AB21" s="421">
        <v>6.2614782100623729430878830800</v>
      </c>
    </row>
    <row r="22" ht="18" customHeight="1">
      <c r="A22" s="58"/>
      <c r="B22" s="286"/>
      <c r="C22" s="287" t="s">
        <v>183</v>
      </c>
      <c r="D22" s="276">
        <v>33.987634408602150537634408602</v>
      </c>
      <c r="E22" s="94"/>
      <c r="F22" s="277">
        <v>80.93109252743169497999721137</v>
      </c>
      <c r="G22" s="276">
        <v>2.4905017921146953405017921147</v>
      </c>
      <c r="H22" s="94"/>
      <c r="I22" s="277">
        <v>7.5813107236479792110302410541</v>
      </c>
      <c r="J22" s="276">
        <v>1.2426523297491039426523297491</v>
      </c>
      <c r="K22" s="94"/>
      <c r="L22" s="277">
        <v>0.2014138313088367689120789408</v>
      </c>
      <c r="M22" s="276">
        <v>37.720790322580645161290322581</v>
      </c>
      <c r="N22" s="94">
        <v>51.600790549169859514687100894</v>
      </c>
      <c r="O22" s="277">
        <v>88.71381708238851095993953137</v>
      </c>
      <c r="P22" s="5"/>
      <c r="Q22" s="271">
        <v>-12.610877388593193264800599110</v>
      </c>
      <c r="R22" s="92"/>
      <c r="S22" s="272">
        <v>5.8711899920409875899526259600</v>
      </c>
      <c r="T22" s="271">
        <v>-66.675459210549464605067562060</v>
      </c>
      <c r="U22" s="92"/>
      <c r="V22" s="272">
        <v>-20.505603098967042847526956410</v>
      </c>
      <c r="W22" s="271">
        <v>-0.659025784179842529884217500</v>
      </c>
      <c r="X22" s="92"/>
      <c r="Y22" s="272">
        <v>-3.7118887583080529085295398500</v>
      </c>
      <c r="Z22" s="271">
        <v>-20.782352608370028584775291310</v>
      </c>
      <c r="AA22" s="92">
        <v>15.351004458848783778447697870</v>
      </c>
      <c r="AB22" s="272">
        <v>2.9293120101573194304054489600</v>
      </c>
    </row>
    <row r="23" ht="18" customHeight="1">
      <c r="A23" s="58"/>
      <c r="B23" s="288"/>
      <c r="C23" s="289" t="s">
        <v>185</v>
      </c>
      <c r="D23" s="439">
        <v>39.520985084980922650017343045</v>
      </c>
      <c r="E23" s="95"/>
      <c r="F23" s="440">
        <v>81.57072445215363792129402608</v>
      </c>
      <c r="G23" s="439">
        <v>2.2894554283732223378425251474</v>
      </c>
      <c r="H23" s="95"/>
      <c r="I23" s="440">
        <v>9.627136526943170142090547061</v>
      </c>
      <c r="J23" s="439">
        <v>1.464620187304890738813735692</v>
      </c>
      <c r="K23" s="95"/>
      <c r="L23" s="440">
        <v>0.2432040490649942919661693069</v>
      </c>
      <c r="M23" s="439">
        <v>43.275084980922650017343045439</v>
      </c>
      <c r="N23" s="95">
        <v>54.016559757755530836732171549</v>
      </c>
      <c r="O23" s="440">
        <v>91.44106502816180235535074245</v>
      </c>
      <c r="P23" s="5"/>
      <c r="Q23" s="420">
        <v>2.3113186368949897883641220100</v>
      </c>
      <c r="R23" s="91"/>
      <c r="S23" s="421">
        <v>1.3922190344966881772550030100</v>
      </c>
      <c r="T23" s="420">
        <v>-50.922001635569601866864222090</v>
      </c>
      <c r="U23" s="91"/>
      <c r="V23" s="421">
        <v>18.225006839482087817617148350</v>
      </c>
      <c r="W23" s="420">
        <v>15.954963614471724520505818540</v>
      </c>
      <c r="X23" s="91"/>
      <c r="Y23" s="421">
        <v>13.817191495040157036996752520</v>
      </c>
      <c r="Z23" s="420">
        <v>-2.8753737185695724921816157400</v>
      </c>
      <c r="AA23" s="91">
        <v>8.561387195530191156284275930</v>
      </c>
      <c r="AB23" s="421">
        <v>2.9655719668155925766634243600</v>
      </c>
    </row>
    <row r="24" ht="18" customHeight="1">
      <c r="A24" s="59"/>
      <c r="B24" s="286"/>
      <c r="C24" s="287" t="s">
        <v>187</v>
      </c>
      <c r="D24" s="276">
        <v>35.797132616487455197132616487</v>
      </c>
      <c r="E24" s="94"/>
      <c r="F24" s="277">
        <v>84.58000155173851957562399907</v>
      </c>
      <c r="G24" s="276">
        <v>5.3091397849462365591397849462</v>
      </c>
      <c r="H24" s="94"/>
      <c r="I24" s="277">
        <v>12.742046368468524517645267231</v>
      </c>
      <c r="J24" s="276">
        <v>1.3849462365591397849462365591</v>
      </c>
      <c r="K24" s="94"/>
      <c r="L24" s="277">
        <v>0.2289724879562212128531826821</v>
      </c>
      <c r="M24" s="276">
        <v>42.491268817204301075268817204</v>
      </c>
      <c r="N24" s="94">
        <v>61.029471902937420178799489144</v>
      </c>
      <c r="O24" s="277">
        <v>97.55102040816326530612244898</v>
      </c>
      <c r="P24" s="93"/>
      <c r="Q24" s="271">
        <v>6.65684185797726222257937100</v>
      </c>
      <c r="R24" s="92"/>
      <c r="S24" s="272">
        <v>5.7238124635254324933881701300</v>
      </c>
      <c r="T24" s="271">
        <v>50.106404540946202787215585280</v>
      </c>
      <c r="U24" s="92"/>
      <c r="V24" s="272">
        <v>41.458569828902482098512049220</v>
      </c>
      <c r="W24" s="271">
        <v>14.573758340190207610616398560</v>
      </c>
      <c r="X24" s="92"/>
      <c r="Y24" s="272">
        <v>9.880182592486131567891085100</v>
      </c>
      <c r="Z24" s="271">
        <v>10.918389954639361677116857900</v>
      </c>
      <c r="AA24" s="92">
        <v>16.415145009614241656041119980</v>
      </c>
      <c r="AB24" s="272">
        <v>9.341413267861289213273966220</v>
      </c>
    </row>
    <row r="25" ht="18" customHeight="1">
      <c r="A25" s="60"/>
      <c r="B25" s="288"/>
      <c r="C25" s="289" t="s">
        <v>188</v>
      </c>
      <c r="D25" s="439">
        <v>29.682101977107180020811654527</v>
      </c>
      <c r="E25" s="95"/>
      <c r="F25" s="440">
        <v>83.58483507961114761192783477</v>
      </c>
      <c r="G25" s="439">
        <v>5.7970863683662851196670135276</v>
      </c>
      <c r="H25" s="95"/>
      <c r="I25" s="440">
        <v>10.598277387232968300502794821</v>
      </c>
      <c r="J25" s="439">
        <v>1.1675338189386056191467221644</v>
      </c>
      <c r="K25" s="95"/>
      <c r="L25" s="440">
        <v>0.196303815797973181271367335</v>
      </c>
      <c r="M25" s="439">
        <v>36.646852237252861602497398543</v>
      </c>
      <c r="N25" s="95">
        <v>55.827742553454455567914967248</v>
      </c>
      <c r="O25" s="440">
        <v>94.37941628264208909370199693</v>
      </c>
      <c r="P25" s="93"/>
      <c r="Q25" s="420">
        <v>-10.163770930610954630562234500</v>
      </c>
      <c r="R25" s="91"/>
      <c r="S25" s="421">
        <v>15.038909141559132585817054980</v>
      </c>
      <c r="T25" s="420">
        <v>5.2853723069852865903214028300</v>
      </c>
      <c r="U25" s="91"/>
      <c r="V25" s="421">
        <v>9.787618764748036462854145580</v>
      </c>
      <c r="W25" s="420">
        <v>-5.3430821142778124331736722100</v>
      </c>
      <c r="X25" s="91"/>
      <c r="Y25" s="421">
        <v>-6.6085412326833098073812747800</v>
      </c>
      <c r="Z25" s="420">
        <v>-7.8756141005612533055346106500</v>
      </c>
      <c r="AA25" s="91">
        <v>17.283839593565032125864761310</v>
      </c>
      <c r="AB25" s="421">
        <v>14.369469493281564479372487520</v>
      </c>
    </row>
    <row r="26" ht="18" customHeight="1">
      <c r="A26" s="60"/>
      <c r="B26" s="290"/>
      <c r="C26" s="291" t="s">
        <v>189</v>
      </c>
      <c r="D26" s="443">
        <v>38.433922996878251821019771072</v>
      </c>
      <c r="E26" s="444"/>
      <c r="F26" s="445">
        <v>80.96214771805692049772280312</v>
      </c>
      <c r="G26" s="443">
        <v>0</v>
      </c>
      <c r="H26" s="444"/>
      <c r="I26" s="445">
        <v>9.791858905281019484824447503</v>
      </c>
      <c r="J26" s="443">
        <v>1.4254249046132500867152271939</v>
      </c>
      <c r="K26" s="444"/>
      <c r="L26" s="445">
        <v>0.2374643736630109354543586193</v>
      </c>
      <c r="M26" s="443">
        <v>39.859363510232396808879639265</v>
      </c>
      <c r="N26" s="444">
        <v>55.423358052156717340254603881</v>
      </c>
      <c r="O26" s="445">
        <v>90.99147099700095091800160925</v>
      </c>
      <c r="P26" s="184"/>
      <c r="Q26" s="273">
        <v>44.994765768287078628751980450</v>
      </c>
      <c r="R26" s="274"/>
      <c r="S26" s="275">
        <v>19.566402078860561801643430020</v>
      </c>
      <c r="T26" s="273">
        <v>-100</v>
      </c>
      <c r="U26" s="274"/>
      <c r="V26" s="275">
        <v>34.513234781063708324446551560</v>
      </c>
      <c r="W26" s="273">
        <v>44.041359977305986688256818780</v>
      </c>
      <c r="X26" s="274"/>
      <c r="Y26" s="275">
        <v>45.424499184626989036552799380</v>
      </c>
      <c r="Z26" s="273">
        <v>8.876210484540829558418880230</v>
      </c>
      <c r="AA26" s="274">
        <v>45.083766608546528189186739120</v>
      </c>
      <c r="AB26" s="275">
        <v>21.070309371878528316607768510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2023</v>
      </c>
      <c r="C29" s="285"/>
      <c r="D29" s="454">
        <v>43.859175184742687729545555113</v>
      </c>
      <c r="E29" s="455"/>
      <c r="F29" s="456">
        <v>71.949229871104025193042294618</v>
      </c>
      <c r="G29" s="454">
        <v>5.8638877826452497898137085712</v>
      </c>
      <c r="H29" s="455"/>
      <c r="I29" s="456">
        <v>9.007623053101848228122054513</v>
      </c>
      <c r="J29" s="454">
        <v>1.0920615956458250365060400903</v>
      </c>
      <c r="K29" s="455"/>
      <c r="L29" s="456">
        <v>1.6960310002829893393033496084</v>
      </c>
      <c r="M29" s="454">
        <v>50.815128988008318952166025045</v>
      </c>
      <c r="N29" s="455">
        <v>52.607996546993992715576368195</v>
      </c>
      <c r="O29" s="456">
        <v>82.65288392448886276046769874</v>
      </c>
      <c r="P29" s="5"/>
      <c r="Q29" s="427">
        <v>3.334643469283699887022621200</v>
      </c>
      <c r="R29" s="428"/>
      <c r="S29" s="429">
        <v>12.675278397592916880592106370</v>
      </c>
      <c r="T29" s="427">
        <v>-43.417221031574217370740197360</v>
      </c>
      <c r="U29" s="428"/>
      <c r="V29" s="429">
        <v>19.617936829088925730621437110</v>
      </c>
      <c r="W29" s="427">
        <v>16.563939066062538515141886130</v>
      </c>
      <c r="X29" s="428"/>
      <c r="Y29" s="429">
        <v>37.357421886453657246124624450</v>
      </c>
      <c r="Z29" s="427">
        <v>-5.4498566601044011951264460300</v>
      </c>
      <c r="AA29" s="428">
        <v>1.8719292399021334883051389100</v>
      </c>
      <c r="AB29" s="429">
        <v>13.814860095532147259017305560</v>
      </c>
    </row>
    <row r="30" ht="18" customHeight="1">
      <c r="A30" s="58"/>
      <c r="B30" s="286">
        <v>2024</v>
      </c>
      <c r="C30" s="287"/>
      <c r="D30" s="276">
        <v>35.705182443151771549444738234</v>
      </c>
      <c r="E30" s="94"/>
      <c r="F30" s="277">
        <v>72.853383322975448654038899559</v>
      </c>
      <c r="G30" s="276">
        <v>6.9873083024854574299312533051</v>
      </c>
      <c r="H30" s="94"/>
      <c r="I30" s="277">
        <v>8.524539054776695511628934303</v>
      </c>
      <c r="J30" s="276">
        <v>1.1913890357835360479464128327</v>
      </c>
      <c r="K30" s="94"/>
      <c r="L30" s="277">
        <v>0.3641770408904843535038951844</v>
      </c>
      <c r="M30" s="276">
        <v>43.883873832187555085492684647</v>
      </c>
      <c r="N30" s="94">
        <v>46.416994017181842513866420699</v>
      </c>
      <c r="O30" s="277">
        <v>81.74209941864262851917172905</v>
      </c>
      <c r="P30" s="5"/>
      <c r="Q30" s="271">
        <v>-18.591304344438967049372200060</v>
      </c>
      <c r="R30" s="92"/>
      <c r="S30" s="272">
        <v>1.2566548015806099568769614300</v>
      </c>
      <c r="T30" s="271">
        <v>19.158288179030294083773643750</v>
      </c>
      <c r="U30" s="92"/>
      <c r="V30" s="272">
        <v>-5.3630574400762663767185666100</v>
      </c>
      <c r="W30" s="271">
        <v>9.095406393168107847195577430</v>
      </c>
      <c r="X30" s="92"/>
      <c r="Y30" s="272">
        <v>-78.527689598476241159546971260</v>
      </c>
      <c r="Z30" s="271">
        <v>-13.640140827841373410364224720</v>
      </c>
      <c r="AA30" s="92">
        <v>-11.768177722348947382228429910</v>
      </c>
      <c r="AB30" s="272">
        <v>-1.1019391733376606153249349600</v>
      </c>
    </row>
    <row r="31" ht="18" customHeight="1">
      <c r="A31" s="58"/>
      <c r="B31" s="425">
        <v>2025</v>
      </c>
      <c r="C31" s="426"/>
      <c r="D31" s="457">
        <v>35.302048763219611487233948405</v>
      </c>
      <c r="E31" s="458"/>
      <c r="F31" s="459">
        <v>78.314505602818703053207640928</v>
      </c>
      <c r="G31" s="457">
        <v>4.6384574538696402495685649808</v>
      </c>
      <c r="H31" s="458"/>
      <c r="I31" s="459">
        <v>9.986157756987623655654574331</v>
      </c>
      <c r="J31" s="457">
        <v>1.2995044028496836143192176645</v>
      </c>
      <c r="K31" s="458"/>
      <c r="L31" s="459">
        <v>0.2128571650016760532851677006</v>
      </c>
      <c r="M31" s="457">
        <v>41.240051772202309836718438869</v>
      </c>
      <c r="N31" s="458">
        <v>54.247438784037336612900682718</v>
      </c>
      <c r="O31" s="459">
        <v>88.51352052480800276214738296</v>
      </c>
      <c r="P31" s="93"/>
      <c r="Q31" s="430">
        <v>-1.1290620923774742818817884100</v>
      </c>
      <c r="R31" s="431"/>
      <c r="S31" s="432">
        <v>7.4960448378992616263173748200</v>
      </c>
      <c r="T31" s="430">
        <v>-33.615961210556012251062898040</v>
      </c>
      <c r="U31" s="431"/>
      <c r="V31" s="432">
        <v>17.146014497577026874794796570</v>
      </c>
      <c r="W31" s="430">
        <v>9.074732417449666638875884180</v>
      </c>
      <c r="X31" s="431"/>
      <c r="Y31" s="432">
        <v>-41.551184974309001453263304660</v>
      </c>
      <c r="Z31" s="430">
        <v>-6.0245867766983078444289619800</v>
      </c>
      <c r="AA31" s="431">
        <v>16.869779986045055945029385350</v>
      </c>
      <c r="AB31" s="432">
        <v>8.283884503053514973190704680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2023</v>
      </c>
      <c r="C34" s="285"/>
      <c r="D34" s="454">
        <v>48.136570827489481065918653576</v>
      </c>
      <c r="E34" s="455"/>
      <c r="F34" s="456">
        <v>75.944810058354186281950107562</v>
      </c>
      <c r="G34" s="454">
        <v>4.896622253389434315100514259</v>
      </c>
      <c r="H34" s="455"/>
      <c r="I34" s="456">
        <v>10.013037803083384665843025819</v>
      </c>
      <c r="J34" s="454">
        <v>1.1247662459093034128097241702</v>
      </c>
      <c r="K34" s="455"/>
      <c r="L34" s="456">
        <v>1.9999999153543052229650249564</v>
      </c>
      <c r="M34" s="454">
        <v>54.157986792893875642823749416</v>
      </c>
      <c r="N34" s="455">
        <v>56.789942945194069631850741296</v>
      </c>
      <c r="O34" s="456">
        <v>87.95784777679187617075815834</v>
      </c>
      <c r="P34" s="5"/>
      <c r="Q34" s="427">
        <v>17.669755621556417239156743070</v>
      </c>
      <c r="R34" s="428"/>
      <c r="S34" s="429">
        <v>12.859355707743928605834328880</v>
      </c>
      <c r="T34" s="427">
        <v>-52.915030035240841056513401400</v>
      </c>
      <c r="U34" s="428"/>
      <c r="V34" s="429">
        <v>35.082154924367382157394028070</v>
      </c>
      <c r="W34" s="427">
        <v>30.780729767598477324605577180</v>
      </c>
      <c r="X34" s="428"/>
      <c r="Y34" s="429">
        <v>8.624060515881460787849731430</v>
      </c>
      <c r="Z34" s="427">
        <v>3.8149372043693094200003185100</v>
      </c>
      <c r="AA34" s="428">
        <v>4.3875308766526935156593953200</v>
      </c>
      <c r="AB34" s="429">
        <v>14.909508852451909052329720830</v>
      </c>
    </row>
    <row r="35" ht="18" customHeight="1">
      <c r="A35" s="58"/>
      <c r="B35" s="286">
        <v>2024</v>
      </c>
      <c r="C35" s="287"/>
      <c r="D35" s="276">
        <v>31.009291725105189340813464236</v>
      </c>
      <c r="E35" s="94"/>
      <c r="F35" s="277">
        <v>73.386176475611657015247804018</v>
      </c>
      <c r="G35" s="276">
        <v>6.0794179523141654978962131837</v>
      </c>
      <c r="H35" s="94"/>
      <c r="I35" s="277">
        <v>8.642921613104383150879455514</v>
      </c>
      <c r="J35" s="276">
        <v>1.1432328190743338008415147265</v>
      </c>
      <c r="K35" s="94"/>
      <c r="L35" s="277">
        <v>0.1937994761069904954127187794</v>
      </c>
      <c r="M35" s="276">
        <v>38.231888733052828424497428705</v>
      </c>
      <c r="N35" s="94">
        <v>46.0061492170581375978677328</v>
      </c>
      <c r="O35" s="277">
        <v>82.22289756482303066153997831</v>
      </c>
      <c r="P35" s="5"/>
      <c r="Q35" s="271">
        <v>-35.580596639863150748628253570</v>
      </c>
      <c r="R35" s="92"/>
      <c r="S35" s="272">
        <v>-3.3690696978777170963909307300</v>
      </c>
      <c r="T35" s="271">
        <v>24.155338878609310244903956710</v>
      </c>
      <c r="U35" s="92"/>
      <c r="V35" s="272">
        <v>-13.683321854347078082894933900</v>
      </c>
      <c r="W35" s="271">
        <v>1.6418143095641594450087085900</v>
      </c>
      <c r="X35" s="92"/>
      <c r="Y35" s="272">
        <v>-90.31002578476456592490519965</v>
      </c>
      <c r="Z35" s="271">
        <v>-29.406739435770625941070405030</v>
      </c>
      <c r="AA35" s="92">
        <v>-18.988914531130604524804397990</v>
      </c>
      <c r="AB35" s="272">
        <v>-6.5201120274450773098921590800</v>
      </c>
    </row>
    <row r="36" ht="18" customHeight="1">
      <c r="A36" s="58"/>
      <c r="B36" s="425">
        <v>2025</v>
      </c>
      <c r="C36" s="426"/>
      <c r="D36" s="457">
        <v>34.625116877045348293595137915</v>
      </c>
      <c r="E36" s="458"/>
      <c r="F36" s="459">
        <v>83.02561427478114889856401899</v>
      </c>
      <c r="G36" s="457">
        <v>3.6846072931276297335203366059</v>
      </c>
      <c r="H36" s="458"/>
      <c r="I36" s="459">
        <v>11.025604523065101705157636184</v>
      </c>
      <c r="J36" s="457">
        <v>1.3253272557269752220663861618</v>
      </c>
      <c r="K36" s="458"/>
      <c r="L36" s="459">
        <v>0.220825962086708087001010707</v>
      </c>
      <c r="M36" s="457">
        <v>39.635116877045348293595137915</v>
      </c>
      <c r="N36" s="458">
        <v>57.387698650674662668665667166</v>
      </c>
      <c r="O36" s="459">
        <v>94.27204475993295869072266588</v>
      </c>
      <c r="P36" s="93"/>
      <c r="Q36" s="430">
        <v>11.660457078478105215467186910</v>
      </c>
      <c r="R36" s="431"/>
      <c r="S36" s="432">
        <v>13.135222820044512424836413190</v>
      </c>
      <c r="T36" s="430">
        <v>-39.392104276468635753540925280</v>
      </c>
      <c r="U36" s="431"/>
      <c r="V36" s="432">
        <v>27.568026376100533526631391540</v>
      </c>
      <c r="W36" s="430">
        <v>15.928027396058089780077252320</v>
      </c>
      <c r="X36" s="431"/>
      <c r="Y36" s="432">
        <v>13.945592903854133278026290290</v>
      </c>
      <c r="Z36" s="430">
        <v>3.6703081915240987877239274800</v>
      </c>
      <c r="AA36" s="431">
        <v>24.739191667326638356319576530</v>
      </c>
      <c r="AB36" s="432">
        <v>14.654247845786517176256167270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972" t="s">
        <v>45</v>
      </c>
      <c r="C38" s="972"/>
      <c r="D38" s="972"/>
      <c r="E38" s="972"/>
      <c r="F38" s="972"/>
      <c r="G38" s="972"/>
      <c r="H38" s="972"/>
      <c r="I38" s="972"/>
      <c r="J38" s="972"/>
      <c r="K38" s="972"/>
      <c r="L38" s="972"/>
      <c r="M38" s="972"/>
      <c r="N38" s="972"/>
      <c r="O38" s="972"/>
      <c r="P38" s="467"/>
      <c r="Q38" s="971"/>
      <c r="R38" s="971"/>
      <c r="S38" s="971"/>
      <c r="T38" s="971"/>
      <c r="U38" s="971"/>
      <c r="V38" s="971"/>
      <c r="W38" s="971"/>
      <c r="X38" s="971"/>
      <c r="Y38" s="971"/>
      <c r="Z38" s="971"/>
      <c r="AA38" s="971"/>
      <c r="AB38" s="971"/>
      <c r="AC38" s="9"/>
    </row>
    <row r="39" ht="18" customHeight="1">
      <c r="A39" s="58"/>
      <c r="B39" s="284">
        <v>2023</v>
      </c>
      <c r="C39" s="285"/>
      <c r="D39" s="454">
        <v>41.119693622035645897775813816</v>
      </c>
      <c r="E39" s="455"/>
      <c r="F39" s="456">
        <v>68.764250861238892510141259434</v>
      </c>
      <c r="G39" s="454">
        <v>6.1141994402710266607747827368</v>
      </c>
      <c r="H39" s="455"/>
      <c r="I39" s="456">
        <v>8.178929726522715881337676035</v>
      </c>
      <c r="J39" s="454">
        <v>1.0864044778317867138017381058</v>
      </c>
      <c r="K39" s="455"/>
      <c r="L39" s="456">
        <v>1.6476397769139421940520805902</v>
      </c>
      <c r="M39" s="454">
        <v>48.32032552658712623361319782</v>
      </c>
      <c r="N39" s="455">
        <v>50.149988085865742927622946518</v>
      </c>
      <c r="O39" s="456">
        <v>78.590820364675550585531016059</v>
      </c>
      <c r="P39" s="5"/>
      <c r="Q39" s="427">
        <v>-7.1248560687068697696360163700</v>
      </c>
      <c r="R39" s="428"/>
      <c r="S39" s="429">
        <v>6.1338010887477452344277958500</v>
      </c>
      <c r="T39" s="427">
        <v>-39.183631608557756198235493220</v>
      </c>
      <c r="U39" s="428"/>
      <c r="V39" s="429">
        <v>18.204112361545970583600651810</v>
      </c>
      <c r="W39" s="427">
        <v>-7.0040725744089122044022959300</v>
      </c>
      <c r="X39" s="428"/>
      <c r="Y39" s="429">
        <v>72.794247086234558411034038270</v>
      </c>
      <c r="Z39" s="427">
        <v>-12.929983114660578908811270790</v>
      </c>
      <c r="AA39" s="428">
        <v>-4.2020831568685197885206116700</v>
      </c>
      <c r="AB39" s="429">
        <v>8.157953116087444882984380870</v>
      </c>
    </row>
    <row r="40" ht="18" customHeight="1">
      <c r="A40" s="58"/>
      <c r="B40" s="286">
        <v>2024</v>
      </c>
      <c r="C40" s="287"/>
      <c r="D40" s="276">
        <v>38.233768141488924143604207063</v>
      </c>
      <c r="E40" s="94"/>
      <c r="F40" s="277">
        <v>70.714918260988188439372484493</v>
      </c>
      <c r="G40" s="276">
        <v>7.6975439214995005581996592044</v>
      </c>
      <c r="H40" s="94"/>
      <c r="I40" s="277">
        <v>8.683991292991003804090168534</v>
      </c>
      <c r="J40" s="276">
        <v>1.1253158234913919736764792291</v>
      </c>
      <c r="K40" s="94"/>
      <c r="L40" s="277">
        <v>0.6581177500931216135870161535</v>
      </c>
      <c r="M40" s="276">
        <v>47.056607908807803043657089136</v>
      </c>
      <c r="N40" s="94">
        <v>45.661165187127738390352700362</v>
      </c>
      <c r="O40" s="277">
        <v>80.05702730407231385704966918</v>
      </c>
      <c r="P40" s="5"/>
      <c r="Q40" s="271">
        <v>-7.0183535583714516626507002300</v>
      </c>
      <c r="R40" s="92"/>
      <c r="S40" s="272">
        <v>2.8367463839976856875257351800</v>
      </c>
      <c r="T40" s="271">
        <v>25.896186355376919126693198730</v>
      </c>
      <c r="U40" s="92"/>
      <c r="V40" s="272">
        <v>6.1751547376007865506651817500</v>
      </c>
      <c r="W40" s="271">
        <v>3.5816628600600539310920749900</v>
      </c>
      <c r="X40" s="92"/>
      <c r="Y40" s="272">
        <v>-60.056939670917845659895214590</v>
      </c>
      <c r="Z40" s="271">
        <v>-2.6152920205318759263768450100</v>
      </c>
      <c r="AA40" s="92">
        <v>-8.950795543726806549955650660</v>
      </c>
      <c r="AB40" s="272">
        <v>1.8656211152503481319213230500</v>
      </c>
    </row>
    <row r="41" ht="18" customHeight="1">
      <c r="A41" s="58"/>
      <c r="B41" s="425">
        <v>2025</v>
      </c>
      <c r="C41" s="426"/>
      <c r="D41" s="457">
        <v>36.372249226690234202386212992</v>
      </c>
      <c r="E41" s="458"/>
      <c r="F41" s="459">
        <v>76.293985531498385407639153896</v>
      </c>
      <c r="G41" s="457">
        <v>4.5467815584032994550007364855</v>
      </c>
      <c r="H41" s="458"/>
      <c r="I41" s="459">
        <v>9.31595366890318076110294422</v>
      </c>
      <c r="J41" s="457">
        <v>1.2026071586389748121961997349</v>
      </c>
      <c r="K41" s="458"/>
      <c r="L41" s="459">
        <v>0.19672756586942232944883839</v>
      </c>
      <c r="M41" s="457">
        <v>42.121657681543673589630284283</v>
      </c>
      <c r="N41" s="458">
        <v>51.193112948092163963680260326</v>
      </c>
      <c r="O41" s="459">
        <v>85.8066667662709884981909365</v>
      </c>
      <c r="P41" s="93"/>
      <c r="Q41" s="430">
        <v>-4.8687822448481638564988811800</v>
      </c>
      <c r="R41" s="431"/>
      <c r="S41" s="432">
        <v>7.8895195069118788974614238700</v>
      </c>
      <c r="T41" s="430">
        <v>-40.932047874339635166176083180</v>
      </c>
      <c r="U41" s="431"/>
      <c r="V41" s="432">
        <v>7.2773262268537002908179242500</v>
      </c>
      <c r="W41" s="430">
        <v>6.868412718003055094888189400</v>
      </c>
      <c r="X41" s="431"/>
      <c r="Y41" s="432">
        <v>-70.107542937486510220044224580</v>
      </c>
      <c r="Z41" s="430">
        <v>-10.487262993585747320588677520</v>
      </c>
      <c r="AA41" s="431">
        <v>12.115213745257264124347066370</v>
      </c>
      <c r="AB41" s="432">
        <v>7.1819297515641445487157210200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sheetData>
  <mergeCells count="22">
    <mergeCell ref="B43:AB43"/>
    <mergeCell ref="B33:O33"/>
    <mergeCell ref="B38:O38"/>
    <mergeCell ref="B8:C8"/>
    <mergeCell ref="Q28:AB28"/>
    <mergeCell ref="Q33:AB33"/>
    <mergeCell ref="Q38:AB38"/>
    <mergeCell ref="B28:O28"/>
    <mergeCell ref="Q7:S7"/>
    <mergeCell ref="T7:V7"/>
    <mergeCell ref="W7:Y7"/>
    <mergeCell ref="Z7:AB7"/>
    <mergeCell ref="D7:F7"/>
    <mergeCell ref="M7:O7"/>
    <mergeCell ref="J7:L7"/>
    <mergeCell ref="G7:I7"/>
    <mergeCell ref="B4:AB4"/>
    <mergeCell ref="B2:AB2"/>
    <mergeCell ref="Q6:AB6"/>
    <mergeCell ref="D6:O6"/>
    <mergeCell ref="B3:Q3"/>
    <mergeCell ref="R3:AB3"/>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7"/>
</worksheet>
</file>

<file path=xl/worksheets/sheet4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pageSetUpPr fitToPage="1"/>
  </sheetPr>
  <dimension ref="A1:AP81"/>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147</v>
      </c>
      <c r="Y1" s="21"/>
      <c r="Z1" s="5"/>
      <c r="AB1" s="685"/>
      <c r="AD1" s="236"/>
    </row>
    <row r="2" ht="15" customHeight="1">
      <c r="A2" s="11"/>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171</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54</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2024</v>
      </c>
      <c r="C9" s="285" t="s">
        <v>180</v>
      </c>
      <c r="D9" s="415"/>
      <c r="E9" s="416"/>
      <c r="F9" s="417"/>
      <c r="G9" s="415"/>
      <c r="H9" s="416"/>
      <c r="I9" s="417"/>
      <c r="J9" s="415"/>
      <c r="K9" s="416"/>
      <c r="L9" s="417"/>
      <c r="M9" s="415">
        <v>107.60552505157780287798093786</v>
      </c>
      <c r="N9" s="416">
        <v>103.52731910040778311410594647</v>
      </c>
      <c r="O9" s="417">
        <v>111.40111528959426558855035514</v>
      </c>
      <c r="P9" s="5"/>
      <c r="Q9" s="415"/>
      <c r="R9" s="416"/>
      <c r="S9" s="417"/>
      <c r="T9" s="415"/>
      <c r="U9" s="416"/>
      <c r="V9" s="417"/>
      <c r="W9" s="415"/>
      <c r="X9" s="416"/>
      <c r="Y9" s="417"/>
      <c r="Z9" s="415">
        <v>17.866758602611602668590921620</v>
      </c>
      <c r="AA9" s="416">
        <v>-2.4813697954161782677847093900</v>
      </c>
      <c r="AB9" s="417">
        <v>14.942048455577334367872185490</v>
      </c>
    </row>
    <row r="10" ht="18.95" customHeight="1">
      <c r="A10" s="58"/>
      <c r="B10" s="286"/>
      <c r="C10" s="287" t="s">
        <v>183</v>
      </c>
      <c r="D10" s="271"/>
      <c r="E10" s="92"/>
      <c r="F10" s="272"/>
      <c r="G10" s="271"/>
      <c r="H10" s="92"/>
      <c r="I10" s="272"/>
      <c r="J10" s="271"/>
      <c r="K10" s="92"/>
      <c r="L10" s="272"/>
      <c r="M10" s="271">
        <v>100.13525928947771813185181003</v>
      </c>
      <c r="N10" s="92">
        <v>106.30087553100777760317866668</v>
      </c>
      <c r="O10" s="272">
        <v>106.44465734005067531866431973</v>
      </c>
      <c r="P10" s="5"/>
      <c r="Q10" s="271"/>
      <c r="R10" s="92"/>
      <c r="S10" s="272"/>
      <c r="T10" s="271"/>
      <c r="U10" s="92"/>
      <c r="V10" s="272"/>
      <c r="W10" s="271"/>
      <c r="X10" s="92"/>
      <c r="Y10" s="272"/>
      <c r="Z10" s="271">
        <v>5.7682907788848321315768788500</v>
      </c>
      <c r="AA10" s="92">
        <v>-2.4616827091058166909916176600</v>
      </c>
      <c r="AB10" s="272">
        <v>3.1646110532395557397300995700</v>
      </c>
    </row>
    <row r="11" ht="18.95" customHeight="1">
      <c r="A11" s="58"/>
      <c r="B11" s="288"/>
      <c r="C11" s="289" t="s">
        <v>185</v>
      </c>
      <c r="D11" s="420"/>
      <c r="E11" s="91"/>
      <c r="F11" s="421"/>
      <c r="G11" s="420"/>
      <c r="H11" s="91"/>
      <c r="I11" s="421"/>
      <c r="J11" s="420"/>
      <c r="K11" s="91"/>
      <c r="L11" s="421"/>
      <c r="M11" s="420">
        <v>84.38656431651857596387885373</v>
      </c>
      <c r="N11" s="91">
        <v>106.11669761069850173182443610</v>
      </c>
      <c r="O11" s="421">
        <v>89.54823527968099345235239925</v>
      </c>
      <c r="P11" s="5"/>
      <c r="Q11" s="420"/>
      <c r="R11" s="91"/>
      <c r="S11" s="421"/>
      <c r="T11" s="420"/>
      <c r="U11" s="91"/>
      <c r="V11" s="421"/>
      <c r="W11" s="420"/>
      <c r="X11" s="91"/>
      <c r="Y11" s="421"/>
      <c r="Z11" s="420">
        <v>-5.5402622455946572221503451700</v>
      </c>
      <c r="AA11" s="91">
        <v>1.2363944970960455323479716500</v>
      </c>
      <c r="AB11" s="421">
        <v>-4.3723672462297624557242437500</v>
      </c>
    </row>
    <row r="12" ht="18.95" customHeight="1">
      <c r="A12" s="58"/>
      <c r="B12" s="286"/>
      <c r="C12" s="287" t="s">
        <v>187</v>
      </c>
      <c r="D12" s="271"/>
      <c r="E12" s="92"/>
      <c r="F12" s="272"/>
      <c r="G12" s="271"/>
      <c r="H12" s="92"/>
      <c r="I12" s="272"/>
      <c r="J12" s="271"/>
      <c r="K12" s="92"/>
      <c r="L12" s="272"/>
      <c r="M12" s="271">
        <v>72.787449583398434405024359510</v>
      </c>
      <c r="N12" s="92">
        <v>100.39440539877991052604244175</v>
      </c>
      <c r="O12" s="272">
        <v>73.074527214145384895890551230</v>
      </c>
      <c r="P12" s="5"/>
      <c r="Q12" s="271"/>
      <c r="R12" s="92"/>
      <c r="S12" s="272"/>
      <c r="T12" s="271"/>
      <c r="U12" s="92"/>
      <c r="V12" s="272"/>
      <c r="W12" s="271"/>
      <c r="X12" s="92"/>
      <c r="Y12" s="272"/>
      <c r="Z12" s="271">
        <v>-19.756771145823843727877410330</v>
      </c>
      <c r="AA12" s="92">
        <v>-3.2246213263753132937014507200</v>
      </c>
      <c r="AB12" s="272">
        <v>-22.344311416392235215524176850</v>
      </c>
    </row>
    <row r="13" ht="18.95" customHeight="1">
      <c r="A13" s="58"/>
      <c r="B13" s="288"/>
      <c r="C13" s="289" t="s">
        <v>188</v>
      </c>
      <c r="D13" s="420"/>
      <c r="E13" s="91"/>
      <c r="F13" s="421"/>
      <c r="G13" s="420"/>
      <c r="H13" s="91"/>
      <c r="I13" s="421"/>
      <c r="J13" s="420"/>
      <c r="K13" s="91"/>
      <c r="L13" s="421"/>
      <c r="M13" s="420">
        <v>83.88154264915334789483183158</v>
      </c>
      <c r="N13" s="91">
        <v>99.62854102711267586451193140</v>
      </c>
      <c r="O13" s="421">
        <v>83.56995713236501272672012399</v>
      </c>
      <c r="P13" s="5"/>
      <c r="Q13" s="420"/>
      <c r="R13" s="91"/>
      <c r="S13" s="421"/>
      <c r="T13" s="420"/>
      <c r="U13" s="91"/>
      <c r="V13" s="421"/>
      <c r="W13" s="420"/>
      <c r="X13" s="91"/>
      <c r="Y13" s="421"/>
      <c r="Z13" s="420">
        <v>-8.094465015581202838007457150</v>
      </c>
      <c r="AA13" s="91">
        <v>-5.4509546454296546659717658800</v>
      </c>
      <c r="AB13" s="421">
        <v>-13.104194044306352753261856430</v>
      </c>
    </row>
    <row r="14" ht="18.95" customHeight="1">
      <c r="A14" s="58"/>
      <c r="B14" s="286"/>
      <c r="C14" s="287" t="s">
        <v>189</v>
      </c>
      <c r="D14" s="271"/>
      <c r="E14" s="92"/>
      <c r="F14" s="272"/>
      <c r="G14" s="271"/>
      <c r="H14" s="92"/>
      <c r="I14" s="272"/>
      <c r="J14" s="271"/>
      <c r="K14" s="92"/>
      <c r="L14" s="272"/>
      <c r="M14" s="271">
        <v>91.78769432336329344220374997</v>
      </c>
      <c r="N14" s="92">
        <v>104.40922894325947715647576677</v>
      </c>
      <c r="O14" s="272">
        <v>95.83482390773500733880587465</v>
      </c>
      <c r="P14" s="5"/>
      <c r="Q14" s="271"/>
      <c r="R14" s="92"/>
      <c r="S14" s="272"/>
      <c r="T14" s="271"/>
      <c r="U14" s="92"/>
      <c r="V14" s="272"/>
      <c r="W14" s="271"/>
      <c r="X14" s="92"/>
      <c r="Y14" s="272"/>
      <c r="Z14" s="271">
        <v>-0.7608558703082730282479864100</v>
      </c>
      <c r="AA14" s="92">
        <v>0.1738718289415256049355368400</v>
      </c>
      <c r="AB14" s="272">
        <v>-0.5883069554580389458040515400</v>
      </c>
    </row>
    <row r="15" ht="18.95" customHeight="1">
      <c r="A15" s="58"/>
      <c r="B15" s="288"/>
      <c r="C15" s="289" t="s">
        <v>190</v>
      </c>
      <c r="D15" s="420"/>
      <c r="E15" s="91"/>
      <c r="F15" s="421"/>
      <c r="G15" s="420"/>
      <c r="H15" s="91"/>
      <c r="I15" s="421"/>
      <c r="J15" s="420"/>
      <c r="K15" s="91"/>
      <c r="L15" s="421"/>
      <c r="M15" s="420">
        <v>136.01564995196135450034955356</v>
      </c>
      <c r="N15" s="91">
        <v>107.87678472259910011055313044</v>
      </c>
      <c r="O15" s="421">
        <v>146.72930988793823367510814297</v>
      </c>
      <c r="P15" s="5"/>
      <c r="Q15" s="420"/>
      <c r="R15" s="91"/>
      <c r="S15" s="421"/>
      <c r="T15" s="420"/>
      <c r="U15" s="91"/>
      <c r="V15" s="421"/>
      <c r="W15" s="420"/>
      <c r="X15" s="91"/>
      <c r="Y15" s="421"/>
      <c r="Z15" s="420">
        <v>-1.7529245473216073461530235800</v>
      </c>
      <c r="AA15" s="91">
        <v>2.3030122453896914569836526700</v>
      </c>
      <c r="AB15" s="421">
        <v>0.5097176313686505395220132200</v>
      </c>
    </row>
    <row r="16" ht="18.95" customHeight="1">
      <c r="A16" s="58"/>
      <c r="B16" s="286"/>
      <c r="C16" s="287" t="s">
        <v>191</v>
      </c>
      <c r="D16" s="271"/>
      <c r="E16" s="92"/>
      <c r="F16" s="272"/>
      <c r="G16" s="271"/>
      <c r="H16" s="92"/>
      <c r="I16" s="272"/>
      <c r="J16" s="271"/>
      <c r="K16" s="92"/>
      <c r="L16" s="272"/>
      <c r="M16" s="271">
        <v>89.34960447788650865156328092</v>
      </c>
      <c r="N16" s="92">
        <v>104.46396345612494343561222743</v>
      </c>
      <c r="O16" s="272">
        <v>93.33813816982838408503442137</v>
      </c>
      <c r="P16" s="5"/>
      <c r="Q16" s="271"/>
      <c r="R16" s="92"/>
      <c r="S16" s="272"/>
      <c r="T16" s="271"/>
      <c r="U16" s="92"/>
      <c r="V16" s="272"/>
      <c r="W16" s="271"/>
      <c r="X16" s="92"/>
      <c r="Y16" s="272"/>
      <c r="Z16" s="271">
        <v>-5.4527700232628636281187772300</v>
      </c>
      <c r="AA16" s="92">
        <v>-2.0740737004496229327312716700</v>
      </c>
      <c r="AB16" s="272">
        <v>-7.4137492547958060138828950400</v>
      </c>
    </row>
    <row r="17" ht="18.95" customHeight="1">
      <c r="A17" s="58"/>
      <c r="B17" s="288"/>
      <c r="C17" s="289" t="s">
        <v>192</v>
      </c>
      <c r="D17" s="420"/>
      <c r="E17" s="91"/>
      <c r="F17" s="421"/>
      <c r="G17" s="420"/>
      <c r="H17" s="91"/>
      <c r="I17" s="421"/>
      <c r="J17" s="420"/>
      <c r="K17" s="91"/>
      <c r="L17" s="421"/>
      <c r="M17" s="420">
        <v>72.375260109358329928289683900</v>
      </c>
      <c r="N17" s="91">
        <v>114.11405919600282500966064430</v>
      </c>
      <c r="O17" s="421">
        <v>82.59034716439105299701165687</v>
      </c>
      <c r="P17" s="5"/>
      <c r="Q17" s="420"/>
      <c r="R17" s="91"/>
      <c r="S17" s="421"/>
      <c r="T17" s="420"/>
      <c r="U17" s="91"/>
      <c r="V17" s="421"/>
      <c r="W17" s="420"/>
      <c r="X17" s="91"/>
      <c r="Y17" s="421"/>
      <c r="Z17" s="420">
        <v>-36.608548032920493557312994530</v>
      </c>
      <c r="AA17" s="91">
        <v>8.881240686984240661358235480</v>
      </c>
      <c r="AB17" s="421">
        <v>-30.978600608781541339658183040</v>
      </c>
    </row>
    <row r="18" ht="18.95" customHeight="1">
      <c r="A18" s="58"/>
      <c r="B18" s="286"/>
      <c r="C18" s="287" t="s">
        <v>194</v>
      </c>
      <c r="D18" s="271"/>
      <c r="E18" s="92"/>
      <c r="F18" s="272"/>
      <c r="G18" s="271"/>
      <c r="H18" s="92"/>
      <c r="I18" s="272"/>
      <c r="J18" s="271"/>
      <c r="K18" s="92"/>
      <c r="L18" s="272"/>
      <c r="M18" s="271">
        <v>60.569051727978486829873578830</v>
      </c>
      <c r="N18" s="92">
        <v>116.22370734493113164472194658</v>
      </c>
      <c r="O18" s="272">
        <v>70.395597421884315460890168550</v>
      </c>
      <c r="P18" s="5"/>
      <c r="Q18" s="271"/>
      <c r="R18" s="92"/>
      <c r="S18" s="272"/>
      <c r="T18" s="271"/>
      <c r="U18" s="92"/>
      <c r="V18" s="272"/>
      <c r="W18" s="271"/>
      <c r="X18" s="92"/>
      <c r="Y18" s="272"/>
      <c r="Z18" s="271">
        <v>-48.160957757860855872270277570</v>
      </c>
      <c r="AA18" s="92">
        <v>6.8299550754143720678439669300</v>
      </c>
      <c r="AB18" s="272">
        <v>-44.620374461148710702030691910</v>
      </c>
    </row>
    <row r="19" ht="18.95" customHeight="1">
      <c r="A19" s="58"/>
      <c r="B19" s="288">
        <v>2025</v>
      </c>
      <c r="C19" s="289" t="s">
        <v>195</v>
      </c>
      <c r="D19" s="420"/>
      <c r="E19" s="91"/>
      <c r="F19" s="421"/>
      <c r="G19" s="420"/>
      <c r="H19" s="91"/>
      <c r="I19" s="421"/>
      <c r="J19" s="420"/>
      <c r="K19" s="91"/>
      <c r="L19" s="421"/>
      <c r="M19" s="420">
        <v>62.817515973252476797571061040</v>
      </c>
      <c r="N19" s="91">
        <v>111.52521571727259231091184366</v>
      </c>
      <c r="O19" s="421">
        <v>70.057370197374693527902924210</v>
      </c>
      <c r="P19" s="5"/>
      <c r="Q19" s="420"/>
      <c r="R19" s="91"/>
      <c r="S19" s="421"/>
      <c r="T19" s="420"/>
      <c r="U19" s="91"/>
      <c r="V19" s="421"/>
      <c r="W19" s="420"/>
      <c r="X19" s="91"/>
      <c r="Y19" s="421"/>
      <c r="Z19" s="420">
        <v>-38.130182779604595089904765720</v>
      </c>
      <c r="AA19" s="91">
        <v>7.8206743236133284055491272200</v>
      </c>
      <c r="AB19" s="421">
        <v>-33.291545870279822346014659320</v>
      </c>
    </row>
    <row r="20" ht="18.95" customHeight="1">
      <c r="A20" s="58"/>
      <c r="B20" s="286"/>
      <c r="C20" s="287" t="s">
        <v>196</v>
      </c>
      <c r="D20" s="271"/>
      <c r="E20" s="92"/>
      <c r="F20" s="272"/>
      <c r="G20" s="271"/>
      <c r="H20" s="92"/>
      <c r="I20" s="272"/>
      <c r="J20" s="271"/>
      <c r="K20" s="92"/>
      <c r="L20" s="272"/>
      <c r="M20" s="271">
        <v>74.339272703228158215396961390</v>
      </c>
      <c r="N20" s="92">
        <v>110.11950321062698323868326749</v>
      </c>
      <c r="O20" s="272">
        <v>81.86203779121990231860708330</v>
      </c>
      <c r="P20" s="5"/>
      <c r="Q20" s="271"/>
      <c r="R20" s="92"/>
      <c r="S20" s="272"/>
      <c r="T20" s="271"/>
      <c r="U20" s="92"/>
      <c r="V20" s="272"/>
      <c r="W20" s="271"/>
      <c r="X20" s="92"/>
      <c r="Y20" s="272"/>
      <c r="Z20" s="271">
        <v>-20.008133775342543852494939790</v>
      </c>
      <c r="AA20" s="92">
        <v>6.4413234640404019790506214300</v>
      </c>
      <c r="AB20" s="272">
        <v>-14.855598927025859045989815420</v>
      </c>
    </row>
    <row r="21" ht="18.95" customHeight="1">
      <c r="A21" s="58"/>
      <c r="B21" s="288"/>
      <c r="C21" s="289" t="s">
        <v>180</v>
      </c>
      <c r="D21" s="420"/>
      <c r="E21" s="91"/>
      <c r="F21" s="421"/>
      <c r="G21" s="420"/>
      <c r="H21" s="91"/>
      <c r="I21" s="421"/>
      <c r="J21" s="420"/>
      <c r="K21" s="91"/>
      <c r="L21" s="421"/>
      <c r="M21" s="420">
        <v>81.40329023662631457528303867</v>
      </c>
      <c r="N21" s="91">
        <v>116.63964538805668660581891897</v>
      </c>
      <c r="O21" s="421">
        <v>94.94850906629465869010139548</v>
      </c>
      <c r="P21" s="5"/>
      <c r="Q21" s="420"/>
      <c r="R21" s="91"/>
      <c r="S21" s="421"/>
      <c r="T21" s="420"/>
      <c r="U21" s="91"/>
      <c r="V21" s="421"/>
      <c r="W21" s="420"/>
      <c r="X21" s="91"/>
      <c r="Y21" s="421"/>
      <c r="Z21" s="420">
        <v>-24.350269005619317983734936710</v>
      </c>
      <c r="AA21" s="91">
        <v>12.665571176377563824226767520</v>
      </c>
      <c r="AB21" s="421">
        <v>-14.768798481536653297741639810</v>
      </c>
    </row>
    <row r="22" ht="18.95" customHeight="1">
      <c r="A22" s="58"/>
      <c r="B22" s="286"/>
      <c r="C22" s="287" t="s">
        <v>183</v>
      </c>
      <c r="D22" s="271"/>
      <c r="E22" s="92"/>
      <c r="F22" s="272"/>
      <c r="G22" s="271"/>
      <c r="H22" s="92"/>
      <c r="I22" s="272"/>
      <c r="J22" s="271"/>
      <c r="K22" s="92"/>
      <c r="L22" s="272"/>
      <c r="M22" s="271">
        <v>67.728464006719341035257824780</v>
      </c>
      <c r="N22" s="92">
        <v>107.93273985462615806001349258</v>
      </c>
      <c r="O22" s="272">
        <v>73.101186863823067253764985430</v>
      </c>
      <c r="P22" s="5"/>
      <c r="Q22" s="271"/>
      <c r="R22" s="92"/>
      <c r="S22" s="272"/>
      <c r="T22" s="271"/>
      <c r="U22" s="92"/>
      <c r="V22" s="272"/>
      <c r="W22" s="271"/>
      <c r="X22" s="92"/>
      <c r="Y22" s="272"/>
      <c r="Z22" s="271">
        <v>-32.363021290122904989776243820</v>
      </c>
      <c r="AA22" s="92">
        <v>1.5351372370872575894414366600</v>
      </c>
      <c r="AB22" s="272">
        <v>-31.324700844065498915148228400</v>
      </c>
    </row>
    <row r="23" ht="18.95" customHeight="1">
      <c r="A23" s="58"/>
      <c r="B23" s="288"/>
      <c r="C23" s="289" t="s">
        <v>185</v>
      </c>
      <c r="D23" s="420"/>
      <c r="E23" s="91"/>
      <c r="F23" s="421"/>
      <c r="G23" s="420"/>
      <c r="H23" s="91"/>
      <c r="I23" s="421"/>
      <c r="J23" s="420"/>
      <c r="K23" s="91"/>
      <c r="L23" s="421"/>
      <c r="M23" s="420">
        <v>75.681088518509270174423000910</v>
      </c>
      <c r="N23" s="91">
        <v>105.85798876394502086102308775</v>
      </c>
      <c r="O23" s="421">
        <v>80.11447818032084266395365860</v>
      </c>
      <c r="P23" s="5"/>
      <c r="Q23" s="420"/>
      <c r="R23" s="91"/>
      <c r="S23" s="421"/>
      <c r="T23" s="420"/>
      <c r="U23" s="91"/>
      <c r="V23" s="421"/>
      <c r="W23" s="420"/>
      <c r="X23" s="91"/>
      <c r="Y23" s="421"/>
      <c r="Z23" s="420">
        <v>-10.316187023967462278378796150</v>
      </c>
      <c r="AA23" s="91">
        <v>-0.2437965490634462678822785900</v>
      </c>
      <c r="AB23" s="421">
        <v>-10.534833065010415060902328760</v>
      </c>
    </row>
    <row r="24" ht="18.95" customHeight="1">
      <c r="A24" s="59"/>
      <c r="B24" s="286"/>
      <c r="C24" s="287" t="s">
        <v>187</v>
      </c>
      <c r="D24" s="271"/>
      <c r="E24" s="92"/>
      <c r="F24" s="272"/>
      <c r="G24" s="271"/>
      <c r="H24" s="92"/>
      <c r="I24" s="272"/>
      <c r="J24" s="271"/>
      <c r="K24" s="92"/>
      <c r="L24" s="272"/>
      <c r="M24" s="271">
        <v>72.269140246498012382388830650</v>
      </c>
      <c r="N24" s="92">
        <v>96.34012367597630109619080366</v>
      </c>
      <c r="O24" s="272">
        <v>69.624179093028002887849018270</v>
      </c>
      <c r="P24" s="93"/>
      <c r="Q24" s="271"/>
      <c r="R24" s="92"/>
      <c r="S24" s="272"/>
      <c r="T24" s="271"/>
      <c r="U24" s="92"/>
      <c r="V24" s="272"/>
      <c r="W24" s="271"/>
      <c r="X24" s="92"/>
      <c r="Y24" s="272"/>
      <c r="Z24" s="271">
        <v>-0.7120861355474583301130631100</v>
      </c>
      <c r="AA24" s="92">
        <v>-4.0383542356954475818206715600</v>
      </c>
      <c r="AB24" s="272">
        <v>-4.7216838105060496304786611500</v>
      </c>
    </row>
    <row r="25" ht="18.95" customHeight="1">
      <c r="A25" s="60"/>
      <c r="B25" s="288"/>
      <c r="C25" s="289" t="s">
        <v>188</v>
      </c>
      <c r="D25" s="420"/>
      <c r="E25" s="91"/>
      <c r="F25" s="421"/>
      <c r="G25" s="420"/>
      <c r="H25" s="91"/>
      <c r="I25" s="421"/>
      <c r="J25" s="420"/>
      <c r="K25" s="91"/>
      <c r="L25" s="421"/>
      <c r="M25" s="420">
        <v>68.729427254797279664753575430</v>
      </c>
      <c r="N25" s="91">
        <v>95.50890922588170362161374996</v>
      </c>
      <c r="O25" s="421">
        <v>65.642726288160412429951968580</v>
      </c>
      <c r="P25" s="93"/>
      <c r="Q25" s="420"/>
      <c r="R25" s="91"/>
      <c r="S25" s="421"/>
      <c r="T25" s="420"/>
      <c r="U25" s="91"/>
      <c r="V25" s="421"/>
      <c r="W25" s="420"/>
      <c r="X25" s="91"/>
      <c r="Y25" s="421"/>
      <c r="Z25" s="420">
        <v>-18.063706169270397871730829160</v>
      </c>
      <c r="AA25" s="91">
        <v>-4.1349915985397333633360969300</v>
      </c>
      <c r="AB25" s="421">
        <v>-21.451765035415120128826214870</v>
      </c>
    </row>
    <row r="26" ht="18.95" customHeight="1">
      <c r="A26" s="60"/>
      <c r="B26" s="290"/>
      <c r="C26" s="291" t="s">
        <v>189</v>
      </c>
      <c r="D26" s="273"/>
      <c r="E26" s="274"/>
      <c r="F26" s="275"/>
      <c r="G26" s="273"/>
      <c r="H26" s="274"/>
      <c r="I26" s="275"/>
      <c r="J26" s="273"/>
      <c r="K26" s="274"/>
      <c r="L26" s="275"/>
      <c r="M26" s="273">
        <v>66.629681749265291578949342570</v>
      </c>
      <c r="N26" s="274">
        <v>107.93686123141033072627855331</v>
      </c>
      <c r="O26" s="275">
        <v>71.917987128624013593218051080</v>
      </c>
      <c r="P26" s="184"/>
      <c r="Q26" s="273"/>
      <c r="R26" s="274"/>
      <c r="S26" s="275"/>
      <c r="T26" s="273"/>
      <c r="U26" s="274"/>
      <c r="V26" s="275"/>
      <c r="W26" s="273"/>
      <c r="X26" s="274"/>
      <c r="Y26" s="275"/>
      <c r="Z26" s="273">
        <v>-27.40891658689483165252280100</v>
      </c>
      <c r="AA26" s="274">
        <v>3.3786594574183002909012282600</v>
      </c>
      <c r="AB26" s="275">
        <v>-24.956311081774054841755019590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2023</v>
      </c>
      <c r="C29" s="285"/>
      <c r="D29" s="427"/>
      <c r="E29" s="428"/>
      <c r="F29" s="429"/>
      <c r="G29" s="427"/>
      <c r="H29" s="428"/>
      <c r="I29" s="429"/>
      <c r="J29" s="427"/>
      <c r="K29" s="428"/>
      <c r="L29" s="429"/>
      <c r="M29" s="427">
        <v>91.83357150211347792633407812</v>
      </c>
      <c r="N29" s="428">
        <v>105.18160522495228830525592094</v>
      </c>
      <c r="O29" s="429">
        <v>96.59202464136809956395700842</v>
      </c>
      <c r="P29" s="5"/>
      <c r="Q29" s="427"/>
      <c r="R29" s="428"/>
      <c r="S29" s="429"/>
      <c r="T29" s="427"/>
      <c r="U29" s="428"/>
      <c r="V29" s="429"/>
      <c r="W29" s="427"/>
      <c r="X29" s="428"/>
      <c r="Y29" s="429"/>
      <c r="Z29" s="427">
        <v>-1.6066485506989773211719616700</v>
      </c>
      <c r="AA29" s="428">
        <v>-5.6717218313147195675653682900</v>
      </c>
      <c r="AB29" s="429">
        <v>-7.187245745454941405348885300</v>
      </c>
    </row>
    <row r="30" ht="18.95" customHeight="1">
      <c r="A30" s="58"/>
      <c r="B30" s="286">
        <v>2024</v>
      </c>
      <c r="C30" s="287"/>
      <c r="D30" s="271"/>
      <c r="E30" s="92"/>
      <c r="F30" s="272"/>
      <c r="G30" s="271"/>
      <c r="H30" s="92"/>
      <c r="I30" s="272"/>
      <c r="J30" s="271"/>
      <c r="K30" s="92"/>
      <c r="L30" s="272"/>
      <c r="M30" s="271">
        <v>91.35430498089847539212178778</v>
      </c>
      <c r="N30" s="92">
        <v>103.49012892025658321132354859</v>
      </c>
      <c r="O30" s="272">
        <v>94.54268799898203823726235712</v>
      </c>
      <c r="P30" s="5"/>
      <c r="Q30" s="271"/>
      <c r="R30" s="92"/>
      <c r="S30" s="272"/>
      <c r="T30" s="271"/>
      <c r="U30" s="92"/>
      <c r="V30" s="272"/>
      <c r="W30" s="271"/>
      <c r="X30" s="92"/>
      <c r="Y30" s="272"/>
      <c r="Z30" s="271">
        <v>-0.5218859654070679398597317900</v>
      </c>
      <c r="AA30" s="92">
        <v>-1.6081484030644739465435852900</v>
      </c>
      <c r="AB30" s="272">
        <v>-2.1216416676492378981886030300</v>
      </c>
    </row>
    <row r="31" ht="18.95" customHeight="1">
      <c r="A31" s="58"/>
      <c r="B31" s="425">
        <v>2025</v>
      </c>
      <c r="C31" s="426"/>
      <c r="D31" s="430"/>
      <c r="E31" s="431"/>
      <c r="F31" s="432"/>
      <c r="G31" s="430"/>
      <c r="H31" s="431"/>
      <c r="I31" s="432"/>
      <c r="J31" s="430"/>
      <c r="K31" s="431"/>
      <c r="L31" s="432"/>
      <c r="M31" s="430">
        <v>71.431883653376486014932337390</v>
      </c>
      <c r="N31" s="431">
        <v>106.42602971024318160592459478</v>
      </c>
      <c r="O31" s="432">
        <v>76.022117719529735055147334400</v>
      </c>
      <c r="P31" s="184"/>
      <c r="Q31" s="430"/>
      <c r="R31" s="431"/>
      <c r="S31" s="432"/>
      <c r="T31" s="430"/>
      <c r="U31" s="431"/>
      <c r="V31" s="432"/>
      <c r="W31" s="430"/>
      <c r="X31" s="431"/>
      <c r="Y31" s="432"/>
      <c r="Z31" s="430">
        <v>-21.807862619817222347050587360</v>
      </c>
      <c r="AA31" s="431">
        <v>2.8368896826905904069643157300</v>
      </c>
      <c r="AB31" s="432">
        <v>-19.589637941821752861808713470</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2023</v>
      </c>
      <c r="C34" s="285"/>
      <c r="D34" s="427"/>
      <c r="E34" s="428"/>
      <c r="F34" s="429"/>
      <c r="G34" s="427"/>
      <c r="H34" s="428"/>
      <c r="I34" s="429"/>
      <c r="J34" s="427"/>
      <c r="K34" s="428"/>
      <c r="L34" s="429"/>
      <c r="M34" s="427">
        <v>91.35918397400838024140586926</v>
      </c>
      <c r="N34" s="428">
        <v>104.38518563192062904905928335</v>
      </c>
      <c r="O34" s="429">
        <v>95.36545378317098208040365104</v>
      </c>
      <c r="P34" s="5"/>
      <c r="Q34" s="427"/>
      <c r="R34" s="428"/>
      <c r="S34" s="429"/>
      <c r="T34" s="427"/>
      <c r="U34" s="428"/>
      <c r="V34" s="429"/>
      <c r="W34" s="427"/>
      <c r="X34" s="428"/>
      <c r="Y34" s="429"/>
      <c r="Z34" s="427">
        <v>6.797201913202443826179232900</v>
      </c>
      <c r="AA34" s="428">
        <v>-6.878203424280008358252065900</v>
      </c>
      <c r="AB34" s="429">
        <v>-0.5485268857629388877211294300</v>
      </c>
    </row>
    <row r="35" ht="18.95" customHeight="1">
      <c r="A35" s="58"/>
      <c r="B35" s="286">
        <v>2024</v>
      </c>
      <c r="C35" s="287"/>
      <c r="D35" s="271"/>
      <c r="E35" s="92"/>
      <c r="F35" s="272"/>
      <c r="G35" s="271"/>
      <c r="H35" s="92"/>
      <c r="I35" s="272"/>
      <c r="J35" s="271"/>
      <c r="K35" s="92"/>
      <c r="L35" s="272"/>
      <c r="M35" s="271">
        <v>82.14934793541758008335284730</v>
      </c>
      <c r="N35" s="92">
        <v>101.15928459765677307778962784</v>
      </c>
      <c r="O35" s="272">
        <v>83.10169267294911737021260983</v>
      </c>
      <c r="P35" s="5"/>
      <c r="Q35" s="271"/>
      <c r="R35" s="92"/>
      <c r="S35" s="272"/>
      <c r="T35" s="271"/>
      <c r="U35" s="92"/>
      <c r="V35" s="272"/>
      <c r="W35" s="271"/>
      <c r="X35" s="92"/>
      <c r="Y35" s="272"/>
      <c r="Z35" s="271">
        <v>-10.080908823795379138712481580</v>
      </c>
      <c r="AA35" s="92">
        <v>-3.0903820448419982019994365300</v>
      </c>
      <c r="AB35" s="272">
        <v>-12.859752272694916921372775150</v>
      </c>
    </row>
    <row r="36" ht="18.95" customHeight="1">
      <c r="A36" s="58"/>
      <c r="B36" s="425">
        <v>2025</v>
      </c>
      <c r="C36" s="426"/>
      <c r="D36" s="430"/>
      <c r="E36" s="431"/>
      <c r="F36" s="432"/>
      <c r="G36" s="430"/>
      <c r="H36" s="431"/>
      <c r="I36" s="432"/>
      <c r="J36" s="430"/>
      <c r="K36" s="431"/>
      <c r="L36" s="432"/>
      <c r="M36" s="430">
        <v>69.148374677877220187835216290</v>
      </c>
      <c r="N36" s="431">
        <v>99.88018947344228022670676455</v>
      </c>
      <c r="O36" s="432">
        <v>69.065527646074878104687011640</v>
      </c>
      <c r="P36" s="184"/>
      <c r="Q36" s="430"/>
      <c r="R36" s="431"/>
      <c r="S36" s="432"/>
      <c r="T36" s="430"/>
      <c r="U36" s="431"/>
      <c r="V36" s="432"/>
      <c r="W36" s="430"/>
      <c r="X36" s="431"/>
      <c r="Y36" s="432"/>
      <c r="Z36" s="430">
        <v>-15.826021245775912350437672480</v>
      </c>
      <c r="AA36" s="431">
        <v>-1.2644367042971375634778556100</v>
      </c>
      <c r="AB36" s="432">
        <v>-16.890347928379088460978751320</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2023</v>
      </c>
      <c r="C39" s="285"/>
      <c r="D39" s="427"/>
      <c r="E39" s="428"/>
      <c r="F39" s="429"/>
      <c r="G39" s="427"/>
      <c r="H39" s="428"/>
      <c r="I39" s="429"/>
      <c r="J39" s="427"/>
      <c r="K39" s="428"/>
      <c r="L39" s="429"/>
      <c r="M39" s="427">
        <v>90.78004707585637397334197826</v>
      </c>
      <c r="N39" s="428">
        <v>106.13744127509533218637405391</v>
      </c>
      <c r="O39" s="429">
        <v>96.35161915456706665580874628</v>
      </c>
      <c r="P39" s="5"/>
      <c r="Q39" s="427"/>
      <c r="R39" s="428"/>
      <c r="S39" s="429"/>
      <c r="T39" s="427"/>
      <c r="U39" s="428"/>
      <c r="V39" s="429"/>
      <c r="W39" s="427"/>
      <c r="X39" s="428"/>
      <c r="Y39" s="429"/>
      <c r="Z39" s="427">
        <v>-1.3962419234128799325763867300</v>
      </c>
      <c r="AA39" s="428">
        <v>-7.823737240867256427503562500</v>
      </c>
      <c r="AB39" s="429">
        <v>-9.110740865138520168761621100</v>
      </c>
    </row>
    <row r="40" ht="18.95" customHeight="1">
      <c r="A40" s="58"/>
      <c r="B40" s="286">
        <v>2024</v>
      </c>
      <c r="C40" s="287"/>
      <c r="D40" s="271"/>
      <c r="E40" s="92"/>
      <c r="F40" s="272"/>
      <c r="G40" s="271"/>
      <c r="H40" s="92"/>
      <c r="I40" s="272"/>
      <c r="J40" s="271"/>
      <c r="K40" s="92"/>
      <c r="L40" s="272"/>
      <c r="M40" s="271">
        <v>98.91114332028051396749109807</v>
      </c>
      <c r="N40" s="92">
        <v>104.19056811707557343878122338</v>
      </c>
      <c r="O40" s="272">
        <v>103.05608215644492059926338431</v>
      </c>
      <c r="P40" s="5"/>
      <c r="Q40" s="271"/>
      <c r="R40" s="92"/>
      <c r="S40" s="272"/>
      <c r="T40" s="271"/>
      <c r="U40" s="92"/>
      <c r="V40" s="272"/>
      <c r="W40" s="271"/>
      <c r="X40" s="92"/>
      <c r="Y40" s="272"/>
      <c r="Z40" s="271">
        <v>8.956920057093836538944374130</v>
      </c>
      <c r="AA40" s="92">
        <v>-1.8342944154629492379415886500</v>
      </c>
      <c r="AB40" s="272">
        <v>6.9583293572756088435994967900</v>
      </c>
    </row>
    <row r="41" ht="18.95" customHeight="1">
      <c r="A41" s="58"/>
      <c r="B41" s="425">
        <v>2025</v>
      </c>
      <c r="C41" s="426"/>
      <c r="D41" s="430"/>
      <c r="E41" s="431"/>
      <c r="F41" s="432"/>
      <c r="G41" s="430"/>
      <c r="H41" s="431"/>
      <c r="I41" s="432"/>
      <c r="J41" s="430"/>
      <c r="K41" s="431"/>
      <c r="L41" s="432"/>
      <c r="M41" s="430">
        <v>76.318876353488666727264688140</v>
      </c>
      <c r="N41" s="431">
        <v>107.81072034704310744546994843</v>
      </c>
      <c r="O41" s="432">
        <v>82.27993035752085919288325014</v>
      </c>
      <c r="P41" s="184"/>
      <c r="Q41" s="430"/>
      <c r="R41" s="431"/>
      <c r="S41" s="432"/>
      <c r="T41" s="430"/>
      <c r="U41" s="431"/>
      <c r="V41" s="432"/>
      <c r="W41" s="430"/>
      <c r="X41" s="431"/>
      <c r="Y41" s="432"/>
      <c r="Z41" s="430">
        <v>-22.840972420722808358569020570</v>
      </c>
      <c r="AA41" s="431">
        <v>3.474548891867458379815296400</v>
      </c>
      <c r="AB41" s="432">
        <v>-20.160044282829257518999985950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466" customFormat="1">
      <c r="A46"/>
    </row>
    <row r="47" s="466" customFormat="1"/>
    <row r="48" s="466" customFormat="1"/>
    <row r="49" s="466" customFormat="1"/>
    <row r="50" s="466" customFormat="1"/>
    <row r="51" s="466" customFormat="1"/>
    <row r="52" s="466" customFormat="1"/>
    <row r="53" s="466" customFormat="1"/>
    <row r="54" s="466" customFormat="1"/>
    <row r="55" s="466" customFormat="1"/>
    <row r="56" s="466" customFormat="1"/>
    <row r="57" s="466" customFormat="1"/>
    <row r="58" s="466" customFormat="1"/>
    <row r="59" s="466" customFormat="1"/>
    <row r="60" s="466" customFormat="1"/>
    <row r="61" s="466" customFormat="1"/>
    <row r="62" s="466" customFormat="1"/>
    <row r="63" s="466" customFormat="1"/>
    <row r="64" s="466" customFormat="1"/>
    <row r="65" s="466" customFormat="1"/>
    <row r="66" s="466" customFormat="1"/>
    <row r="67" s="466" customFormat="1"/>
    <row r="68" s="466" customFormat="1"/>
    <row r="69" s="466" customFormat="1"/>
    <row r="70" s="466" customFormat="1"/>
    <row r="71" s="466" customFormat="1"/>
    <row r="72" s="466" customFormat="1"/>
    <row r="73" s="466" customFormat="1"/>
    <row r="74" s="466" customFormat="1"/>
    <row r="75" s="466" customFormat="1"/>
    <row r="76" s="466" customFormat="1"/>
    <row r="77" s="466" customFormat="1"/>
    <row r="78" s="466" customFormat="1"/>
    <row r="79" s="466" customFormat="1"/>
    <row r="80" s="466" customFormat="1"/>
    <row r="81" s="466" customFormat="1"/>
  </sheetData>
  <mergeCells count="21">
    <mergeCell ref="B3:AB3"/>
    <mergeCell ref="Q33:AB33"/>
    <mergeCell ref="B8:C8"/>
    <mergeCell ref="B2:AB2"/>
    <mergeCell ref="Q6:AB6"/>
    <mergeCell ref="D6:O6"/>
    <mergeCell ref="B4:AB4"/>
    <mergeCell ref="T7:V7"/>
    <mergeCell ref="M7:O7"/>
    <mergeCell ref="G7:I7"/>
    <mergeCell ref="D7:F7"/>
    <mergeCell ref="Q7:S7"/>
    <mergeCell ref="J7:L7"/>
    <mergeCell ref="B43:AB43"/>
    <mergeCell ref="B33:O33"/>
    <mergeCell ref="W7:Y7"/>
    <mergeCell ref="Q38:AB38"/>
    <mergeCell ref="B28:O28"/>
    <mergeCell ref="Z7:AB7"/>
    <mergeCell ref="B38:O38"/>
    <mergeCell ref="Q28:AB28"/>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1"/>
</worksheet>
</file>

<file path=xl/worksheets/sheet5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4">
    <pageSetUpPr fitToPage="1"/>
  </sheetPr>
  <dimension ref="A1:AP78"/>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149</v>
      </c>
      <c r="Z1" s="5"/>
      <c r="AB1" s="685"/>
      <c r="AD1" s="236"/>
    </row>
    <row r="2" ht="15" customHeight="1">
      <c r="A2" s="11"/>
      <c r="B2" s="999" t="s">
        <v>170</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171</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172</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77</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2024</v>
      </c>
      <c r="C9" s="285" t="s">
        <v>180</v>
      </c>
      <c r="D9" s="415"/>
      <c r="E9" s="416"/>
      <c r="F9" s="417"/>
      <c r="G9" s="415"/>
      <c r="H9" s="416"/>
      <c r="I9" s="417"/>
      <c r="J9" s="415"/>
      <c r="K9" s="416"/>
      <c r="L9" s="417"/>
      <c r="M9" s="415" t="s">
        <v>181</v>
      </c>
      <c r="N9" s="416" t="s">
        <v>182</v>
      </c>
      <c r="O9" s="417" t="s">
        <v>182</v>
      </c>
      <c r="P9" s="5"/>
      <c r="Q9" s="415"/>
      <c r="R9" s="416"/>
      <c r="S9" s="417"/>
      <c r="T9" s="415"/>
      <c r="U9" s="416"/>
      <c r="V9" s="417"/>
      <c r="W9" s="415"/>
      <c r="X9" s="416"/>
      <c r="Y9" s="417"/>
      <c r="Z9" s="415" t="s">
        <v>182</v>
      </c>
      <c r="AA9" s="416" t="s">
        <v>186</v>
      </c>
      <c r="AB9" s="417" t="s">
        <v>182</v>
      </c>
    </row>
    <row r="10" ht="18.95" customHeight="1">
      <c r="A10" s="58"/>
      <c r="B10" s="286"/>
      <c r="C10" s="287" t="s">
        <v>183</v>
      </c>
      <c r="D10" s="271"/>
      <c r="E10" s="92"/>
      <c r="F10" s="272"/>
      <c r="G10" s="271"/>
      <c r="H10" s="92"/>
      <c r="I10" s="272"/>
      <c r="J10" s="271"/>
      <c r="K10" s="92"/>
      <c r="L10" s="272"/>
      <c r="M10" s="271" t="s">
        <v>184</v>
      </c>
      <c r="N10" s="92" t="s">
        <v>182</v>
      </c>
      <c r="O10" s="272" t="s">
        <v>181</v>
      </c>
      <c r="P10" s="5"/>
      <c r="Q10" s="271"/>
      <c r="R10" s="92"/>
      <c r="S10" s="272"/>
      <c r="T10" s="271"/>
      <c r="U10" s="92"/>
      <c r="V10" s="272"/>
      <c r="W10" s="271"/>
      <c r="X10" s="92"/>
      <c r="Y10" s="272"/>
      <c r="Z10" s="271" t="s">
        <v>181</v>
      </c>
      <c r="AA10" s="92" t="s">
        <v>186</v>
      </c>
      <c r="AB10" s="272" t="s">
        <v>181</v>
      </c>
    </row>
    <row r="11" ht="18.95" customHeight="1">
      <c r="A11" s="58"/>
      <c r="B11" s="288"/>
      <c r="C11" s="289" t="s">
        <v>185</v>
      </c>
      <c r="D11" s="420"/>
      <c r="E11" s="91"/>
      <c r="F11" s="421"/>
      <c r="G11" s="420"/>
      <c r="H11" s="91"/>
      <c r="I11" s="421"/>
      <c r="J11" s="420"/>
      <c r="K11" s="91"/>
      <c r="L11" s="421"/>
      <c r="M11" s="420" t="s">
        <v>186</v>
      </c>
      <c r="N11" s="91" t="s">
        <v>182</v>
      </c>
      <c r="O11" s="421" t="s">
        <v>186</v>
      </c>
      <c r="P11" s="5"/>
      <c r="Q11" s="420"/>
      <c r="R11" s="91"/>
      <c r="S11" s="421"/>
      <c r="T11" s="420"/>
      <c r="U11" s="91"/>
      <c r="V11" s="421"/>
      <c r="W11" s="420"/>
      <c r="X11" s="91"/>
      <c r="Y11" s="421"/>
      <c r="Z11" s="420" t="s">
        <v>186</v>
      </c>
      <c r="AA11" s="91" t="s">
        <v>182</v>
      </c>
      <c r="AB11" s="421" t="s">
        <v>181</v>
      </c>
    </row>
    <row r="12" ht="18.95" customHeight="1">
      <c r="A12" s="58"/>
      <c r="B12" s="286"/>
      <c r="C12" s="287" t="s">
        <v>187</v>
      </c>
      <c r="D12" s="271"/>
      <c r="E12" s="92"/>
      <c r="F12" s="272"/>
      <c r="G12" s="271"/>
      <c r="H12" s="92"/>
      <c r="I12" s="272"/>
      <c r="J12" s="271"/>
      <c r="K12" s="92"/>
      <c r="L12" s="272"/>
      <c r="M12" s="271" t="s">
        <v>186</v>
      </c>
      <c r="N12" s="92" t="s">
        <v>181</v>
      </c>
      <c r="O12" s="272" t="s">
        <v>186</v>
      </c>
      <c r="P12" s="5"/>
      <c r="Q12" s="271"/>
      <c r="R12" s="92"/>
      <c r="S12" s="272"/>
      <c r="T12" s="271"/>
      <c r="U12" s="92"/>
      <c r="V12" s="272"/>
      <c r="W12" s="271"/>
      <c r="X12" s="92"/>
      <c r="Y12" s="272"/>
      <c r="Z12" s="271" t="s">
        <v>186</v>
      </c>
      <c r="AA12" s="92" t="s">
        <v>186</v>
      </c>
      <c r="AB12" s="272" t="s">
        <v>186</v>
      </c>
    </row>
    <row r="13" ht="18.95" customHeight="1">
      <c r="A13" s="58"/>
      <c r="B13" s="288"/>
      <c r="C13" s="289" t="s">
        <v>188</v>
      </c>
      <c r="D13" s="420"/>
      <c r="E13" s="91"/>
      <c r="F13" s="421"/>
      <c r="G13" s="420"/>
      <c r="H13" s="91"/>
      <c r="I13" s="421"/>
      <c r="J13" s="420"/>
      <c r="K13" s="91"/>
      <c r="L13" s="421"/>
      <c r="M13" s="420" t="s">
        <v>186</v>
      </c>
      <c r="N13" s="91" t="s">
        <v>182</v>
      </c>
      <c r="O13" s="421" t="s">
        <v>186</v>
      </c>
      <c r="P13" s="5"/>
      <c r="Q13" s="420"/>
      <c r="R13" s="91"/>
      <c r="S13" s="421"/>
      <c r="T13" s="420"/>
      <c r="U13" s="91"/>
      <c r="V13" s="421"/>
      <c r="W13" s="420"/>
      <c r="X13" s="91"/>
      <c r="Y13" s="421"/>
      <c r="Z13" s="420" t="s">
        <v>184</v>
      </c>
      <c r="AA13" s="91" t="s">
        <v>181</v>
      </c>
      <c r="AB13" s="421" t="s">
        <v>184</v>
      </c>
    </row>
    <row r="14" ht="18.95" customHeight="1">
      <c r="A14" s="58"/>
      <c r="B14" s="286"/>
      <c r="C14" s="287" t="s">
        <v>189</v>
      </c>
      <c r="D14" s="271"/>
      <c r="E14" s="92"/>
      <c r="F14" s="272"/>
      <c r="G14" s="271"/>
      <c r="H14" s="92"/>
      <c r="I14" s="272"/>
      <c r="J14" s="271"/>
      <c r="K14" s="92"/>
      <c r="L14" s="272"/>
      <c r="M14" s="271" t="s">
        <v>181</v>
      </c>
      <c r="N14" s="92" t="s">
        <v>182</v>
      </c>
      <c r="O14" s="272" t="s">
        <v>181</v>
      </c>
      <c r="P14" s="5"/>
      <c r="Q14" s="271"/>
      <c r="R14" s="92"/>
      <c r="S14" s="272"/>
      <c r="T14" s="271"/>
      <c r="U14" s="92"/>
      <c r="V14" s="272"/>
      <c r="W14" s="271"/>
      <c r="X14" s="92"/>
      <c r="Y14" s="272"/>
      <c r="Z14" s="271" t="s">
        <v>181</v>
      </c>
      <c r="AA14" s="92" t="s">
        <v>182</v>
      </c>
      <c r="AB14" s="272" t="s">
        <v>181</v>
      </c>
    </row>
    <row r="15" ht="18.95" customHeight="1">
      <c r="A15" s="58"/>
      <c r="B15" s="288"/>
      <c r="C15" s="289" t="s">
        <v>190</v>
      </c>
      <c r="D15" s="420"/>
      <c r="E15" s="91"/>
      <c r="F15" s="421"/>
      <c r="G15" s="420"/>
      <c r="H15" s="91"/>
      <c r="I15" s="421"/>
      <c r="J15" s="420"/>
      <c r="K15" s="91"/>
      <c r="L15" s="421"/>
      <c r="M15" s="420" t="s">
        <v>182</v>
      </c>
      <c r="N15" s="91" t="s">
        <v>182</v>
      </c>
      <c r="O15" s="421" t="s">
        <v>182</v>
      </c>
      <c r="P15" s="5"/>
      <c r="Q15" s="420"/>
      <c r="R15" s="91"/>
      <c r="S15" s="421"/>
      <c r="T15" s="420"/>
      <c r="U15" s="91"/>
      <c r="V15" s="421"/>
      <c r="W15" s="420"/>
      <c r="X15" s="91"/>
      <c r="Y15" s="421"/>
      <c r="Z15" s="420" t="s">
        <v>181</v>
      </c>
      <c r="AA15" s="91" t="s">
        <v>181</v>
      </c>
      <c r="AB15" s="421" t="s">
        <v>181</v>
      </c>
    </row>
    <row r="16" ht="18.95" customHeight="1">
      <c r="A16" s="58"/>
      <c r="B16" s="286"/>
      <c r="C16" s="287" t="s">
        <v>191</v>
      </c>
      <c r="D16" s="271"/>
      <c r="E16" s="92"/>
      <c r="F16" s="272"/>
      <c r="G16" s="271"/>
      <c r="H16" s="92"/>
      <c r="I16" s="272"/>
      <c r="J16" s="271"/>
      <c r="K16" s="92"/>
      <c r="L16" s="272"/>
      <c r="M16" s="271" t="s">
        <v>184</v>
      </c>
      <c r="N16" s="92" t="s">
        <v>182</v>
      </c>
      <c r="O16" s="272" t="s">
        <v>184</v>
      </c>
      <c r="P16" s="5"/>
      <c r="Q16" s="271"/>
      <c r="R16" s="92"/>
      <c r="S16" s="272"/>
      <c r="T16" s="271"/>
      <c r="U16" s="92"/>
      <c r="V16" s="272"/>
      <c r="W16" s="271"/>
      <c r="X16" s="92"/>
      <c r="Y16" s="272"/>
      <c r="Z16" s="271" t="s">
        <v>186</v>
      </c>
      <c r="AA16" s="92" t="s">
        <v>184</v>
      </c>
      <c r="AB16" s="272" t="s">
        <v>186</v>
      </c>
    </row>
    <row r="17" ht="18.95" customHeight="1">
      <c r="A17" s="58"/>
      <c r="B17" s="288"/>
      <c r="C17" s="289" t="s">
        <v>192</v>
      </c>
      <c r="D17" s="420"/>
      <c r="E17" s="91"/>
      <c r="F17" s="421"/>
      <c r="G17" s="420"/>
      <c r="H17" s="91"/>
      <c r="I17" s="421"/>
      <c r="J17" s="420"/>
      <c r="K17" s="91"/>
      <c r="L17" s="421"/>
      <c r="M17" s="420" t="s">
        <v>186</v>
      </c>
      <c r="N17" s="91" t="s">
        <v>193</v>
      </c>
      <c r="O17" s="421" t="s">
        <v>186</v>
      </c>
      <c r="P17" s="5"/>
      <c r="Q17" s="420"/>
      <c r="R17" s="91"/>
      <c r="S17" s="421"/>
      <c r="T17" s="420"/>
      <c r="U17" s="91"/>
      <c r="V17" s="421"/>
      <c r="W17" s="420"/>
      <c r="X17" s="91"/>
      <c r="Y17" s="421"/>
      <c r="Z17" s="420" t="s">
        <v>186</v>
      </c>
      <c r="AA17" s="91" t="s">
        <v>193</v>
      </c>
      <c r="AB17" s="421" t="s">
        <v>186</v>
      </c>
    </row>
    <row r="18" ht="18.95" customHeight="1">
      <c r="A18" s="58"/>
      <c r="B18" s="286"/>
      <c r="C18" s="287" t="s">
        <v>194</v>
      </c>
      <c r="D18" s="271"/>
      <c r="E18" s="92"/>
      <c r="F18" s="272"/>
      <c r="G18" s="271"/>
      <c r="H18" s="92"/>
      <c r="I18" s="272"/>
      <c r="J18" s="271"/>
      <c r="K18" s="92"/>
      <c r="L18" s="272"/>
      <c r="M18" s="271" t="s">
        <v>186</v>
      </c>
      <c r="N18" s="92" t="s">
        <v>193</v>
      </c>
      <c r="O18" s="272" t="s">
        <v>186</v>
      </c>
      <c r="P18" s="5"/>
      <c r="Q18" s="271"/>
      <c r="R18" s="92"/>
      <c r="S18" s="272"/>
      <c r="T18" s="271"/>
      <c r="U18" s="92"/>
      <c r="V18" s="272"/>
      <c r="W18" s="271"/>
      <c r="X18" s="92"/>
      <c r="Y18" s="272"/>
      <c r="Z18" s="271" t="s">
        <v>186</v>
      </c>
      <c r="AA18" s="92" t="s">
        <v>182</v>
      </c>
      <c r="AB18" s="272" t="s">
        <v>197</v>
      </c>
    </row>
    <row r="19" ht="18.95" customHeight="1">
      <c r="A19" s="58"/>
      <c r="B19" s="288">
        <v>2025</v>
      </c>
      <c r="C19" s="289" t="s">
        <v>195</v>
      </c>
      <c r="D19" s="420"/>
      <c r="E19" s="91"/>
      <c r="F19" s="421"/>
      <c r="G19" s="420"/>
      <c r="H19" s="91"/>
      <c r="I19" s="421"/>
      <c r="J19" s="420"/>
      <c r="K19" s="91"/>
      <c r="L19" s="421"/>
      <c r="M19" s="420" t="s">
        <v>186</v>
      </c>
      <c r="N19" s="91" t="s">
        <v>193</v>
      </c>
      <c r="O19" s="421" t="s">
        <v>186</v>
      </c>
      <c r="P19" s="5"/>
      <c r="Q19" s="420"/>
      <c r="R19" s="91"/>
      <c r="S19" s="421"/>
      <c r="T19" s="420"/>
      <c r="U19" s="91"/>
      <c r="V19" s="421"/>
      <c r="W19" s="420"/>
      <c r="X19" s="91"/>
      <c r="Y19" s="421"/>
      <c r="Z19" s="420" t="s">
        <v>186</v>
      </c>
      <c r="AA19" s="91" t="s">
        <v>193</v>
      </c>
      <c r="AB19" s="421" t="s">
        <v>186</v>
      </c>
    </row>
    <row r="20" ht="18.95" customHeight="1">
      <c r="A20" s="58"/>
      <c r="B20" s="286"/>
      <c r="C20" s="287" t="s">
        <v>196</v>
      </c>
      <c r="D20" s="271"/>
      <c r="E20" s="92"/>
      <c r="F20" s="272"/>
      <c r="G20" s="271"/>
      <c r="H20" s="92"/>
      <c r="I20" s="272"/>
      <c r="J20" s="271"/>
      <c r="K20" s="92"/>
      <c r="L20" s="272"/>
      <c r="M20" s="271" t="s">
        <v>186</v>
      </c>
      <c r="N20" s="92" t="s">
        <v>193</v>
      </c>
      <c r="O20" s="272" t="s">
        <v>186</v>
      </c>
      <c r="P20" s="5"/>
      <c r="Q20" s="271"/>
      <c r="R20" s="92"/>
      <c r="S20" s="272"/>
      <c r="T20" s="271"/>
      <c r="U20" s="92"/>
      <c r="V20" s="272"/>
      <c r="W20" s="271"/>
      <c r="X20" s="92"/>
      <c r="Y20" s="272"/>
      <c r="Z20" s="271" t="s">
        <v>186</v>
      </c>
      <c r="AA20" s="92" t="s">
        <v>181</v>
      </c>
      <c r="AB20" s="272" t="s">
        <v>184</v>
      </c>
    </row>
    <row r="21" ht="18.95" customHeight="1">
      <c r="A21" s="58"/>
      <c r="B21" s="288"/>
      <c r="C21" s="289" t="s">
        <v>180</v>
      </c>
      <c r="D21" s="420"/>
      <c r="E21" s="91"/>
      <c r="F21" s="421"/>
      <c r="G21" s="420"/>
      <c r="H21" s="91"/>
      <c r="I21" s="421"/>
      <c r="J21" s="420"/>
      <c r="K21" s="91"/>
      <c r="L21" s="421"/>
      <c r="M21" s="420" t="s">
        <v>186</v>
      </c>
      <c r="N21" s="91" t="s">
        <v>193</v>
      </c>
      <c r="O21" s="421" t="s">
        <v>181</v>
      </c>
      <c r="P21" s="5"/>
      <c r="Q21" s="420"/>
      <c r="R21" s="91"/>
      <c r="S21" s="421"/>
      <c r="T21" s="420"/>
      <c r="U21" s="91"/>
      <c r="V21" s="421"/>
      <c r="W21" s="420"/>
      <c r="X21" s="91"/>
      <c r="Y21" s="421"/>
      <c r="Z21" s="420" t="s">
        <v>197</v>
      </c>
      <c r="AA21" s="91" t="s">
        <v>182</v>
      </c>
      <c r="AB21" s="421" t="s">
        <v>197</v>
      </c>
    </row>
    <row r="22" ht="18.95" customHeight="1">
      <c r="A22" s="58"/>
      <c r="B22" s="286"/>
      <c r="C22" s="287" t="s">
        <v>183</v>
      </c>
      <c r="D22" s="271"/>
      <c r="E22" s="92"/>
      <c r="F22" s="272"/>
      <c r="G22" s="271"/>
      <c r="H22" s="92"/>
      <c r="I22" s="272"/>
      <c r="J22" s="271"/>
      <c r="K22" s="92"/>
      <c r="L22" s="272"/>
      <c r="M22" s="271" t="s">
        <v>197</v>
      </c>
      <c r="N22" s="92" t="s">
        <v>182</v>
      </c>
      <c r="O22" s="272" t="s">
        <v>184</v>
      </c>
      <c r="P22" s="5"/>
      <c r="Q22" s="271"/>
      <c r="R22" s="92"/>
      <c r="S22" s="272"/>
      <c r="T22" s="271"/>
      <c r="U22" s="92"/>
      <c r="V22" s="272"/>
      <c r="W22" s="271"/>
      <c r="X22" s="92"/>
      <c r="Y22" s="272"/>
      <c r="Z22" s="271" t="s">
        <v>184</v>
      </c>
      <c r="AA22" s="92" t="s">
        <v>184</v>
      </c>
      <c r="AB22" s="272" t="s">
        <v>184</v>
      </c>
    </row>
    <row r="23" ht="18.95" customHeight="1">
      <c r="A23" s="58"/>
      <c r="B23" s="288"/>
      <c r="C23" s="289" t="s">
        <v>185</v>
      </c>
      <c r="D23" s="420"/>
      <c r="E23" s="91"/>
      <c r="F23" s="421"/>
      <c r="G23" s="420"/>
      <c r="H23" s="91"/>
      <c r="I23" s="421"/>
      <c r="J23" s="420"/>
      <c r="K23" s="91"/>
      <c r="L23" s="421"/>
      <c r="M23" s="420" t="s">
        <v>184</v>
      </c>
      <c r="N23" s="91" t="s">
        <v>182</v>
      </c>
      <c r="O23" s="421" t="s">
        <v>181</v>
      </c>
      <c r="P23" s="5"/>
      <c r="Q23" s="420"/>
      <c r="R23" s="91"/>
      <c r="S23" s="421"/>
      <c r="T23" s="420"/>
      <c r="U23" s="91"/>
      <c r="V23" s="421"/>
      <c r="W23" s="420"/>
      <c r="X23" s="91"/>
      <c r="Y23" s="421"/>
      <c r="Z23" s="420" t="s">
        <v>184</v>
      </c>
      <c r="AA23" s="91" t="s">
        <v>186</v>
      </c>
      <c r="AB23" s="421" t="s">
        <v>184</v>
      </c>
    </row>
    <row r="24" ht="18.95" customHeight="1">
      <c r="A24" s="59"/>
      <c r="B24" s="286"/>
      <c r="C24" s="287" t="s">
        <v>187</v>
      </c>
      <c r="D24" s="271"/>
      <c r="E24" s="92"/>
      <c r="F24" s="272"/>
      <c r="G24" s="271"/>
      <c r="H24" s="92"/>
      <c r="I24" s="272"/>
      <c r="J24" s="271"/>
      <c r="K24" s="92"/>
      <c r="L24" s="272"/>
      <c r="M24" s="271" t="s">
        <v>186</v>
      </c>
      <c r="N24" s="92" t="s">
        <v>184</v>
      </c>
      <c r="O24" s="272" t="s">
        <v>184</v>
      </c>
      <c r="P24" s="93"/>
      <c r="Q24" s="271"/>
      <c r="R24" s="92"/>
      <c r="S24" s="272"/>
      <c r="T24" s="271"/>
      <c r="U24" s="92"/>
      <c r="V24" s="272"/>
      <c r="W24" s="271"/>
      <c r="X24" s="92"/>
      <c r="Y24" s="272"/>
      <c r="Z24" s="271" t="s">
        <v>181</v>
      </c>
      <c r="AA24" s="92" t="s">
        <v>186</v>
      </c>
      <c r="AB24" s="272" t="s">
        <v>186</v>
      </c>
    </row>
    <row r="25" ht="18.95" customHeight="1">
      <c r="A25" s="60"/>
      <c r="B25" s="288"/>
      <c r="C25" s="289" t="s">
        <v>188</v>
      </c>
      <c r="D25" s="420"/>
      <c r="E25" s="91"/>
      <c r="F25" s="421"/>
      <c r="G25" s="420"/>
      <c r="H25" s="91"/>
      <c r="I25" s="421"/>
      <c r="J25" s="420"/>
      <c r="K25" s="91"/>
      <c r="L25" s="421"/>
      <c r="M25" s="420" t="s">
        <v>186</v>
      </c>
      <c r="N25" s="91" t="s">
        <v>181</v>
      </c>
      <c r="O25" s="421" t="s">
        <v>197</v>
      </c>
      <c r="P25" s="93"/>
      <c r="Q25" s="420"/>
      <c r="R25" s="91"/>
      <c r="S25" s="421"/>
      <c r="T25" s="420"/>
      <c r="U25" s="91"/>
      <c r="V25" s="421"/>
      <c r="W25" s="420"/>
      <c r="X25" s="91"/>
      <c r="Y25" s="421"/>
      <c r="Z25" s="420" t="s">
        <v>186</v>
      </c>
      <c r="AA25" s="91" t="s">
        <v>184</v>
      </c>
      <c r="AB25" s="421" t="s">
        <v>186</v>
      </c>
    </row>
    <row r="26" ht="18.95" customHeight="1">
      <c r="A26" s="60"/>
      <c r="B26" s="290"/>
      <c r="C26" s="291" t="s">
        <v>189</v>
      </c>
      <c r="D26" s="273"/>
      <c r="E26" s="274"/>
      <c r="F26" s="275"/>
      <c r="G26" s="273"/>
      <c r="H26" s="274"/>
      <c r="I26" s="275"/>
      <c r="J26" s="273"/>
      <c r="K26" s="274"/>
      <c r="L26" s="275"/>
      <c r="M26" s="273" t="s">
        <v>184</v>
      </c>
      <c r="N26" s="274" t="s">
        <v>181</v>
      </c>
      <c r="O26" s="275" t="s">
        <v>186</v>
      </c>
      <c r="P26" s="184"/>
      <c r="Q26" s="273"/>
      <c r="R26" s="274"/>
      <c r="S26" s="275"/>
      <c r="T26" s="273"/>
      <c r="U26" s="274"/>
      <c r="V26" s="275"/>
      <c r="W26" s="273"/>
      <c r="X26" s="274"/>
      <c r="Y26" s="275"/>
      <c r="Z26" s="273" t="s">
        <v>197</v>
      </c>
      <c r="AA26" s="274" t="s">
        <v>184</v>
      </c>
      <c r="AB26" s="275" t="s">
        <v>197</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2023</v>
      </c>
      <c r="C29" s="285"/>
      <c r="D29" s="427"/>
      <c r="E29" s="428"/>
      <c r="F29" s="429"/>
      <c r="G29" s="427"/>
      <c r="H29" s="428"/>
      <c r="I29" s="429"/>
      <c r="J29" s="427"/>
      <c r="K29" s="428"/>
      <c r="L29" s="429"/>
      <c r="M29" s="427" t="s">
        <v>184</v>
      </c>
      <c r="N29" s="428" t="s">
        <v>182</v>
      </c>
      <c r="O29" s="429" t="s">
        <v>181</v>
      </c>
      <c r="P29" s="5"/>
      <c r="Q29" s="427"/>
      <c r="R29" s="428"/>
      <c r="S29" s="429"/>
      <c r="T29" s="427"/>
      <c r="U29" s="428"/>
      <c r="V29" s="429"/>
      <c r="W29" s="427"/>
      <c r="X29" s="428"/>
      <c r="Y29" s="429"/>
      <c r="Z29" s="427" t="s">
        <v>181</v>
      </c>
      <c r="AA29" s="428" t="s">
        <v>197</v>
      </c>
      <c r="AB29" s="429" t="s">
        <v>184</v>
      </c>
    </row>
    <row r="30" ht="18.95" customHeight="1">
      <c r="A30" s="58"/>
      <c r="B30" s="286">
        <v>2024</v>
      </c>
      <c r="C30" s="287"/>
      <c r="D30" s="271"/>
      <c r="E30" s="92"/>
      <c r="F30" s="272"/>
      <c r="G30" s="271"/>
      <c r="H30" s="92"/>
      <c r="I30" s="272"/>
      <c r="J30" s="271"/>
      <c r="K30" s="92"/>
      <c r="L30" s="272"/>
      <c r="M30" s="271" t="s">
        <v>184</v>
      </c>
      <c r="N30" s="92" t="s">
        <v>182</v>
      </c>
      <c r="O30" s="272" t="s">
        <v>184</v>
      </c>
      <c r="P30" s="5"/>
      <c r="Q30" s="271"/>
      <c r="R30" s="92"/>
      <c r="S30" s="272"/>
      <c r="T30" s="271"/>
      <c r="U30" s="92"/>
      <c r="V30" s="272"/>
      <c r="W30" s="271"/>
      <c r="X30" s="92"/>
      <c r="Y30" s="272"/>
      <c r="Z30" s="271" t="s">
        <v>184</v>
      </c>
      <c r="AA30" s="92" t="s">
        <v>184</v>
      </c>
      <c r="AB30" s="272" t="s">
        <v>184</v>
      </c>
    </row>
    <row r="31" ht="18.95" customHeight="1">
      <c r="A31" s="58"/>
      <c r="B31" s="425">
        <v>2025</v>
      </c>
      <c r="C31" s="426"/>
      <c r="D31" s="430"/>
      <c r="E31" s="431"/>
      <c r="F31" s="432"/>
      <c r="G31" s="430"/>
      <c r="H31" s="431"/>
      <c r="I31" s="432"/>
      <c r="J31" s="430"/>
      <c r="K31" s="431"/>
      <c r="L31" s="432"/>
      <c r="M31" s="430" t="s">
        <v>197</v>
      </c>
      <c r="N31" s="431" t="s">
        <v>181</v>
      </c>
      <c r="O31" s="432" t="s">
        <v>186</v>
      </c>
      <c r="P31" s="184"/>
      <c r="Q31" s="430"/>
      <c r="R31" s="431"/>
      <c r="S31" s="432"/>
      <c r="T31" s="430"/>
      <c r="U31" s="431"/>
      <c r="V31" s="432"/>
      <c r="W31" s="430"/>
      <c r="X31" s="431"/>
      <c r="Y31" s="432"/>
      <c r="Z31" s="430" t="s">
        <v>186</v>
      </c>
      <c r="AA31" s="431" t="s">
        <v>181</v>
      </c>
      <c r="AB31" s="432" t="s">
        <v>186</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2023</v>
      </c>
      <c r="C34" s="285"/>
      <c r="D34" s="427"/>
      <c r="E34" s="428"/>
      <c r="F34" s="429"/>
      <c r="G34" s="427"/>
      <c r="H34" s="428"/>
      <c r="I34" s="429"/>
      <c r="J34" s="427"/>
      <c r="K34" s="428"/>
      <c r="L34" s="429"/>
      <c r="M34" s="427" t="s">
        <v>184</v>
      </c>
      <c r="N34" s="428" t="s">
        <v>182</v>
      </c>
      <c r="O34" s="429" t="s">
        <v>184</v>
      </c>
      <c r="P34" s="5"/>
      <c r="Q34" s="427"/>
      <c r="R34" s="428"/>
      <c r="S34" s="429"/>
      <c r="T34" s="427"/>
      <c r="U34" s="428"/>
      <c r="V34" s="429"/>
      <c r="W34" s="427"/>
      <c r="X34" s="428"/>
      <c r="Y34" s="429"/>
      <c r="Z34" s="427" t="s">
        <v>181</v>
      </c>
      <c r="AA34" s="428" t="s">
        <v>197</v>
      </c>
      <c r="AB34" s="429" t="s">
        <v>184</v>
      </c>
    </row>
    <row r="35" ht="18.95" customHeight="1">
      <c r="A35" s="58"/>
      <c r="B35" s="286">
        <v>2024</v>
      </c>
      <c r="C35" s="287"/>
      <c r="D35" s="271"/>
      <c r="E35" s="92"/>
      <c r="F35" s="272"/>
      <c r="G35" s="271"/>
      <c r="H35" s="92"/>
      <c r="I35" s="272"/>
      <c r="J35" s="271"/>
      <c r="K35" s="92"/>
      <c r="L35" s="272"/>
      <c r="M35" s="271" t="s">
        <v>186</v>
      </c>
      <c r="N35" s="92" t="s">
        <v>182</v>
      </c>
      <c r="O35" s="272" t="s">
        <v>186</v>
      </c>
      <c r="P35" s="5"/>
      <c r="Q35" s="271"/>
      <c r="R35" s="92"/>
      <c r="S35" s="272"/>
      <c r="T35" s="271"/>
      <c r="U35" s="92"/>
      <c r="V35" s="272"/>
      <c r="W35" s="271"/>
      <c r="X35" s="92"/>
      <c r="Y35" s="272"/>
      <c r="Z35" s="271" t="s">
        <v>186</v>
      </c>
      <c r="AA35" s="92" t="s">
        <v>181</v>
      </c>
      <c r="AB35" s="272" t="s">
        <v>186</v>
      </c>
    </row>
    <row r="36" ht="18.95" customHeight="1">
      <c r="A36" s="58"/>
      <c r="B36" s="425">
        <v>2025</v>
      </c>
      <c r="C36" s="426"/>
      <c r="D36" s="430"/>
      <c r="E36" s="431"/>
      <c r="F36" s="432"/>
      <c r="G36" s="430"/>
      <c r="H36" s="431"/>
      <c r="I36" s="432"/>
      <c r="J36" s="430"/>
      <c r="K36" s="431"/>
      <c r="L36" s="432"/>
      <c r="M36" s="430" t="s">
        <v>186</v>
      </c>
      <c r="N36" s="431" t="s">
        <v>181</v>
      </c>
      <c r="O36" s="432" t="s">
        <v>186</v>
      </c>
      <c r="P36" s="184"/>
      <c r="Q36" s="430"/>
      <c r="R36" s="431"/>
      <c r="S36" s="432"/>
      <c r="T36" s="430"/>
      <c r="U36" s="431"/>
      <c r="V36" s="432"/>
      <c r="W36" s="430"/>
      <c r="X36" s="431"/>
      <c r="Y36" s="432"/>
      <c r="Z36" s="430" t="s">
        <v>186</v>
      </c>
      <c r="AA36" s="431" t="s">
        <v>184</v>
      </c>
      <c r="AB36" s="432" t="s">
        <v>186</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2023</v>
      </c>
      <c r="C39" s="285"/>
      <c r="D39" s="427"/>
      <c r="E39" s="428"/>
      <c r="F39" s="429"/>
      <c r="G39" s="427"/>
      <c r="H39" s="428"/>
      <c r="I39" s="429"/>
      <c r="J39" s="427"/>
      <c r="K39" s="428"/>
      <c r="L39" s="429"/>
      <c r="M39" s="427" t="s">
        <v>184</v>
      </c>
      <c r="N39" s="428" t="s">
        <v>182</v>
      </c>
      <c r="O39" s="429" t="s">
        <v>184</v>
      </c>
      <c r="P39" s="5"/>
      <c r="Q39" s="427"/>
      <c r="R39" s="428"/>
      <c r="S39" s="429"/>
      <c r="T39" s="427"/>
      <c r="U39" s="428"/>
      <c r="V39" s="429"/>
      <c r="W39" s="427"/>
      <c r="X39" s="428"/>
      <c r="Y39" s="429"/>
      <c r="Z39" s="427" t="s">
        <v>181</v>
      </c>
      <c r="AA39" s="428" t="s">
        <v>197</v>
      </c>
      <c r="AB39" s="429" t="s">
        <v>184</v>
      </c>
    </row>
    <row r="40" ht="18.95" customHeight="1">
      <c r="A40" s="58"/>
      <c r="B40" s="286">
        <v>2024</v>
      </c>
      <c r="C40" s="287"/>
      <c r="D40" s="271"/>
      <c r="E40" s="92"/>
      <c r="F40" s="272"/>
      <c r="G40" s="271"/>
      <c r="H40" s="92"/>
      <c r="I40" s="272"/>
      <c r="J40" s="271"/>
      <c r="K40" s="92"/>
      <c r="L40" s="272"/>
      <c r="M40" s="271" t="s">
        <v>181</v>
      </c>
      <c r="N40" s="92" t="s">
        <v>182</v>
      </c>
      <c r="O40" s="272" t="s">
        <v>182</v>
      </c>
      <c r="P40" s="5"/>
      <c r="Q40" s="271"/>
      <c r="R40" s="92"/>
      <c r="S40" s="272"/>
      <c r="T40" s="271"/>
      <c r="U40" s="92"/>
      <c r="V40" s="272"/>
      <c r="W40" s="271"/>
      <c r="X40" s="92"/>
      <c r="Y40" s="272"/>
      <c r="Z40" s="271" t="s">
        <v>193</v>
      </c>
      <c r="AA40" s="92" t="s">
        <v>184</v>
      </c>
      <c r="AB40" s="272" t="s">
        <v>193</v>
      </c>
    </row>
    <row r="41" ht="18.95" customHeight="1">
      <c r="A41" s="58"/>
      <c r="B41" s="425">
        <v>2025</v>
      </c>
      <c r="C41" s="426"/>
      <c r="D41" s="430"/>
      <c r="E41" s="431"/>
      <c r="F41" s="432"/>
      <c r="G41" s="430"/>
      <c r="H41" s="431"/>
      <c r="I41" s="432"/>
      <c r="J41" s="430"/>
      <c r="K41" s="431"/>
      <c r="L41" s="432"/>
      <c r="M41" s="430" t="s">
        <v>184</v>
      </c>
      <c r="N41" s="431" t="s">
        <v>182</v>
      </c>
      <c r="O41" s="432" t="s">
        <v>184</v>
      </c>
      <c r="P41" s="184"/>
      <c r="Q41" s="430"/>
      <c r="R41" s="431"/>
      <c r="S41" s="432"/>
      <c r="T41" s="430"/>
      <c r="U41" s="431"/>
      <c r="V41" s="432"/>
      <c r="W41" s="430"/>
      <c r="X41" s="431"/>
      <c r="Y41" s="432"/>
      <c r="Z41" s="430" t="s">
        <v>197</v>
      </c>
      <c r="AA41" s="431" t="s">
        <v>182</v>
      </c>
      <c r="AB41" s="432" t="s">
        <v>197</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236" customFormat="1">
      <c r="A4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1">
    <mergeCell ref="B43:AB43"/>
    <mergeCell ref="T7:V7"/>
    <mergeCell ref="W7:Y7"/>
    <mergeCell ref="Z7:AB7"/>
    <mergeCell ref="B38:O38"/>
    <mergeCell ref="Q28:AB28"/>
    <mergeCell ref="Q7:S7"/>
    <mergeCell ref="Q33:AB33"/>
    <mergeCell ref="G7:I7"/>
    <mergeCell ref="B33:O33"/>
    <mergeCell ref="B8:C8"/>
    <mergeCell ref="Q38:AB38"/>
    <mergeCell ref="M7:O7"/>
    <mergeCell ref="B28:O28"/>
    <mergeCell ref="J7:L7"/>
    <mergeCell ref="D7:F7"/>
    <mergeCell ref="B2:AB2"/>
    <mergeCell ref="Q6:AB6"/>
    <mergeCell ref="D6:O6"/>
    <mergeCell ref="B4:AB4"/>
    <mergeCell ref="B3:AB3"/>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5"/>
</worksheet>
</file>

<file path=xl/worksheets/sheet5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151</v>
      </c>
      <c r="Y1" s="5"/>
      <c r="AB1" s="685"/>
      <c r="AD1" s="236"/>
    </row>
    <row r="2" ht="15" customHeight="1">
      <c r="A2" s="11"/>
      <c r="B2" s="11" t="s">
        <v>170</v>
      </c>
    </row>
    <row r="3" ht="17.1" customHeight="1">
      <c r="A3" s="11"/>
      <c r="B3" s="11" t="s">
        <v>171</v>
      </c>
      <c r="R3" s="1040" t="s">
        <v>247</v>
      </c>
      <c r="S3" s="1040"/>
      <c r="T3" s="1040"/>
      <c r="U3" s="1040"/>
      <c r="V3" s="1040"/>
      <c r="W3" s="1040"/>
      <c r="X3" s="1040"/>
      <c r="Y3" s="1040"/>
      <c r="Z3" s="1040"/>
      <c r="AA3" s="1040"/>
      <c r="AB3" s="1040"/>
    </row>
    <row r="4" ht="19.5" customHeight="1">
      <c r="A4" s="4"/>
      <c r="B4" s="211" t="s">
        <v>172</v>
      </c>
      <c r="C4" s="5"/>
      <c r="D4" s="5"/>
      <c r="E4" s="5"/>
      <c r="F4" s="5"/>
      <c r="G4" s="5"/>
      <c r="H4" s="212"/>
      <c r="I4" s="212"/>
      <c r="J4" s="212"/>
      <c r="K4" s="212"/>
      <c r="L4" s="212"/>
      <c r="M4" s="212"/>
      <c r="N4" s="212"/>
      <c r="O4" s="212"/>
      <c r="P4" s="212"/>
      <c r="Q4" s="212"/>
      <c r="R4" s="212"/>
      <c r="S4" s="212"/>
      <c r="T4" s="212"/>
      <c r="U4" s="4"/>
      <c r="V4" s="4"/>
    </row>
    <row r="5" ht="12.75" customHeight="1"/>
    <row r="6" ht="15.75">
      <c r="D6" s="978" t="s">
        <v>42</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27.741935483870967741935483890</v>
      </c>
      <c r="E11" s="428"/>
      <c r="F11" s="429">
        <v>50.267573696145124716553288030</v>
      </c>
      <c r="G11" s="427">
        <v>0</v>
      </c>
      <c r="H11" s="428"/>
      <c r="I11" s="429">
        <v>4.2176870748299319727891156500</v>
      </c>
      <c r="J11" s="427">
        <v>1.2903225806451612903225806500</v>
      </c>
      <c r="K11" s="428"/>
      <c r="L11" s="429">
        <v>0.2358276643990929705215419500</v>
      </c>
      <c r="M11" s="427">
        <v>29.032258064516129032258064520</v>
      </c>
      <c r="N11" s="428">
        <v>49.348659003831417624521072800</v>
      </c>
      <c r="O11" s="429">
        <v>54.721088435374149659863945580</v>
      </c>
      <c r="P11" s="5"/>
      <c r="Q11" s="427">
        <v>50.656934306762887740423286730</v>
      </c>
      <c r="R11" s="428"/>
      <c r="S11" s="429">
        <v>23.601895734484133198213240160</v>
      </c>
      <c r="T11" s="427">
        <v>-100</v>
      </c>
      <c r="U11" s="428"/>
      <c r="V11" s="429">
        <v>44.186046512969172525702038940</v>
      </c>
      <c r="W11" s="427">
        <v>140.00000000096000000000384090</v>
      </c>
      <c r="X11" s="428"/>
      <c r="Y11" s="429">
        <v>160.00000013130000006630649991</v>
      </c>
      <c r="Z11" s="427">
        <v>16.756756756989008035062551120</v>
      </c>
      <c r="AA11" s="428">
        <v>106.90763052246726859244275132</v>
      </c>
      <c r="AB11" s="429">
        <v>25.263431092757807537568937110</v>
      </c>
    </row>
    <row r="12" ht="18" customHeight="1">
      <c r="A12" s="58"/>
      <c r="B12" s="1043" t="s">
        <v>46</v>
      </c>
      <c r="C12" s="1043"/>
      <c r="D12" s="420">
        <v>27.419354838709677419354838730</v>
      </c>
      <c r="E12" s="91"/>
      <c r="F12" s="421">
        <v>67.596371882086167800453514800</v>
      </c>
      <c r="G12" s="420">
        <v>0</v>
      </c>
      <c r="H12" s="91"/>
      <c r="I12" s="421">
        <v>7.6984126984126984126984127100</v>
      </c>
      <c r="J12" s="420">
        <v>1.6129032258064516129032258100</v>
      </c>
      <c r="K12" s="91"/>
      <c r="L12" s="421">
        <v>0.28344671201814058956916100</v>
      </c>
      <c r="M12" s="420">
        <v>29.032258064516129032258064520</v>
      </c>
      <c r="N12" s="91">
        <v>56.082375478927203065134099620</v>
      </c>
      <c r="O12" s="421">
        <v>75.578231292517006802721088440</v>
      </c>
      <c r="P12" s="5"/>
      <c r="Q12" s="420">
        <v>56.923076922806532544379164240</v>
      </c>
      <c r="R12" s="91"/>
      <c r="S12" s="421">
        <v>17.269866247068020435286714190</v>
      </c>
      <c r="T12" s="420">
        <v>-100</v>
      </c>
      <c r="U12" s="91"/>
      <c r="V12" s="421">
        <v>1.0416666672981770833372804300</v>
      </c>
      <c r="W12" s="420">
        <v>20.000000000480000000001920260</v>
      </c>
      <c r="X12" s="91"/>
      <c r="Y12" s="421">
        <v>25.00000000800000000051200100</v>
      </c>
      <c r="Z12" s="420">
        <v>11.917098445396375741631003370</v>
      </c>
      <c r="AA12" s="91">
        <v>53.473132372087817798611848630</v>
      </c>
      <c r="AB12" s="421">
        <v>15.408587257566977525686596250</v>
      </c>
    </row>
    <row r="13" ht="18" customHeight="1">
      <c r="A13" s="58"/>
      <c r="B13" s="1043" t="s">
        <v>47</v>
      </c>
      <c r="C13" s="1043"/>
      <c r="D13" s="420">
        <v>33.064516129032258064516129060</v>
      </c>
      <c r="E13" s="91"/>
      <c r="F13" s="421">
        <v>72.165532879818594104308390090</v>
      </c>
      <c r="G13" s="420">
        <v>0</v>
      </c>
      <c r="H13" s="91"/>
      <c r="I13" s="421">
        <v>11.088435374149659863945578240</v>
      </c>
      <c r="J13" s="420">
        <v>1.2096774193548387096774193600</v>
      </c>
      <c r="K13" s="91"/>
      <c r="L13" s="421">
        <v>0.2040816326530612244897959200</v>
      </c>
      <c r="M13" s="420">
        <v>34.274193548387096774193548390</v>
      </c>
      <c r="N13" s="91">
        <v>63.505747126436781609195402300</v>
      </c>
      <c r="O13" s="421">
        <v>83.46938775510204081632653061</v>
      </c>
      <c r="P13" s="184"/>
      <c r="Q13" s="420">
        <v>33.695652173907230623818525880</v>
      </c>
      <c r="R13" s="91"/>
      <c r="S13" s="421">
        <v>6.8670248488947445809227373700</v>
      </c>
      <c r="T13" s="420">
        <v>-100</v>
      </c>
      <c r="U13" s="91"/>
      <c r="V13" s="421">
        <v>60.065466448984836106194613480</v>
      </c>
      <c r="W13" s="420">
        <v>28.571428565110204081943156230</v>
      </c>
      <c r="X13" s="91"/>
      <c r="Y13" s="421">
        <v>28.571428595857142861784286740</v>
      </c>
      <c r="Z13" s="420">
        <v>-3.0418250950806286053000564200</v>
      </c>
      <c r="AA13" s="91">
        <v>47.826086956668082012505597840</v>
      </c>
      <c r="AB13" s="421">
        <v>11.867497340762686834900075220</v>
      </c>
    </row>
    <row r="14" ht="18" customHeight="1">
      <c r="A14" s="58"/>
      <c r="B14" s="1043" t="s">
        <v>48</v>
      </c>
      <c r="C14" s="1043"/>
      <c r="D14" s="420">
        <v>33.870967741935483870967741970</v>
      </c>
      <c r="E14" s="91"/>
      <c r="F14" s="421">
        <v>69.569160997732426303854875350</v>
      </c>
      <c r="G14" s="420">
        <v>0</v>
      </c>
      <c r="H14" s="91"/>
      <c r="I14" s="421">
        <v>10.079365079365079365079365090</v>
      </c>
      <c r="J14" s="420">
        <v>1.8817204301075268817204301100</v>
      </c>
      <c r="K14" s="91"/>
      <c r="L14" s="421">
        <v>0.3174603174603174603174603200</v>
      </c>
      <c r="M14" s="420">
        <v>35.752688172043010752688172040</v>
      </c>
      <c r="N14" s="91">
        <v>62.212643678160919540229885060</v>
      </c>
      <c r="O14" s="421">
        <v>79.98866213151927437641723356</v>
      </c>
      <c r="P14" s="5"/>
      <c r="Q14" s="420">
        <v>36.216216216487176040906309760</v>
      </c>
      <c r="R14" s="91"/>
      <c r="S14" s="421">
        <v>8.544135857138088325255866180</v>
      </c>
      <c r="T14" s="420">
        <v>-100</v>
      </c>
      <c r="U14" s="91"/>
      <c r="V14" s="421">
        <v>70.633397311648092955752211420</v>
      </c>
      <c r="W14" s="420">
        <v>40.000000000560000000002240180</v>
      </c>
      <c r="X14" s="91"/>
      <c r="Y14" s="421">
        <v>40.000000008960000000573441120</v>
      </c>
      <c r="Z14" s="420">
        <v>-1.8450184501960921011424122800</v>
      </c>
      <c r="AA14" s="91">
        <v>44.493882091063303311923796730</v>
      </c>
      <c r="AB14" s="421">
        <v>13.918940739599463659519458490</v>
      </c>
    </row>
    <row r="15" ht="18" customHeight="1">
      <c r="A15" s="58"/>
      <c r="B15" s="1043" t="s">
        <v>49</v>
      </c>
      <c r="C15" s="1043"/>
      <c r="D15" s="420">
        <v>34.274193548387096774193548420</v>
      </c>
      <c r="E15" s="91"/>
      <c r="F15" s="421">
        <v>60.011337868480725623582766490</v>
      </c>
      <c r="G15" s="420">
        <v>0</v>
      </c>
      <c r="H15" s="91"/>
      <c r="I15" s="421">
        <v>6.5079365079365079365079365100</v>
      </c>
      <c r="J15" s="420">
        <v>0.9408602150537634408602150500</v>
      </c>
      <c r="K15" s="91"/>
      <c r="L15" s="421">
        <v>0.1587301587301587301587301600</v>
      </c>
      <c r="M15" s="420">
        <v>35.215053763440860215053763440</v>
      </c>
      <c r="N15" s="91">
        <v>57.279693486590038314176245210</v>
      </c>
      <c r="O15" s="421">
        <v>66.700680272108843537414965990</v>
      </c>
      <c r="P15" s="184"/>
      <c r="Q15" s="420">
        <v>57.797029703165590383295997170</v>
      </c>
      <c r="R15" s="91"/>
      <c r="S15" s="421">
        <v>14.112625043113396316615940360</v>
      </c>
      <c r="T15" s="420">
        <v>-100</v>
      </c>
      <c r="U15" s="91"/>
      <c r="V15" s="421">
        <v>55.639913231791828807506708420</v>
      </c>
      <c r="W15" s="420">
        <v>-37.500000000580357142851754080</v>
      </c>
      <c r="X15" s="91"/>
      <c r="Y15" s="421">
        <v>-41.666666658645833332230468280</v>
      </c>
      <c r="Z15" s="420">
        <v>12.542955326622914231055606950</v>
      </c>
      <c r="AA15" s="91">
        <v>61.272923408892711638964833910</v>
      </c>
      <c r="AB15" s="421">
        <v>16.930354587429630234700734210</v>
      </c>
    </row>
    <row r="16" ht="18" customHeight="1">
      <c r="A16" s="58"/>
      <c r="B16" s="1044" t="s">
        <v>75</v>
      </c>
      <c r="C16" s="1044"/>
      <c r="D16" s="430">
        <v>31.105990783410138248847926300</v>
      </c>
      <c r="E16" s="431"/>
      <c r="F16" s="432">
        <v>63.271784904437965662455458430</v>
      </c>
      <c r="G16" s="430">
        <v>0</v>
      </c>
      <c r="H16" s="431"/>
      <c r="I16" s="432">
        <v>7.7421444768383543893747975500</v>
      </c>
      <c r="J16" s="430">
        <v>1.3824884792626728110599078400</v>
      </c>
      <c r="K16" s="431"/>
      <c r="L16" s="432">
        <v>0.2397149335924846128927761600</v>
      </c>
      <c r="M16" s="430">
        <v>32.488479262672811059907834100</v>
      </c>
      <c r="N16" s="431">
        <v>57.288815909505564677978471080</v>
      </c>
      <c r="O16" s="432">
        <v>71.264442284850448115754238200</v>
      </c>
      <c r="P16" s="5"/>
      <c r="Q16" s="430">
        <v>44.988066825615442780572172110</v>
      </c>
      <c r="R16" s="431"/>
      <c r="S16" s="432">
        <v>12.347572666534911234663156750</v>
      </c>
      <c r="T16" s="430">
        <v>-100</v>
      </c>
      <c r="U16" s="431"/>
      <c r="V16" s="432">
        <v>42.092746731055581162232134430</v>
      </c>
      <c r="W16" s="430">
        <v>20.000000001968000000032275710</v>
      </c>
      <c r="X16" s="431"/>
      <c r="Y16" s="432">
        <v>20.652173890113008038384501560</v>
      </c>
      <c r="Z16" s="629">
        <v>5.4862842891116075148788975300</v>
      </c>
      <c r="AA16" s="214">
        <v>57.630522088167058293414842650</v>
      </c>
      <c r="AB16" s="630">
        <v>15.011152934546834754606618050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48.924731182795698924731182840</v>
      </c>
      <c r="E18" s="480"/>
      <c r="F18" s="481">
        <v>62.068027210884353741496598700</v>
      </c>
      <c r="G18" s="479">
        <v>0</v>
      </c>
      <c r="H18" s="480"/>
      <c r="I18" s="481">
        <v>6.3129251700680272108843537500</v>
      </c>
      <c r="J18" s="479">
        <v>1.8279569892473118279569892500</v>
      </c>
      <c r="K18" s="480"/>
      <c r="L18" s="481">
        <v>0.3083900226757369614512471700</v>
      </c>
      <c r="M18" s="479">
        <v>50.752688172043010752688172040</v>
      </c>
      <c r="N18" s="480">
        <v>60.919540229885057471264367820</v>
      </c>
      <c r="O18" s="481">
        <v>68.698412698412698412698412700</v>
      </c>
      <c r="P18" s="184"/>
      <c r="Q18" s="479">
        <v>73.664122137112930481907138750</v>
      </c>
      <c r="R18" s="480"/>
      <c r="S18" s="481">
        <v>22.327493743400806897144215140</v>
      </c>
      <c r="T18" s="479">
        <v>-100</v>
      </c>
      <c r="U18" s="480"/>
      <c r="V18" s="481">
        <v>-2.7932960899896226709490867100</v>
      </c>
      <c r="W18" s="479">
        <v>240.00000000136000000000544050</v>
      </c>
      <c r="X18" s="480"/>
      <c r="Y18" s="481">
        <v>240.00000017170000008670850497</v>
      </c>
      <c r="Z18" s="479">
        <v>38.416422287264196214342956290</v>
      </c>
      <c r="AA18" s="480">
        <v>52.444870565503466014125317280</v>
      </c>
      <c r="AB18" s="481">
        <v>19.841772152000656570461551190</v>
      </c>
    </row>
    <row r="19" ht="18" customHeight="1">
      <c r="A19" s="58"/>
      <c r="B19" s="1046" t="s">
        <v>51</v>
      </c>
      <c r="C19" s="1046"/>
      <c r="D19" s="271">
        <v>55.161290322580645161290322630</v>
      </c>
      <c r="E19" s="92"/>
      <c r="F19" s="272">
        <v>65.596371882086167800453514800</v>
      </c>
      <c r="G19" s="271">
        <v>0</v>
      </c>
      <c r="H19" s="92"/>
      <c r="I19" s="272">
        <v>5.6598639455782312925170068100</v>
      </c>
      <c r="J19" s="271">
        <v>1.0752688172043010752688172100</v>
      </c>
      <c r="K19" s="92"/>
      <c r="L19" s="272">
        <v>0.1904761904761904761904761900</v>
      </c>
      <c r="M19" s="271">
        <v>56.236559139784946236559139780</v>
      </c>
      <c r="N19" s="92">
        <v>63.831417624521072796934865900</v>
      </c>
      <c r="O19" s="272">
        <v>71.446712018140589569160997730</v>
      </c>
      <c r="P19" s="5"/>
      <c r="Q19" s="271">
        <v>56.880733944867772073057871090</v>
      </c>
      <c r="R19" s="92"/>
      <c r="S19" s="272">
        <v>23.539460198234773054705899720</v>
      </c>
      <c r="T19" s="271">
        <v>-100</v>
      </c>
      <c r="U19" s="92"/>
      <c r="V19" s="272">
        <v>-21.509433961812459950157599900</v>
      </c>
      <c r="W19" s="271">
        <v>11.111111109259259259290124050</v>
      </c>
      <c r="X19" s="92"/>
      <c r="Y19" s="272">
        <v>16.666666682708333335539062210</v>
      </c>
      <c r="Z19" s="271">
        <v>19.679633867348093146008033180</v>
      </c>
      <c r="AA19" s="92">
        <v>61.590688651844528632753239810</v>
      </c>
      <c r="AB19" s="272">
        <v>18.149092545369187067870245410</v>
      </c>
    </row>
    <row r="20" ht="18" customHeight="1">
      <c r="A20" s="58"/>
      <c r="B20" s="1047" t="s">
        <v>76</v>
      </c>
      <c r="C20" s="1047"/>
      <c r="D20" s="273">
        <v>52.043010752688172043010752740</v>
      </c>
      <c r="E20" s="274"/>
      <c r="F20" s="275">
        <v>63.832199546485260770975056750</v>
      </c>
      <c r="G20" s="273">
        <v>0</v>
      </c>
      <c r="H20" s="274"/>
      <c r="I20" s="275">
        <v>5.9863945578231292517006802800</v>
      </c>
      <c r="J20" s="273">
        <v>1.4516129032258064516129032300</v>
      </c>
      <c r="K20" s="274"/>
      <c r="L20" s="275">
        <v>0.2494331065759637188208616800</v>
      </c>
      <c r="M20" s="273">
        <v>53.494623655913978494623655910</v>
      </c>
      <c r="N20" s="274">
        <v>62.375478927203065134099616860</v>
      </c>
      <c r="O20" s="275">
        <v>70.072562358276643990929705220</v>
      </c>
      <c r="P20" s="184"/>
      <c r="Q20" s="273">
        <v>64.346349745158073451881158050</v>
      </c>
      <c r="R20" s="274"/>
      <c r="S20" s="275">
        <v>22.947239692614535193865466070</v>
      </c>
      <c r="T20" s="273">
        <v>-100</v>
      </c>
      <c r="U20" s="274"/>
      <c r="V20" s="275">
        <v>-12.640635341464074834399762680</v>
      </c>
      <c r="W20" s="273">
        <v>92.85714286816326530675218715</v>
      </c>
      <c r="X20" s="274"/>
      <c r="Y20" s="275">
        <v>96.42857140401785714592634086</v>
      </c>
      <c r="Z20" s="273">
        <v>27.892030848473708209700073080</v>
      </c>
      <c r="AA20" s="274">
        <v>56.991321118546281322969165960</v>
      </c>
      <c r="AB20" s="275">
        <v>18.972818972765381459075176920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37.859868192854665279223031560</v>
      </c>
      <c r="E22" s="469"/>
      <c r="F22" s="470">
        <v>63.473276673672530644240657610</v>
      </c>
      <c r="G22" s="468">
        <v>0</v>
      </c>
      <c r="H22" s="469"/>
      <c r="I22" s="470">
        <v>7.1599001671929365436550446600</v>
      </c>
      <c r="J22" s="468">
        <v>1.4047866805411030176899063500</v>
      </c>
      <c r="K22" s="469"/>
      <c r="L22" s="470">
        <v>0.2467880483160118553344930300</v>
      </c>
      <c r="M22" s="468">
        <v>39.264654873395768296912937910</v>
      </c>
      <c r="N22" s="469">
        <v>58.929674947472500308985292300</v>
      </c>
      <c r="O22" s="470">
        <v>70.879964889181479043230195300</v>
      </c>
      <c r="P22" s="184"/>
      <c r="Q22" s="468">
        <v>52.125435540362700142044294410</v>
      </c>
      <c r="R22" s="469"/>
      <c r="S22" s="470">
        <v>15.832285236868378394141921940</v>
      </c>
      <c r="T22" s="468">
        <v>-100</v>
      </c>
      <c r="U22" s="469"/>
      <c r="V22" s="470">
        <v>19.266812313738473881451719040</v>
      </c>
      <c r="W22" s="468">
        <v>39.655172420621759810084195260</v>
      </c>
      <c r="X22" s="469"/>
      <c r="Y22" s="470">
        <v>43.456186910716626516487382420</v>
      </c>
      <c r="Z22" s="468">
        <v>14.285714285785130165140304960</v>
      </c>
      <c r="AA22" s="469">
        <v>57.437675417009656995540994350</v>
      </c>
      <c r="AB22" s="470">
        <v>16.248380440491282373881580450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103.07666275884076466162413432</v>
      </c>
      <c r="E25" s="455"/>
      <c r="F25" s="456">
        <v>115.91008750232917351659440365</v>
      </c>
      <c r="G25" s="454">
        <v>0</v>
      </c>
      <c r="H25" s="455"/>
      <c r="I25" s="456">
        <v>128.63960752654954090426188024</v>
      </c>
      <c r="J25" s="454">
        <v>103.08247666401254254938048672</v>
      </c>
      <c r="K25" s="455"/>
      <c r="L25" s="456">
        <v>97.85891340767181127386920267</v>
      </c>
      <c r="M25" s="454">
        <v>103.07692115462617701219108332</v>
      </c>
      <c r="N25" s="455">
        <v>88.00759613057869981967304687</v>
      </c>
      <c r="O25" s="456">
        <v>116.81343513780097517695484147</v>
      </c>
      <c r="P25" s="5"/>
      <c r="Q25" s="427">
        <v>-4.5286622760439239879859954300</v>
      </c>
      <c r="R25" s="428"/>
      <c r="S25" s="429">
        <v>3.0974972741535981050250789300</v>
      </c>
      <c r="T25" s="427">
        <v>-100</v>
      </c>
      <c r="U25" s="428"/>
      <c r="V25" s="429">
        <v>10.238958760717997200990948310</v>
      </c>
      <c r="W25" s="427">
        <v>-2.5254730125972216693648698900</v>
      </c>
      <c r="X25" s="428"/>
      <c r="Y25" s="429">
        <v>-7.4379151091830583211309990400</v>
      </c>
      <c r="Z25" s="427">
        <v>-6.4542025376271092711263466200</v>
      </c>
      <c r="AA25" s="428">
        <v>-3.6517540274564746813833197300</v>
      </c>
      <c r="AB25" s="429">
        <v>3.6505967098383520312147692600</v>
      </c>
    </row>
    <row r="26" ht="18" customHeight="1">
      <c r="A26" s="58"/>
      <c r="B26" s="1043" t="s">
        <v>46</v>
      </c>
      <c r="C26" s="1043"/>
      <c r="D26" s="439">
        <v>94.70999722408989179687956559</v>
      </c>
      <c r="E26" s="95"/>
      <c r="F26" s="440">
        <v>130.71351893415464589739089344</v>
      </c>
      <c r="G26" s="439">
        <v>0</v>
      </c>
      <c r="H26" s="95"/>
      <c r="I26" s="440">
        <v>136.65413678159217028186592261</v>
      </c>
      <c r="J26" s="439">
        <v>101.58248912969384750824156289</v>
      </c>
      <c r="K26" s="95"/>
      <c r="L26" s="440">
        <v>98.84474288273258511771595216</v>
      </c>
      <c r="M26" s="439">
        <v>95.09180232995677822528856544</v>
      </c>
      <c r="N26" s="95">
        <v>91.6075406430307576538306887</v>
      </c>
      <c r="O26" s="440">
        <v>131.19911151098100766420257529</v>
      </c>
      <c r="P26" s="5"/>
      <c r="Q26" s="420">
        <v>-18.263028728687988416823668140</v>
      </c>
      <c r="R26" s="91"/>
      <c r="S26" s="421">
        <v>3.0837006472316289395698726500</v>
      </c>
      <c r="T26" s="420">
        <v>-100</v>
      </c>
      <c r="U26" s="91"/>
      <c r="V26" s="421">
        <v>3.8747503844549909577408102300</v>
      </c>
      <c r="W26" s="420">
        <v>1.5865439489765801122635003800</v>
      </c>
      <c r="X26" s="91"/>
      <c r="Y26" s="421">
        <v>3.3385983174974362702414324200</v>
      </c>
      <c r="Z26" s="420">
        <v>-19.982580973865097201573695770</v>
      </c>
      <c r="AA26" s="91">
        <v>-9.362757285779434528250867720</v>
      </c>
      <c r="AB26" s="421">
        <v>3.1046908500108951351891418900</v>
      </c>
    </row>
    <row r="27" ht="18" customHeight="1">
      <c r="A27" s="58"/>
      <c r="B27" s="1043" t="s">
        <v>47</v>
      </c>
      <c r="C27" s="1043"/>
      <c r="D27" s="439">
        <v>96.00326720326455497717605366</v>
      </c>
      <c r="E27" s="95"/>
      <c r="F27" s="440">
        <v>141.55428531294753532919030228</v>
      </c>
      <c r="G27" s="439">
        <v>0</v>
      </c>
      <c r="H27" s="95"/>
      <c r="I27" s="440">
        <v>136.57526202156162820268176448</v>
      </c>
      <c r="J27" s="439">
        <v>100.77694026867084461577806683</v>
      </c>
      <c r="K27" s="95"/>
      <c r="L27" s="440">
        <v>98.22254887078663478684001491</v>
      </c>
      <c r="M27" s="439">
        <v>96.1717497820436004938325953</v>
      </c>
      <c r="N27" s="95">
        <v>96.89401476302631758764981492</v>
      </c>
      <c r="O27" s="440">
        <v>140.76767701082212634863925019</v>
      </c>
      <c r="P27" s="93"/>
      <c r="Q27" s="420">
        <v>-9.318913540330786086623233170</v>
      </c>
      <c r="R27" s="91"/>
      <c r="S27" s="421">
        <v>2.9442024496219461143907217200</v>
      </c>
      <c r="T27" s="420">
        <v>-100</v>
      </c>
      <c r="U27" s="91"/>
      <c r="V27" s="421">
        <v>3.0232825286829787915019126500</v>
      </c>
      <c r="W27" s="420">
        <v>9.370783896009485259826094870</v>
      </c>
      <c r="X27" s="91"/>
      <c r="Y27" s="421">
        <v>14.793607725141042496934856930</v>
      </c>
      <c r="Z27" s="420">
        <v>-7.2010682676562834822988184300</v>
      </c>
      <c r="AA27" s="91">
        <v>-22.290435218587414886412678120</v>
      </c>
      <c r="AB27" s="421">
        <v>2.7975234728316237958191888600</v>
      </c>
    </row>
    <row r="28" ht="18" customHeight="1">
      <c r="A28" s="58"/>
      <c r="B28" s="1043" t="s">
        <v>48</v>
      </c>
      <c r="C28" s="1043"/>
      <c r="D28" s="439">
        <v>93.80080776779183434508434184</v>
      </c>
      <c r="E28" s="95"/>
      <c r="F28" s="440">
        <v>137.16346429393316326048801763</v>
      </c>
      <c r="G28" s="439">
        <v>0</v>
      </c>
      <c r="H28" s="95"/>
      <c r="I28" s="440">
        <v>144.7490105337855103341693767</v>
      </c>
      <c r="J28" s="439">
        <v>99.07060524285857247903273029</v>
      </c>
      <c r="K28" s="95"/>
      <c r="L28" s="440">
        <v>97.21286404839457787177517728</v>
      </c>
      <c r="M28" s="439">
        <v>94.07816552963745214160794123</v>
      </c>
      <c r="N28" s="95">
        <v>96.30959485010396974650814025</v>
      </c>
      <c r="O28" s="440">
        <v>137.92187774138401936695120583</v>
      </c>
      <c r="P28" s="5"/>
      <c r="Q28" s="420">
        <v>-10.476294352065419152769873730</v>
      </c>
      <c r="R28" s="91"/>
      <c r="S28" s="421">
        <v>3.5730594751571286696254952900</v>
      </c>
      <c r="T28" s="420">
        <v>-100</v>
      </c>
      <c r="U28" s="91"/>
      <c r="V28" s="421">
        <v>24.394502963257685576342212960</v>
      </c>
      <c r="W28" s="420">
        <v>7.8095373816398170215421068700</v>
      </c>
      <c r="X28" s="91"/>
      <c r="Y28" s="421">
        <v>10.734332657778202654019046160</v>
      </c>
      <c r="Z28" s="420">
        <v>-7.3538633288282016714194462600</v>
      </c>
      <c r="AA28" s="91">
        <v>-2.5446188957240676274066646200</v>
      </c>
      <c r="AB28" s="421">
        <v>5.3184466401601964410286726700</v>
      </c>
    </row>
    <row r="29" ht="18" customHeight="1">
      <c r="A29" s="58"/>
      <c r="B29" s="1043" t="s">
        <v>49</v>
      </c>
      <c r="C29" s="1043"/>
      <c r="D29" s="439">
        <v>90.33650415834106919653921323</v>
      </c>
      <c r="E29" s="95"/>
      <c r="F29" s="440">
        <v>123.45278646375775212018431385</v>
      </c>
      <c r="G29" s="439">
        <v>0</v>
      </c>
      <c r="H29" s="95"/>
      <c r="I29" s="440">
        <v>138.97813401230365188477822028</v>
      </c>
      <c r="J29" s="439">
        <v>98.57060939808567413198642225</v>
      </c>
      <c r="K29" s="95"/>
      <c r="L29" s="440">
        <v>99.97164563734809404655115185</v>
      </c>
      <c r="M29" s="439">
        <v>90.55649933650218459557787912</v>
      </c>
      <c r="N29" s="95">
        <v>93.50191715394820458681768342</v>
      </c>
      <c r="O29" s="440">
        <v>124.86973495064677060524392109</v>
      </c>
      <c r="P29" s="93"/>
      <c r="Q29" s="420">
        <v>-6.508930246234516717538374100</v>
      </c>
      <c r="R29" s="91"/>
      <c r="S29" s="421">
        <v>3.2875286791672466540468536200</v>
      </c>
      <c r="T29" s="420">
        <v>-100</v>
      </c>
      <c r="U29" s="91"/>
      <c r="V29" s="421">
        <v>27.542744937024309261416218130</v>
      </c>
      <c r="W29" s="420">
        <v>6.7242095989495506290046818200</v>
      </c>
      <c r="X29" s="91"/>
      <c r="Y29" s="421">
        <v>14.278732106646797177444519070</v>
      </c>
      <c r="Z29" s="420">
        <v>-6.4601291667165855308018654500</v>
      </c>
      <c r="AA29" s="91">
        <v>-6.8110319747545523041843170300</v>
      </c>
      <c r="AB29" s="421">
        <v>5.2894052766731633988069410500</v>
      </c>
    </row>
    <row r="30" ht="18" customHeight="1">
      <c r="A30" s="58"/>
      <c r="B30" s="1044" t="s">
        <v>75</v>
      </c>
      <c r="C30" s="1044"/>
      <c r="D30" s="457">
        <v>95.64200351881386883434281544</v>
      </c>
      <c r="E30" s="458"/>
      <c r="F30" s="459">
        <v>130.30757548298494820731780378</v>
      </c>
      <c r="G30" s="457">
        <v>0</v>
      </c>
      <c r="H30" s="458"/>
      <c r="I30" s="459">
        <v>137.97252494260293093250509784</v>
      </c>
      <c r="J30" s="457">
        <v>100.73990353942840770118204401</v>
      </c>
      <c r="K30" s="458"/>
      <c r="L30" s="459">
        <v>98.24341831189065445304540029</v>
      </c>
      <c r="M30" s="457">
        <v>95.85893543458470027548491027</v>
      </c>
      <c r="N30" s="458">
        <v>93.31881116422840590575578009</v>
      </c>
      <c r="O30" s="459">
        <v>131.01269334986952279206387558</v>
      </c>
      <c r="P30" s="5"/>
      <c r="Q30" s="430">
        <v>-9.167215415816288148620270300</v>
      </c>
      <c r="R30" s="431"/>
      <c r="S30" s="432">
        <v>2.7080543189204869379459311600</v>
      </c>
      <c r="T30" s="430">
        <v>-100</v>
      </c>
      <c r="U30" s="431"/>
      <c r="V30" s="432">
        <v>12.158142895915436197810832570</v>
      </c>
      <c r="W30" s="430">
        <v>5.919284542309268432259514500</v>
      </c>
      <c r="X30" s="431"/>
      <c r="Y30" s="432">
        <v>8.414197294201139189438576580</v>
      </c>
      <c r="Z30" s="430">
        <v>-8.671408805713748323837753530</v>
      </c>
      <c r="AA30" s="431">
        <v>-10.694696345607952280675262130</v>
      </c>
      <c r="AB30" s="432">
        <v>3.6321124106441130174335175200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105.67604485369349987264889955</v>
      </c>
      <c r="E32" s="494"/>
      <c r="F32" s="495">
        <v>123.09605387164126915264680086</v>
      </c>
      <c r="G32" s="493">
        <v>0</v>
      </c>
      <c r="H32" s="494"/>
      <c r="I32" s="495">
        <v>130.33952667227197299875800434</v>
      </c>
      <c r="J32" s="493">
        <v>104.76383524006258306934993412</v>
      </c>
      <c r="K32" s="494"/>
      <c r="L32" s="495">
        <v>104.0766375186350517030889839</v>
      </c>
      <c r="M32" s="493">
        <v>105.64318984642289481829279274</v>
      </c>
      <c r="N32" s="494">
        <v>96.46980818114295960449828157</v>
      </c>
      <c r="O32" s="495">
        <v>123.66004923200106809831035844</v>
      </c>
      <c r="P32" s="93"/>
      <c r="Q32" s="479">
        <v>-7.6075667058780125514551890700</v>
      </c>
      <c r="R32" s="480"/>
      <c r="S32" s="481">
        <v>6.6300495303095674406147345300</v>
      </c>
      <c r="T32" s="479">
        <v>-100</v>
      </c>
      <c r="U32" s="480"/>
      <c r="V32" s="481">
        <v>6.4437973380492613581683790100</v>
      </c>
      <c r="W32" s="479">
        <v>3.9328144266388477710875987200</v>
      </c>
      <c r="X32" s="480"/>
      <c r="Y32" s="481">
        <v>2.2233765652019489247025305700</v>
      </c>
      <c r="Z32" s="479">
        <v>-8.336989841784320586535729330</v>
      </c>
      <c r="AA32" s="480">
        <v>0.3817840514882404136280763100</v>
      </c>
      <c r="AB32" s="481">
        <v>6.4067824768873139803722098600</v>
      </c>
    </row>
    <row r="33" ht="18" customHeight="1">
      <c r="A33" s="58"/>
      <c r="B33" s="1046" t="s">
        <v>51</v>
      </c>
      <c r="C33" s="1046"/>
      <c r="D33" s="276">
        <v>111.68718098287712940493278631</v>
      </c>
      <c r="E33" s="94"/>
      <c r="F33" s="277">
        <v>121.52024994160289376809002948</v>
      </c>
      <c r="G33" s="276">
        <v>0</v>
      </c>
      <c r="H33" s="94"/>
      <c r="I33" s="277">
        <v>126.54180670859683192847719269</v>
      </c>
      <c r="J33" s="276">
        <v>102.49914817844416114449312754</v>
      </c>
      <c r="K33" s="94"/>
      <c r="L33" s="277">
        <v>96.97068098299889304212638602</v>
      </c>
      <c r="M33" s="276">
        <v>111.51150157935068641716147352</v>
      </c>
      <c r="N33" s="94">
        <v>94.49678924407461292959269707</v>
      </c>
      <c r="O33" s="277">
        <v>121.85259861171505999848692592</v>
      </c>
      <c r="P33" s="5"/>
      <c r="Q33" s="271">
        <v>7.6959842035012252031177620700</v>
      </c>
      <c r="R33" s="92"/>
      <c r="S33" s="272">
        <v>4.9879428493521808079216887300</v>
      </c>
      <c r="T33" s="271">
        <v>-100</v>
      </c>
      <c r="U33" s="92"/>
      <c r="V33" s="272">
        <v>4.5166760116855834760821209900</v>
      </c>
      <c r="W33" s="271">
        <v>9.560121495182191009056711620</v>
      </c>
      <c r="X33" s="92"/>
      <c r="Y33" s="272">
        <v>2.6376309966717591207724999600</v>
      </c>
      <c r="Z33" s="271">
        <v>7.0440463191141584930343900800</v>
      </c>
      <c r="AA33" s="92">
        <v>-4.1340943120785651095596047100</v>
      </c>
      <c r="AB33" s="272">
        <v>4.7522276373563976075030906700</v>
      </c>
    </row>
    <row r="34" ht="18" customHeight="1">
      <c r="A34" s="58"/>
      <c r="B34" s="1047" t="s">
        <v>76</v>
      </c>
      <c r="C34" s="1047"/>
      <c r="D34" s="443">
        <v>108.86169860810589858139025689</v>
      </c>
      <c r="E34" s="444"/>
      <c r="F34" s="445">
        <v>122.28637614361018348436157382</v>
      </c>
      <c r="G34" s="443">
        <v>0</v>
      </c>
      <c r="H34" s="444"/>
      <c r="I34" s="445">
        <v>128.54424087126190631098889337</v>
      </c>
      <c r="J34" s="443">
        <v>103.92506225427798235644000576</v>
      </c>
      <c r="K34" s="444"/>
      <c r="L34" s="445">
        <v>101.36345411411942748708508289</v>
      </c>
      <c r="M34" s="633">
        <v>108.7277396316703671863413556</v>
      </c>
      <c r="N34" s="634">
        <v>95.4602720788223620736651416</v>
      </c>
      <c r="O34" s="635">
        <v>122.73860152402146251923397647</v>
      </c>
      <c r="P34" s="93"/>
      <c r="Q34" s="273">
        <v>0.3769796318270237696671909400</v>
      </c>
      <c r="R34" s="274"/>
      <c r="S34" s="275">
        <v>5.7859097737561432981472833900</v>
      </c>
      <c r="T34" s="273">
        <v>-100</v>
      </c>
      <c r="U34" s="274"/>
      <c r="V34" s="275">
        <v>5.601937191330691051548027100</v>
      </c>
      <c r="W34" s="273">
        <v>8.094874136637599011286880520</v>
      </c>
      <c r="X34" s="274"/>
      <c r="Y34" s="275">
        <v>4.3928681244691503543098364200</v>
      </c>
      <c r="Z34" s="273">
        <v>-0.2764066254942788464160165600</v>
      </c>
      <c r="AA34" s="274">
        <v>-1.9212507509188720682738902400</v>
      </c>
      <c r="AB34" s="275">
        <v>5.5625346883705263397169285400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101.51626202473660100778744847</v>
      </c>
      <c r="E36" s="483"/>
      <c r="F36" s="484">
        <v>127.55312465480205830232383371</v>
      </c>
      <c r="G36" s="482">
        <v>0</v>
      </c>
      <c r="H36" s="483"/>
      <c r="I36" s="484">
        <v>136.75971279806197920467877599</v>
      </c>
      <c r="J36" s="482">
        <v>101.4691358024691358024691358</v>
      </c>
      <c r="K36" s="483"/>
      <c r="L36" s="484">
        <v>96.22199100944225484762174245</v>
      </c>
      <c r="M36" s="482">
        <v>101.51461572438162544169611307</v>
      </c>
      <c r="N36" s="483">
        <v>94.04999790268456375838926174</v>
      </c>
      <c r="O36" s="484">
        <v>128.37403508771929824561403509</v>
      </c>
      <c r="P36" s="93"/>
      <c r="Q36" s="468">
        <v>-4.6873619435432842784939103300</v>
      </c>
      <c r="R36" s="469"/>
      <c r="S36" s="470">
        <v>3.22372716246579679445782300</v>
      </c>
      <c r="T36" s="468">
        <v>-100</v>
      </c>
      <c r="U36" s="469"/>
      <c r="V36" s="470">
        <v>12.783457670274213649271389390</v>
      </c>
      <c r="W36" s="468">
        <v>3.140726893530671717026049200</v>
      </c>
      <c r="X36" s="469"/>
      <c r="Y36" s="470">
        <v>1.3720651059158180193804073300</v>
      </c>
      <c r="Z36" s="468">
        <v>-4.7333158259348886703761159500</v>
      </c>
      <c r="AA36" s="469">
        <v>-7.8468567168646061840479345800</v>
      </c>
      <c r="AB36" s="470">
        <v>4.1479536429003087025282190200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28.595461281484857293224759869</v>
      </c>
      <c r="E39" s="455"/>
      <c r="F39" s="456">
        <v>58.265188656499617199906229987</v>
      </c>
      <c r="G39" s="454">
        <v>0</v>
      </c>
      <c r="H39" s="455"/>
      <c r="I39" s="456">
        <v>5.4256160997592323374586643414</v>
      </c>
      <c r="J39" s="454">
        <v>1.330096473084032807088780475</v>
      </c>
      <c r="K39" s="455"/>
      <c r="L39" s="456">
        <v>0.2307783898956432737524353081</v>
      </c>
      <c r="M39" s="454">
        <v>29.925557754568890100313540319</v>
      </c>
      <c r="N39" s="455">
        <v>43.430568511948415849708384816</v>
      </c>
      <c r="O39" s="456">
        <v>63.921583146154492811117329579</v>
      </c>
      <c r="P39" s="5"/>
      <c r="Q39" s="427">
        <v>43.834190556614896645332571180</v>
      </c>
      <c r="R39" s="428"/>
      <c r="S39" s="429">
        <v>27.430461085881613812265612960</v>
      </c>
      <c r="T39" s="427">
        <v>-100</v>
      </c>
      <c r="U39" s="428"/>
      <c r="V39" s="429">
        <v>58.949196353505779047035384270</v>
      </c>
      <c r="W39" s="427">
        <v>133.93886479011817142374776621</v>
      </c>
      <c r="X39" s="428"/>
      <c r="Y39" s="429">
        <v>140.66142067651554218986955399</v>
      </c>
      <c r="Z39" s="427">
        <v>9.221039199480897328242644880</v>
      </c>
      <c r="AA39" s="428">
        <v>99.35187279156992126086098929</v>
      </c>
      <c r="AB39" s="429">
        <v>29.836293786647666350788620270</v>
      </c>
    </row>
    <row r="40" ht="18" customHeight="1">
      <c r="A40" s="58"/>
      <c r="B40" s="1043" t="s">
        <v>46</v>
      </c>
      <c r="C40" s="1043"/>
      <c r="D40" s="439">
        <v>25.968870206605292912047622848</v>
      </c>
      <c r="E40" s="95"/>
      <c r="F40" s="440">
        <v>88.35759635889229011794155412</v>
      </c>
      <c r="G40" s="439">
        <v>0</v>
      </c>
      <c r="H40" s="95"/>
      <c r="I40" s="440">
        <v>10.520199418900349616937297226</v>
      </c>
      <c r="J40" s="439">
        <v>1.6384272440273201211006703707</v>
      </c>
      <c r="K40" s="95"/>
      <c r="L40" s="440">
        <v>0.2801721737038905473858161912</v>
      </c>
      <c r="M40" s="439">
        <v>27.607297450632613033148293194</v>
      </c>
      <c r="N40" s="95">
        <v>51.375684910435353071185697543</v>
      </c>
      <c r="O40" s="440">
        <v>99.15796795149653028226466745</v>
      </c>
      <c r="P40" s="5"/>
      <c r="Q40" s="420">
        <v>28.264170302531181538635619640</v>
      </c>
      <c r="R40" s="91"/>
      <c r="S40" s="421">
        <v>20.886117871580881049470895080</v>
      </c>
      <c r="T40" s="420">
        <v>-100</v>
      </c>
      <c r="U40" s="91"/>
      <c r="V40" s="421">
        <v>4.9567790344027622078329159900</v>
      </c>
      <c r="W40" s="420">
        <v>21.903852739917838090658654040</v>
      </c>
      <c r="X40" s="91"/>
      <c r="Y40" s="421">
        <v>29.173247914157677163724797560</v>
      </c>
      <c r="Z40" s="420">
        <v>-10.446826374805068488135093940</v>
      </c>
      <c r="AA40" s="91">
        <v>39.103815489139105885716920890</v>
      </c>
      <c r="AB40" s="421">
        <v>18.991667106341993086138169350</v>
      </c>
    </row>
    <row r="41" ht="18" customHeight="1">
      <c r="A41" s="58"/>
      <c r="B41" s="1043" t="s">
        <v>47</v>
      </c>
      <c r="C41" s="1043"/>
      <c r="D41" s="439">
        <v>31.743015768821344790840469384</v>
      </c>
      <c r="E41" s="95"/>
      <c r="F41" s="440">
        <v>102.15340431030737668597463433</v>
      </c>
      <c r="G41" s="439">
        <v>0</v>
      </c>
      <c r="H41" s="95"/>
      <c r="I41" s="440">
        <v>15.144059666336425440161311313</v>
      </c>
      <c r="J41" s="439">
        <v>1.2190758903468247332553798418</v>
      </c>
      <c r="K41" s="95"/>
      <c r="L41" s="440">
        <v>0.2004541813689523158915102347</v>
      </c>
      <c r="M41" s="439">
        <v>32.962091659168169524095849195</v>
      </c>
      <c r="N41" s="95">
        <v>61.533267996059816628938531892</v>
      </c>
      <c r="O41" s="440">
        <v>117.49791815801275444202745577</v>
      </c>
      <c r="P41" s="93"/>
      <c r="Q41" s="420">
        <v>21.236669940644709905927634020</v>
      </c>
      <c r="R41" s="91"/>
      <c r="S41" s="421">
        <v>10.013406412379024465687768960</v>
      </c>
      <c r="T41" s="420">
        <v>-100</v>
      </c>
      <c r="U41" s="91"/>
      <c r="V41" s="421">
        <v>64.904697729681480903858442220</v>
      </c>
      <c r="W41" s="420">
        <v>40.619579301279001853237626060</v>
      </c>
      <c r="X41" s="91"/>
      <c r="Y41" s="421">
        <v>47.591781347268766792801247230</v>
      </c>
      <c r="Z41" s="420">
        <v>-10.0238494609635946520386800</v>
      </c>
      <c r="AA41" s="91">
        <v>14.875008807366878177750564230</v>
      </c>
      <c r="AB41" s="421">
        <v>14.997016837416932415051578290</v>
      </c>
    </row>
    <row r="42" ht="18" customHeight="1">
      <c r="A42" s="58"/>
      <c r="B42" s="1043" t="s">
        <v>48</v>
      </c>
      <c r="C42" s="1043"/>
      <c r="D42" s="439">
        <v>31.771241340703685826560825491</v>
      </c>
      <c r="E42" s="95"/>
      <c r="F42" s="440">
        <v>95.42347130471359294403111984</v>
      </c>
      <c r="G42" s="439">
        <v>0</v>
      </c>
      <c r="H42" s="95"/>
      <c r="I42" s="440">
        <v>14.589781220468856993999611792</v>
      </c>
      <c r="J42" s="439">
        <v>1.86423181908604840686351912</v>
      </c>
      <c r="K42" s="95"/>
      <c r="L42" s="440">
        <v>0.3086122668203002472119846901</v>
      </c>
      <c r="M42" s="439">
        <v>33.635473159789734233424344581</v>
      </c>
      <c r="N42" s="95">
        <v>59.916745071975601868158081504</v>
      </c>
      <c r="O42" s="440">
        <v>110.32186479200275018524271622</v>
      </c>
      <c r="P42" s="5"/>
      <c r="Q42" s="420">
        <v>21.945804450209865956186690390</v>
      </c>
      <c r="R42" s="91"/>
      <c r="S42" s="421">
        <v>12.422482388029592907983365030</v>
      </c>
      <c r="T42" s="420">
        <v>-100</v>
      </c>
      <c r="U42" s="91"/>
      <c r="V42" s="421">
        <v>112.25856647636635384295114582</v>
      </c>
      <c r="W42" s="420">
        <v>50.933352340208637716789487160</v>
      </c>
      <c r="X42" s="91"/>
      <c r="Y42" s="421">
        <v>55.028065703583553090479014820</v>
      </c>
      <c r="Z42" s="420">
        <v>-9.063201643792488299184668070</v>
      </c>
      <c r="AA42" s="91">
        <v>40.817063464469124701237499210</v>
      </c>
      <c r="AB42" s="421">
        <v>19.977658815865398864792795280</v>
      </c>
    </row>
    <row r="43" ht="18" customHeight="1">
      <c r="A43" s="58"/>
      <c r="B43" s="1043" t="s">
        <v>49</v>
      </c>
      <c r="C43" s="1043"/>
      <c r="D43" s="439">
        <v>30.962108280076576135910617465</v>
      </c>
      <c r="E43" s="95"/>
      <c r="F43" s="440">
        <v>74.085668792819703171443942609</v>
      </c>
      <c r="G43" s="439">
        <v>0</v>
      </c>
      <c r="H43" s="95"/>
      <c r="I43" s="440">
        <v>9.044608721435634487739534979</v>
      </c>
      <c r="J43" s="439">
        <v>0.9274116475626340308117002102</v>
      </c>
      <c r="K43" s="95"/>
      <c r="L43" s="440">
        <v>0.158685151805314434994525638</v>
      </c>
      <c r="M43" s="439">
        <v>31.889519927639210166722317647</v>
      </c>
      <c r="N43" s="95">
        <v>53.557611549866883470226987246</v>
      </c>
      <c r="O43" s="440">
        <v>83.28896266606065209417800315</v>
      </c>
      <c r="P43" s="93"/>
      <c r="Q43" s="420">
        <v>47.526131109223423067766866790</v>
      </c>
      <c r="R43" s="91"/>
      <c r="S43" s="421">
        <v>17.864110317953066111778335680</v>
      </c>
      <c r="T43" s="420">
        <v>-100</v>
      </c>
      <c r="U43" s="91"/>
      <c r="V43" s="421">
        <v>98.50741755244580393580441824</v>
      </c>
      <c r="W43" s="420">
        <v>-33.297369000697799521987459580</v>
      </c>
      <c r="X43" s="91"/>
      <c r="Y43" s="421">
        <v>-33.337406277180822156169409280</v>
      </c>
      <c r="Z43" s="420">
        <v>5.2725350444722413486526672100</v>
      </c>
      <c r="AA43" s="91">
        <v>50.288573028795484124906835360</v>
      </c>
      <c r="AB43" s="421">
        <v>23.115274932815645836843152010</v>
      </c>
    </row>
    <row r="44" ht="18" customHeight="1">
      <c r="A44" s="58"/>
      <c r="B44" s="1044" t="s">
        <v>75</v>
      </c>
      <c r="C44" s="1044"/>
      <c r="D44" s="457">
        <v>29.750392799631042148931520962</v>
      </c>
      <c r="E44" s="458"/>
      <c r="F44" s="459">
        <v>82.44792887378237798462362636</v>
      </c>
      <c r="G44" s="457">
        <v>0</v>
      </c>
      <c r="H44" s="458"/>
      <c r="I44" s="459">
        <v>10.68203221939815370679258776</v>
      </c>
      <c r="J44" s="457">
        <v>1.3927175604529272954080466928</v>
      </c>
      <c r="K44" s="458"/>
      <c r="L44" s="459">
        <v>0.2355041449653355500332154074</v>
      </c>
      <c r="M44" s="457">
        <v>31.143110360083969444339567622</v>
      </c>
      <c r="N44" s="458">
        <v>53.461241936813938066789481753</v>
      </c>
      <c r="O44" s="459">
        <v>93.36546523814586724144942944</v>
      </c>
      <c r="P44" s="5"/>
      <c r="Q44" s="430">
        <v>31.696698412807039056328702510</v>
      </c>
      <c r="R44" s="431"/>
      <c r="S44" s="432">
        <v>15.390005960485148075995025540</v>
      </c>
      <c r="T44" s="430">
        <v>-100</v>
      </c>
      <c r="U44" s="431"/>
      <c r="V44" s="432">
        <v>59.368585921318755697807365550</v>
      </c>
      <c r="W44" s="430">
        <v>27.103141456357188268519558900</v>
      </c>
      <c r="X44" s="431"/>
      <c r="Y44" s="432">
        <v>30.804085855668949655198504330</v>
      </c>
      <c r="Z44" s="430">
        <v>-3.6608626554763384893017463700</v>
      </c>
      <c r="AA44" s="431">
        <v>40.772416403181826364908542050</v>
      </c>
      <c r="AB44" s="432">
        <v>19.188487293883968271068156070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51.701720869280153163500268104</v>
      </c>
      <c r="E46" s="494"/>
      <c r="F46" s="495">
        <v>76.403292212575165969302681094</v>
      </c>
      <c r="G46" s="493">
        <v>0</v>
      </c>
      <c r="H46" s="494"/>
      <c r="I46" s="495">
        <v>8.228236785841387138969212798</v>
      </c>
      <c r="J46" s="493">
        <v>1.9150378484742622711601600877</v>
      </c>
      <c r="K46" s="494"/>
      <c r="L46" s="495">
        <v>0.3209619660438631979959206763</v>
      </c>
      <c r="M46" s="493">
        <v>53.616758717754415434660428144</v>
      </c>
      <c r="N46" s="494">
        <v>58.768963604604331713085160038</v>
      </c>
      <c r="O46" s="495">
        <v>84.95249096446041630626781449</v>
      </c>
      <c r="P46" s="93"/>
      <c r="Q46" s="479">
        <v>60.452508201630487367193650460</v>
      </c>
      <c r="R46" s="480"/>
      <c r="S46" s="481">
        <v>30.437867167747928167788008930</v>
      </c>
      <c r="T46" s="479">
        <v>-100</v>
      </c>
      <c r="U46" s="480"/>
      <c r="V46" s="481">
        <v>3.4705069093282981738754001200</v>
      </c>
      <c r="W46" s="479">
        <v>253.37156904356071220507752796</v>
      </c>
      <c r="X46" s="480"/>
      <c r="Y46" s="481">
        <v>247.55948044748169050678689954</v>
      </c>
      <c r="Z46" s="479">
        <v>26.876659222009097222065093370</v>
      </c>
      <c r="AA46" s="480">
        <v>53.026880768692617757654369250</v>
      </c>
      <c r="AB46" s="481">
        <v>27.519773810035680804977311890</v>
      </c>
    </row>
    <row r="47" ht="18" customHeight="1">
      <c r="A47" s="58"/>
      <c r="B47" s="1046" t="s">
        <v>51</v>
      </c>
      <c r="C47" s="1046"/>
      <c r="D47" s="276">
        <v>61.608090155070932671753246693</v>
      </c>
      <c r="E47" s="94"/>
      <c r="F47" s="277">
        <v>79.7128750637344333542700312</v>
      </c>
      <c r="G47" s="276">
        <v>0</v>
      </c>
      <c r="H47" s="94"/>
      <c r="I47" s="277">
        <v>7.1620940939831676302376207083</v>
      </c>
      <c r="J47" s="276">
        <v>1.1021413782628404424139045982</v>
      </c>
      <c r="K47" s="94"/>
      <c r="L47" s="277">
        <v>0.1847060590152359867469074021</v>
      </c>
      <c r="M47" s="276">
        <v>62.710231533333773114167151238</v>
      </c>
      <c r="N47" s="94">
        <v>60.318640184148775915977560659</v>
      </c>
      <c r="O47" s="277">
        <v>87.05967521673283697125455923</v>
      </c>
      <c r="P47" s="5"/>
      <c r="Q47" s="271">
        <v>68.954250447793229398583173080</v>
      </c>
      <c r="R47" s="92"/>
      <c r="S47" s="272">
        <v>29.701537869156605187679628130</v>
      </c>
      <c r="T47" s="271">
        <v>-100</v>
      </c>
      <c r="U47" s="92"/>
      <c r="V47" s="272">
        <v>-17.964269394776649920608249410</v>
      </c>
      <c r="W47" s="271">
        <v>21.733468325638061992965980530</v>
      </c>
      <c r="X47" s="92"/>
      <c r="Y47" s="272">
        <v>19.743902796877764629183704570</v>
      </c>
      <c r="Z47" s="271">
        <v>28.109922711528380665440799300</v>
      </c>
      <c r="AA47" s="92">
        <v>54.910377183253706234493261850</v>
      </c>
      <c r="AB47" s="272">
        <v>23.763806374654171959746734340</v>
      </c>
    </row>
    <row r="48" ht="18" customHeight="1">
      <c r="A48" s="58"/>
      <c r="B48" s="1047" t="s">
        <v>76</v>
      </c>
      <c r="C48" s="1047"/>
      <c r="D48" s="443">
        <v>56.654905512175542917626757404</v>
      </c>
      <c r="E48" s="444"/>
      <c r="F48" s="445">
        <v>78.058083638154799661786356148</v>
      </c>
      <c r="G48" s="443">
        <v>0</v>
      </c>
      <c r="H48" s="444"/>
      <c r="I48" s="445">
        <v>7.695165439912277384603416753</v>
      </c>
      <c r="J48" s="443">
        <v>1.5085896133685513567870323431</v>
      </c>
      <c r="K48" s="444"/>
      <c r="L48" s="445">
        <v>0.2528340125295495923714140392</v>
      </c>
      <c r="M48" s="443">
        <v>58.163495125544094274413789688</v>
      </c>
      <c r="N48" s="444">
        <v>59.543801894376553814531360352</v>
      </c>
      <c r="O48" s="445">
        <v>86.00608309059662663876118687</v>
      </c>
      <c r="P48" s="93"/>
      <c r="Q48" s="273">
        <v>64.965902009482142965650563580</v>
      </c>
      <c r="R48" s="274"/>
      <c r="S48" s="275">
        <v>30.060856050320974070967379300</v>
      </c>
      <c r="T48" s="273">
        <v>-100</v>
      </c>
      <c r="U48" s="274"/>
      <c r="V48" s="275">
        <v>-7.7468186021246708542856196600</v>
      </c>
      <c r="W48" s="273">
        <v>108.46868584516607414184975279</v>
      </c>
      <c r="X48" s="274"/>
      <c r="Y48" s="275">
        <v>105.05741960633977614316664237</v>
      </c>
      <c r="Z48" s="273">
        <v>27.538528801555310003464138270</v>
      </c>
      <c r="AA48" s="274">
        <v>53.975124182925512509241760630</v>
      </c>
      <c r="AB48" s="275">
        <v>25.590723297915496782264884790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38.433922996878251821019771072</v>
      </c>
      <c r="E50" s="483"/>
      <c r="F50" s="484">
        <v>80.96214771805692049772280312</v>
      </c>
      <c r="G50" s="482">
        <v>0</v>
      </c>
      <c r="H50" s="483"/>
      <c r="I50" s="484">
        <v>9.791858905281019484824447503</v>
      </c>
      <c r="J50" s="482">
        <v>1.4254249046132500867152271939</v>
      </c>
      <c r="K50" s="483"/>
      <c r="L50" s="484">
        <v>0.2374643736630109354543586193</v>
      </c>
      <c r="M50" s="482">
        <v>39.859363510232396808879639265</v>
      </c>
      <c r="N50" s="483">
        <v>55.423358052156717340254603881</v>
      </c>
      <c r="O50" s="484">
        <v>90.99147099700095091800160925</v>
      </c>
      <c r="P50" s="93"/>
      <c r="Q50" s="468">
        <v>44.994765768287078628751980450</v>
      </c>
      <c r="R50" s="469"/>
      <c r="S50" s="470">
        <v>19.566402078860561801643430020</v>
      </c>
      <c r="T50" s="468">
        <v>-100</v>
      </c>
      <c r="U50" s="469"/>
      <c r="V50" s="470">
        <v>34.513234781063708324446551560</v>
      </c>
      <c r="W50" s="468">
        <v>44.041359977305986688256818780</v>
      </c>
      <c r="X50" s="469"/>
      <c r="Y50" s="470">
        <v>45.424499184626989036552799380</v>
      </c>
      <c r="Z50" s="468">
        <v>8.876210484540829558418880230</v>
      </c>
      <c r="AA50" s="469">
        <v>45.083766608546528189186739120</v>
      </c>
      <c r="AB50" s="470">
        <v>21.070309371878528316607768510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5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153</v>
      </c>
      <c r="Y1" s="5"/>
      <c r="AB1" s="685"/>
      <c r="AD1" s="236"/>
    </row>
    <row r="2" ht="15" customHeight="1">
      <c r="A2" s="11"/>
      <c r="B2" s="11" t="s">
        <v>170</v>
      </c>
    </row>
    <row r="3" ht="17.1" customHeight="1">
      <c r="A3" s="11"/>
      <c r="B3" s="11" t="s">
        <v>171</v>
      </c>
      <c r="R3" s="1040" t="s">
        <v>247</v>
      </c>
      <c r="S3" s="1040"/>
      <c r="T3" s="1040"/>
      <c r="U3" s="1040"/>
      <c r="V3" s="1040"/>
      <c r="W3" s="1040"/>
      <c r="X3" s="1040"/>
      <c r="Y3" s="1040"/>
      <c r="Z3" s="1040"/>
      <c r="AA3" s="1040"/>
      <c r="AB3" s="1040"/>
    </row>
    <row r="4" ht="19.5" customHeight="1">
      <c r="A4" s="4"/>
      <c r="B4" s="211" t="s">
        <v>172</v>
      </c>
      <c r="C4" s="5"/>
      <c r="D4" s="5"/>
      <c r="E4" s="5"/>
      <c r="F4" s="5"/>
      <c r="G4" s="5"/>
      <c r="H4" s="212"/>
      <c r="I4" s="212"/>
      <c r="J4" s="212"/>
      <c r="K4" s="212"/>
      <c r="L4" s="212"/>
      <c r="M4" s="212"/>
      <c r="N4" s="212"/>
      <c r="O4" s="212"/>
      <c r="P4" s="212"/>
      <c r="Q4" s="212"/>
      <c r="R4" s="212"/>
      <c r="S4" s="212"/>
      <c r="T4" s="212"/>
      <c r="U4" s="4"/>
      <c r="V4" s="4"/>
    </row>
    <row r="5" ht="12.75" customHeight="1"/>
    <row r="6" ht="15.75">
      <c r="D6" s="978" t="s">
        <v>58</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19.147728092058776875711999090</v>
      </c>
      <c r="E11" s="428"/>
      <c r="F11" s="429">
        <v>44.524399819873647051988989790</v>
      </c>
      <c r="G11" s="427">
        <v>1.4897904739931071279219000100</v>
      </c>
      <c r="H11" s="428"/>
      <c r="I11" s="429">
        <v>3.9279755465854709146485033100</v>
      </c>
      <c r="J11" s="427">
        <v>1.1604683692156834470128484300</v>
      </c>
      <c r="K11" s="428"/>
      <c r="L11" s="429">
        <v>0.2086453523590434896926456700</v>
      </c>
      <c r="M11" s="427">
        <v>21.803921568627450980392156860</v>
      </c>
      <c r="N11" s="428">
        <v>34.526546250684181718664477290</v>
      </c>
      <c r="O11" s="429">
        <v>48.664515376540569962287624900</v>
      </c>
      <c r="P11" s="5"/>
      <c r="Q11" s="427">
        <v>5.906227501236824457449024900</v>
      </c>
      <c r="R11" s="428"/>
      <c r="S11" s="429">
        <v>10.380924883807966894079101430</v>
      </c>
      <c r="T11" s="427">
        <v>-51.749485099000469873569251240</v>
      </c>
      <c r="U11" s="428"/>
      <c r="V11" s="429">
        <v>6.3014426867985383748394694400</v>
      </c>
      <c r="W11" s="427">
        <v>6.4897328838932749260140607300</v>
      </c>
      <c r="X11" s="428"/>
      <c r="Y11" s="429">
        <v>-47.546514815448988399901445080</v>
      </c>
      <c r="Z11" s="427">
        <v>-2.5526501767497918405773054700</v>
      </c>
      <c r="AA11" s="428">
        <v>35.740932279196835708100094060</v>
      </c>
      <c r="AB11" s="429">
        <v>9.537703638648935085861019070</v>
      </c>
    </row>
    <row r="12" ht="18" customHeight="1">
      <c r="A12" s="58"/>
      <c r="B12" s="1043" t="s">
        <v>46</v>
      </c>
      <c r="C12" s="1043"/>
      <c r="D12" s="420">
        <v>23.309641647750530272020243390</v>
      </c>
      <c r="E12" s="91"/>
      <c r="F12" s="421">
        <v>62.592523796966535610999028170</v>
      </c>
      <c r="G12" s="420">
        <v>2.5064130804032828249484132700</v>
      </c>
      <c r="H12" s="91"/>
      <c r="I12" s="421">
        <v>7.0691571346389665637094535300</v>
      </c>
      <c r="J12" s="420">
        <v>1.4881827664894491773131203800</v>
      </c>
      <c r="K12" s="91"/>
      <c r="L12" s="421">
        <v>0.2588066586374711291488269500</v>
      </c>
      <c r="M12" s="420">
        <v>27.311187715449702287684111560</v>
      </c>
      <c r="N12" s="91">
        <v>46.670047329276538201487491550</v>
      </c>
      <c r="O12" s="421">
        <v>69.929827369993863230075508950</v>
      </c>
      <c r="P12" s="5"/>
      <c r="Q12" s="420">
        <v>-10.308008240861597866579231850</v>
      </c>
      <c r="R12" s="91"/>
      <c r="S12" s="421">
        <v>7.998322484836985864871417040</v>
      </c>
      <c r="T12" s="420">
        <v>-43.417911177572840338290429150</v>
      </c>
      <c r="U12" s="91"/>
      <c r="V12" s="421">
        <v>24.521586397825841477158468710</v>
      </c>
      <c r="W12" s="420">
        <v>13.143853620399647688762167250</v>
      </c>
      <c r="X12" s="91"/>
      <c r="Y12" s="421">
        <v>-38.596632849622525323692778680</v>
      </c>
      <c r="Z12" s="420">
        <v>-15.294982359351329002947751790</v>
      </c>
      <c r="AA12" s="91">
        <v>31.858643269346307056441883600</v>
      </c>
      <c r="AB12" s="421">
        <v>9.162045320448897157644925540</v>
      </c>
    </row>
    <row r="13" ht="18" customHeight="1">
      <c r="A13" s="58"/>
      <c r="B13" s="1043" t="s">
        <v>47</v>
      </c>
      <c r="C13" s="1043"/>
      <c r="D13" s="420">
        <v>31.237888977544739541775903370</v>
      </c>
      <c r="E13" s="91"/>
      <c r="F13" s="421">
        <v>69.625661448186885058796016090</v>
      </c>
      <c r="G13" s="420">
        <v>4.3008687722706525456068272800</v>
      </c>
      <c r="H13" s="91"/>
      <c r="I13" s="421">
        <v>8.939502162524196064053037950</v>
      </c>
      <c r="J13" s="420">
        <v>1.39050644517021097339168100</v>
      </c>
      <c r="K13" s="91"/>
      <c r="L13" s="421">
        <v>0.2334596147502961216548696700</v>
      </c>
      <c r="M13" s="420">
        <v>36.950194049159120310478654590</v>
      </c>
      <c r="N13" s="91">
        <v>55.989407257155735857561415370</v>
      </c>
      <c r="O13" s="421">
        <v>78.797459910883428053043037430</v>
      </c>
      <c r="P13" s="184"/>
      <c r="Q13" s="420">
        <v>-6.2090082748208063478904924300</v>
      </c>
      <c r="R13" s="91"/>
      <c r="S13" s="421">
        <v>4.9139393833323874208070143200</v>
      </c>
      <c r="T13" s="420">
        <v>-31.118897767929509987495769890</v>
      </c>
      <c r="U13" s="91"/>
      <c r="V13" s="421">
        <v>25.376252088862573048770339010</v>
      </c>
      <c r="W13" s="420">
        <v>9.49333105553174685334799100</v>
      </c>
      <c r="X13" s="91"/>
      <c r="Y13" s="421">
        <v>-43.917994232008767756275895310</v>
      </c>
      <c r="Z13" s="420">
        <v>-10.908976570403353407040051220</v>
      </c>
      <c r="AA13" s="91">
        <v>25.991743942813323297078805800</v>
      </c>
      <c r="AB13" s="421">
        <v>6.6058807935194101711469785800</v>
      </c>
    </row>
    <row r="14" ht="18" customHeight="1">
      <c r="A14" s="58"/>
      <c r="B14" s="1043" t="s">
        <v>48</v>
      </c>
      <c r="C14" s="1043"/>
      <c r="D14" s="420">
        <v>34.053454820145732802957154680</v>
      </c>
      <c r="E14" s="91"/>
      <c r="F14" s="421">
        <v>67.663706228739906520938190650</v>
      </c>
      <c r="G14" s="420">
        <v>5.1499184470734933724382632100</v>
      </c>
      <c r="H14" s="91"/>
      <c r="I14" s="421">
        <v>8.657959155386256586942693300</v>
      </c>
      <c r="J14" s="420">
        <v>1.554117401187858946712138600</v>
      </c>
      <c r="K14" s="91"/>
      <c r="L14" s="421">
        <v>0.2668770890333037343872803900</v>
      </c>
      <c r="M14" s="420">
        <v>40.780249923803718378543127100</v>
      </c>
      <c r="N14" s="91">
        <v>56.710454296661193212917350850</v>
      </c>
      <c r="O14" s="421">
        <v>76.596103021195004404829766280</v>
      </c>
      <c r="P14" s="5"/>
      <c r="Q14" s="420">
        <v>4.7763147268827131496532070500</v>
      </c>
      <c r="R14" s="91"/>
      <c r="S14" s="421">
        <v>4.054402716358564468292418700</v>
      </c>
      <c r="T14" s="420">
        <v>-36.709598877295226462201416700</v>
      </c>
      <c r="U14" s="91"/>
      <c r="V14" s="421">
        <v>23.730207107367940184687422580</v>
      </c>
      <c r="W14" s="420">
        <v>15.929342143106423232751126260</v>
      </c>
      <c r="X14" s="91"/>
      <c r="Y14" s="421">
        <v>-39.304521006646660151348545430</v>
      </c>
      <c r="Z14" s="420">
        <v>-3.6022414654323365539902709200</v>
      </c>
      <c r="AA14" s="91">
        <v>27.409487319765045088365905320</v>
      </c>
      <c r="AB14" s="421">
        <v>5.7113958121592736532545510200</v>
      </c>
    </row>
    <row r="15" ht="18" customHeight="1">
      <c r="A15" s="58"/>
      <c r="B15" s="1043" t="s">
        <v>49</v>
      </c>
      <c r="C15" s="1043"/>
      <c r="D15" s="420">
        <v>29.375866171472471071186306140</v>
      </c>
      <c r="E15" s="91"/>
      <c r="F15" s="421">
        <v>59.746784427368454478022314740</v>
      </c>
      <c r="G15" s="420">
        <v>5.0584997764153840226316668300</v>
      </c>
      <c r="H15" s="91"/>
      <c r="I15" s="421">
        <v>7.7329579827174271386294981700</v>
      </c>
      <c r="J15" s="420">
        <v>1.0970240478973121976791566600</v>
      </c>
      <c r="K15" s="91"/>
      <c r="L15" s="421">
        <v>0.1904414179024060628880107600</v>
      </c>
      <c r="M15" s="420">
        <v>35.568424260896068271868332830</v>
      </c>
      <c r="N15" s="91">
        <v>54.887794198139025725232621780</v>
      </c>
      <c r="O15" s="421">
        <v>67.680209358967715188889464680</v>
      </c>
      <c r="P15" s="184"/>
      <c r="Q15" s="420">
        <v>5.9461788760259248284578844600</v>
      </c>
      <c r="R15" s="91"/>
      <c r="S15" s="421">
        <v>6.3447446733720361848444706200</v>
      </c>
      <c r="T15" s="420">
        <v>-35.655365301326243179414034660</v>
      </c>
      <c r="U15" s="91"/>
      <c r="V15" s="421">
        <v>12.344149643408391346369933830</v>
      </c>
      <c r="W15" s="420">
        <v>-22.806231637014414051889515780</v>
      </c>
      <c r="X15" s="91"/>
      <c r="Y15" s="421">
        <v>-56.343534767000657285322174210</v>
      </c>
      <c r="Z15" s="420">
        <v>-5.4124011688281640676219130900</v>
      </c>
      <c r="AA15" s="91">
        <v>25.754265724190382907385151700</v>
      </c>
      <c r="AB15" s="421">
        <v>6.5716973081682995119001517500</v>
      </c>
    </row>
    <row r="16" ht="18" customHeight="1">
      <c r="A16" s="58"/>
      <c r="B16" s="1044" t="s">
        <v>75</v>
      </c>
      <c r="C16" s="1044"/>
      <c r="D16" s="430">
        <v>27.451096577315922406322447800</v>
      </c>
      <c r="E16" s="431"/>
      <c r="F16" s="432">
        <v>60.769963384434317355970653560</v>
      </c>
      <c r="G16" s="430">
        <v>3.7135683806886941828634751600</v>
      </c>
      <c r="H16" s="431"/>
      <c r="I16" s="432">
        <v>7.2570892887025598426554720700</v>
      </c>
      <c r="J16" s="430">
        <v>1.3376329431699830431976749300</v>
      </c>
      <c r="K16" s="431"/>
      <c r="L16" s="432">
        <v>0.2314781577836347339907084400</v>
      </c>
      <c r="M16" s="430">
        <v>32.521440823327615780445969130</v>
      </c>
      <c r="N16" s="431">
        <v>49.738666312315903705180165220</v>
      </c>
      <c r="O16" s="432">
        <v>68.264408645842891035639852670</v>
      </c>
      <c r="P16" s="5"/>
      <c r="Q16" s="430">
        <v>-0.7294488599948309841970137500</v>
      </c>
      <c r="R16" s="431"/>
      <c r="S16" s="432">
        <v>6.109575509751373418471141400</v>
      </c>
      <c r="T16" s="430">
        <v>-37.982486280378574589008527480</v>
      </c>
      <c r="U16" s="431"/>
      <c r="V16" s="432">
        <v>19.160250881363121255168543690</v>
      </c>
      <c r="W16" s="430">
        <v>3.6584705070607826418467228300</v>
      </c>
      <c r="X16" s="431"/>
      <c r="Y16" s="432">
        <v>-45.203458466588730538254732370</v>
      </c>
      <c r="Z16" s="629">
        <v>-7.802740819418813529903610400</v>
      </c>
      <c r="AA16" s="214">
        <v>28.322609542301235848695897970</v>
      </c>
      <c r="AB16" s="630">
        <v>7.0235025643508320605164722100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45.358897091531922395706241380</v>
      </c>
      <c r="E18" s="480"/>
      <c r="F18" s="481">
        <v>60.135440382271323994120295890</v>
      </c>
      <c r="G18" s="479">
        <v>4.464278417137673248888790300</v>
      </c>
      <c r="H18" s="480"/>
      <c r="I18" s="481">
        <v>9.173576055557396811632681610</v>
      </c>
      <c r="J18" s="479">
        <v>1.4931716207491193801744076800</v>
      </c>
      <c r="K18" s="480"/>
      <c r="L18" s="481">
        <v>0.2552174103862176489043409500</v>
      </c>
      <c r="M18" s="479">
        <v>51.325815300213349588540079240</v>
      </c>
      <c r="N18" s="480">
        <v>62.342638204707170224411603720</v>
      </c>
      <c r="O18" s="481">
        <v>69.565217391304347826086956520</v>
      </c>
      <c r="P18" s="184"/>
      <c r="Q18" s="479">
        <v>18.255762103771414669413204280</v>
      </c>
      <c r="R18" s="480"/>
      <c r="S18" s="481">
        <v>6.9491507548790159386533119500</v>
      </c>
      <c r="T18" s="479">
        <v>-32.451994093590978323516290760</v>
      </c>
      <c r="U18" s="480"/>
      <c r="V18" s="481">
        <v>0.6681940960298913039669914900</v>
      </c>
      <c r="W18" s="479">
        <v>39.375599934277777290238797940</v>
      </c>
      <c r="X18" s="480"/>
      <c r="Y18" s="481">
        <v>-23.063598631361494039640470120</v>
      </c>
      <c r="Z18" s="479">
        <v>9.515259785126765125969011430</v>
      </c>
      <c r="AA18" s="480">
        <v>16.539427842763609365632544010</v>
      </c>
      <c r="AB18" s="481">
        <v>5.9234985855240922827381238500</v>
      </c>
    </row>
    <row r="19" ht="18" customHeight="1">
      <c r="A19" s="58"/>
      <c r="B19" s="1046" t="s">
        <v>51</v>
      </c>
      <c r="C19" s="1046"/>
      <c r="D19" s="271">
        <v>46.714940706293877751170754480</v>
      </c>
      <c r="E19" s="92"/>
      <c r="F19" s="272">
        <v>61.410418088434744385499381760</v>
      </c>
      <c r="G19" s="271">
        <v>3.5805646007759495340916918800</v>
      </c>
      <c r="H19" s="92"/>
      <c r="I19" s="272">
        <v>7.7730113257735580818415449800</v>
      </c>
      <c r="J19" s="271">
        <v>1.1427333832263668725824548600</v>
      </c>
      <c r="K19" s="92"/>
      <c r="L19" s="272">
        <v>0.1969819475687864002067213800</v>
      </c>
      <c r="M19" s="271">
        <v>51.462968607131971959768363300</v>
      </c>
      <c r="N19" s="92">
        <v>61.067323481116584564860426930</v>
      </c>
      <c r="O19" s="272">
        <v>69.384290398247864909347744390</v>
      </c>
      <c r="P19" s="5"/>
      <c r="Q19" s="271">
        <v>20.418347946578638553817971870</v>
      </c>
      <c r="R19" s="92"/>
      <c r="S19" s="272">
        <v>7.7139546952415359186569235400</v>
      </c>
      <c r="T19" s="271">
        <v>-48.971101037611280164490121890</v>
      </c>
      <c r="U19" s="92"/>
      <c r="V19" s="272">
        <v>-6.8415838038324617211362994300</v>
      </c>
      <c r="W19" s="271">
        <v>-7.985123676637470652395313930</v>
      </c>
      <c r="X19" s="92"/>
      <c r="Y19" s="272">
        <v>-46.869571506986497116365770740</v>
      </c>
      <c r="Z19" s="271">
        <v>6.42437281840660672167640400</v>
      </c>
      <c r="AA19" s="92">
        <v>22.121225572341527243593521320</v>
      </c>
      <c r="AB19" s="272">
        <v>5.5643698605207322743887531200</v>
      </c>
    </row>
    <row r="20" ht="18" customHeight="1">
      <c r="A20" s="58"/>
      <c r="B20" s="1047" t="s">
        <v>76</v>
      </c>
      <c r="C20" s="1047"/>
      <c r="D20" s="273">
        <v>46.036918898912900073438497900</v>
      </c>
      <c r="E20" s="274"/>
      <c r="F20" s="275">
        <v>60.772827388839348168499794100</v>
      </c>
      <c r="G20" s="273">
        <v>4.0224215089568113914902410900</v>
      </c>
      <c r="H20" s="274"/>
      <c r="I20" s="275">
        <v>8.473405569198122005178922310</v>
      </c>
      <c r="J20" s="273">
        <v>1.3179525019877431263784312700</v>
      </c>
      <c r="K20" s="274"/>
      <c r="L20" s="275">
        <v>0.2261043308853998455392188900</v>
      </c>
      <c r="M20" s="273">
        <v>51.394391953672660774154221270</v>
      </c>
      <c r="N20" s="274">
        <v>61.704980842911877394636015330</v>
      </c>
      <c r="O20" s="275">
        <v>69.474768547012976916249327830</v>
      </c>
      <c r="P20" s="184"/>
      <c r="Q20" s="273">
        <v>19.352787189347441074067231430</v>
      </c>
      <c r="R20" s="274"/>
      <c r="S20" s="275">
        <v>7.3340217980840229199720763500</v>
      </c>
      <c r="T20" s="273">
        <v>-40.933588809120656371596863130</v>
      </c>
      <c r="U20" s="274"/>
      <c r="V20" s="275">
        <v>-2.9200401279194492373068584100</v>
      </c>
      <c r="W20" s="273">
        <v>14.068524620662963837968754330</v>
      </c>
      <c r="X20" s="274"/>
      <c r="Y20" s="275">
        <v>-35.626537653790218117085550070</v>
      </c>
      <c r="Z20" s="273">
        <v>7.945633688782718254983637620</v>
      </c>
      <c r="AA20" s="274">
        <v>19.236234816023749862705679970</v>
      </c>
      <c r="AB20" s="275">
        <v>5.7438854167811019207767997100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32.910748263197486614451966900</v>
      </c>
      <c r="E22" s="469"/>
      <c r="F22" s="470">
        <v>60.711780165875804711152535730</v>
      </c>
      <c r="G22" s="468">
        <v>3.7545909111022611619983185100</v>
      </c>
      <c r="H22" s="469"/>
      <c r="I22" s="470">
        <v>7.6693849627006561291541550900</v>
      </c>
      <c r="J22" s="468">
        <v>1.3341298287534846674631620900</v>
      </c>
      <c r="K22" s="469"/>
      <c r="L22" s="470">
        <v>0.2288961798975460463986085800</v>
      </c>
      <c r="M22" s="468">
        <v>37.999469003053232443913447500</v>
      </c>
      <c r="N22" s="469">
        <v>53.196789808113775759582485850</v>
      </c>
      <c r="O22" s="470">
        <v>68.610061308474006886705299400</v>
      </c>
      <c r="P22" s="184"/>
      <c r="Q22" s="468">
        <v>5.3701163440350466642312428900</v>
      </c>
      <c r="R22" s="469"/>
      <c r="S22" s="470">
        <v>6.5250994327069804036339213800</v>
      </c>
      <c r="T22" s="468">
        <v>-40.772209276751628989191090390</v>
      </c>
      <c r="U22" s="469"/>
      <c r="V22" s="470">
        <v>10.467315229292135217121098140</v>
      </c>
      <c r="W22" s="468">
        <v>7.5455562097867580228423972500</v>
      </c>
      <c r="X22" s="469"/>
      <c r="Y22" s="470">
        <v>-42.377030211773366570203950280</v>
      </c>
      <c r="Z22" s="468">
        <v>-2.0966278038798965281830471200</v>
      </c>
      <c r="AA22" s="469">
        <v>25.208717239838148280029830370</v>
      </c>
      <c r="AB22" s="470">
        <v>6.6485835715367726779160187800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99.6896577506203310873808431</v>
      </c>
      <c r="E25" s="455"/>
      <c r="F25" s="456">
        <v>114.41921664482675674765423141</v>
      </c>
      <c r="G25" s="454">
        <v>127.5761150587346333645093418</v>
      </c>
      <c r="H25" s="455"/>
      <c r="I25" s="456">
        <v>120.32907214716790352569427859</v>
      </c>
      <c r="J25" s="454">
        <v>95.40060980492791401324117722</v>
      </c>
      <c r="K25" s="455"/>
      <c r="L25" s="456">
        <v>91.10967829948335539014889325</v>
      </c>
      <c r="M25" s="454">
        <v>101.36722889903012954266204606</v>
      </c>
      <c r="N25" s="455">
        <v>93.13681845839832260703324653</v>
      </c>
      <c r="O25" s="456">
        <v>114.7902080410800143107600266</v>
      </c>
      <c r="P25" s="5"/>
      <c r="Q25" s="427">
        <v>-6.3868981543836957549887360700</v>
      </c>
      <c r="R25" s="428"/>
      <c r="S25" s="429">
        <v>-0.4957363285697132201665956400</v>
      </c>
      <c r="T25" s="427">
        <v>20.629104408749798939259906930</v>
      </c>
      <c r="U25" s="428"/>
      <c r="V25" s="429">
        <v>5.0236526447319763103882505300</v>
      </c>
      <c r="W25" s="427">
        <v>0.0859357235379849075033371100</v>
      </c>
      <c r="X25" s="428"/>
      <c r="Y25" s="429">
        <v>0.5986880248123729510967500200</v>
      </c>
      <c r="Z25" s="427">
        <v>-3.9329480962165606131052754200</v>
      </c>
      <c r="AA25" s="428">
        <v>-7.5336799352165117366362710900</v>
      </c>
      <c r="AB25" s="429">
        <v>0.0411941201726405529770311500</v>
      </c>
    </row>
    <row r="26" ht="18" customHeight="1">
      <c r="A26" s="58"/>
      <c r="B26" s="1043" t="s">
        <v>46</v>
      </c>
      <c r="C26" s="1043"/>
      <c r="D26" s="439">
        <v>104.55266544067166688555813542</v>
      </c>
      <c r="E26" s="95"/>
      <c r="F26" s="440">
        <v>129.9329080879887343377639323</v>
      </c>
      <c r="G26" s="439">
        <v>125.33629762219814852531319015</v>
      </c>
      <c r="H26" s="95"/>
      <c r="I26" s="440">
        <v>131.41596644009436187352706248</v>
      </c>
      <c r="J26" s="439">
        <v>96.43415081698228384916353198</v>
      </c>
      <c r="K26" s="95"/>
      <c r="L26" s="440">
        <v>93.12889202316280989767707634</v>
      </c>
      <c r="M26" s="439">
        <v>106.01802531433417157511827392</v>
      </c>
      <c r="N26" s="95">
        <v>98.02715083617044045625656733</v>
      </c>
      <c r="O26" s="440">
        <v>129.93174722039942453129679111</v>
      </c>
      <c r="P26" s="5"/>
      <c r="Q26" s="420">
        <v>-6.7840095814156644797175149100</v>
      </c>
      <c r="R26" s="91"/>
      <c r="S26" s="421">
        <v>1.8018265585774413074721809800</v>
      </c>
      <c r="T26" s="420">
        <v>18.316117312917825710187611640</v>
      </c>
      <c r="U26" s="91"/>
      <c r="V26" s="421">
        <v>6.9373643849007569562392714200</v>
      </c>
      <c r="W26" s="420">
        <v>3.7704732763933371292860793400</v>
      </c>
      <c r="X26" s="91"/>
      <c r="Y26" s="421">
        <v>3.3823164846748922280915378700</v>
      </c>
      <c r="Z26" s="420">
        <v>-4.0519200309448950838239733800</v>
      </c>
      <c r="AA26" s="91">
        <v>-8.273441771482357816213700440</v>
      </c>
      <c r="AB26" s="421">
        <v>2.3443572107742247579409877800</v>
      </c>
    </row>
    <row r="27" ht="18" customHeight="1">
      <c r="A27" s="58"/>
      <c r="B27" s="1043" t="s">
        <v>47</v>
      </c>
      <c r="C27" s="1043"/>
      <c r="D27" s="439">
        <v>107.11028813061991165893425342</v>
      </c>
      <c r="E27" s="95"/>
      <c r="F27" s="440">
        <v>140.78241668368323414223510059</v>
      </c>
      <c r="G27" s="439">
        <v>117.58440680474885672817381996</v>
      </c>
      <c r="H27" s="95"/>
      <c r="I27" s="440">
        <v>132.26898061453108255540211691</v>
      </c>
      <c r="J27" s="439">
        <v>96.2824069545673700311811273</v>
      </c>
      <c r="K27" s="95"/>
      <c r="L27" s="440">
        <v>91.69112731000333143917833875</v>
      </c>
      <c r="M27" s="439">
        <v>107.87519294376965384570537887</v>
      </c>
      <c r="N27" s="95">
        <v>102.55668881828898488423677299</v>
      </c>
      <c r="O27" s="440">
        <v>139.67587396115017422031656529</v>
      </c>
      <c r="P27" s="93"/>
      <c r="Q27" s="420">
        <v>-7.989100610068714184976541380</v>
      </c>
      <c r="R27" s="91"/>
      <c r="S27" s="421">
        <v>3.44682536066279077867478900</v>
      </c>
      <c r="T27" s="420">
        <v>11.212981236462117041249053270</v>
      </c>
      <c r="U27" s="91"/>
      <c r="V27" s="421">
        <v>2.945348132551290533527081300</v>
      </c>
      <c r="W27" s="420">
        <v>1.822517831861980618468422700</v>
      </c>
      <c r="X27" s="91"/>
      <c r="Y27" s="421">
        <v>-0.0234491664410276802813386800</v>
      </c>
      <c r="Z27" s="420">
        <v>-5.4528823981507325352566880900</v>
      </c>
      <c r="AA27" s="91">
        <v>-8.373936709783883402691284250</v>
      </c>
      <c r="AB27" s="421">
        <v>3.3865236498083930938272280300</v>
      </c>
    </row>
    <row r="28" ht="18" customHeight="1">
      <c r="A28" s="58"/>
      <c r="B28" s="1043" t="s">
        <v>48</v>
      </c>
      <c r="C28" s="1043"/>
      <c r="D28" s="439">
        <v>108.71506750014727679496670703</v>
      </c>
      <c r="E28" s="95"/>
      <c r="F28" s="440">
        <v>138.49404436624697081939396354</v>
      </c>
      <c r="G28" s="439">
        <v>127.83592702750901134352457601</v>
      </c>
      <c r="H28" s="95"/>
      <c r="I28" s="440">
        <v>133.56963269642011942268617642</v>
      </c>
      <c r="J28" s="439">
        <v>96.83770149882526273293632936</v>
      </c>
      <c r="K28" s="95"/>
      <c r="L28" s="440">
        <v>93.24782533521880264856935168</v>
      </c>
      <c r="M28" s="439">
        <v>110.63683286659468844156255698</v>
      </c>
      <c r="N28" s="95">
        <v>101.73018783249418181988488914</v>
      </c>
      <c r="O28" s="440">
        <v>137.76804882252158669846835115</v>
      </c>
      <c r="P28" s="5"/>
      <c r="Q28" s="420">
        <v>-5.845458888088600669924214300</v>
      </c>
      <c r="R28" s="91"/>
      <c r="S28" s="421">
        <v>3.179781072489146452722804200</v>
      </c>
      <c r="T28" s="420">
        <v>12.295524641537117319226478710</v>
      </c>
      <c r="U28" s="91"/>
      <c r="V28" s="421">
        <v>7.1127518285036552834507694900</v>
      </c>
      <c r="W28" s="420">
        <v>4.6909111006099727592963777300</v>
      </c>
      <c r="X28" s="91"/>
      <c r="Y28" s="421">
        <v>5.5334858588024477222697072300</v>
      </c>
      <c r="Z28" s="420">
        <v>-3.3301889869362150216467991700</v>
      </c>
      <c r="AA28" s="91">
        <v>-6.8684794611431327539260796600</v>
      </c>
      <c r="AB28" s="421">
        <v>3.5540733154325197482770940500</v>
      </c>
    </row>
    <row r="29" ht="18" customHeight="1">
      <c r="A29" s="58"/>
      <c r="B29" s="1043" t="s">
        <v>49</v>
      </c>
      <c r="C29" s="1043"/>
      <c r="D29" s="439">
        <v>105.60937958416408361722589748</v>
      </c>
      <c r="E29" s="95"/>
      <c r="F29" s="440">
        <v>125.60417160978333083680459956</v>
      </c>
      <c r="G29" s="439">
        <v>122.23383848539849233795773754</v>
      </c>
      <c r="H29" s="95"/>
      <c r="I29" s="440">
        <v>128.04569074061976962139028541</v>
      </c>
      <c r="J29" s="439">
        <v>98.10988457419161771429783292</v>
      </c>
      <c r="K29" s="95"/>
      <c r="L29" s="440">
        <v>96.20510054066367819105130646</v>
      </c>
      <c r="M29" s="439">
        <v>107.65228359244320871707066973</v>
      </c>
      <c r="N29" s="95">
        <v>103.03606764377394763303673826</v>
      </c>
      <c r="O29" s="440">
        <v>125.78358117398642095472746843</v>
      </c>
      <c r="P29" s="93"/>
      <c r="Q29" s="420">
        <v>-5.8254118027648287800700857500</v>
      </c>
      <c r="R29" s="91"/>
      <c r="S29" s="421">
        <v>1.4862932721796230000939898800</v>
      </c>
      <c r="T29" s="420">
        <v>10.197209955322410561327115960</v>
      </c>
      <c r="U29" s="91"/>
      <c r="V29" s="421">
        <v>8.209371514638600191481417890</v>
      </c>
      <c r="W29" s="420">
        <v>6.0026799132659869835373085300</v>
      </c>
      <c r="X29" s="91"/>
      <c r="Y29" s="421">
        <v>6.2857228554015896654320093300</v>
      </c>
      <c r="Z29" s="420">
        <v>-3.1302524095968439272827458900</v>
      </c>
      <c r="AA29" s="91">
        <v>-2.1674738164292473769065151100</v>
      </c>
      <c r="AB29" s="421">
        <v>2.3152811625379078377023010100</v>
      </c>
    </row>
    <row r="30" ht="18" customHeight="1">
      <c r="A30" s="58"/>
      <c r="B30" s="1044" t="s">
        <v>75</v>
      </c>
      <c r="C30" s="1044"/>
      <c r="D30" s="457">
        <v>105.72757549507974224888977885</v>
      </c>
      <c r="E30" s="458"/>
      <c r="F30" s="459">
        <v>131.1440071759663724863380829</v>
      </c>
      <c r="G30" s="457">
        <v>123.62818511557097826505962181</v>
      </c>
      <c r="H30" s="458"/>
      <c r="I30" s="459">
        <v>130.20177171126806293862078453</v>
      </c>
      <c r="J30" s="457">
        <v>96.60264264217424172382496308</v>
      </c>
      <c r="K30" s="458"/>
      <c r="L30" s="459">
        <v>93.01564251018530280805137305</v>
      </c>
      <c r="M30" s="457">
        <v>107.35608715236093551711090639</v>
      </c>
      <c r="N30" s="458">
        <v>100.3148901409967581271883569</v>
      </c>
      <c r="O30" s="459">
        <v>130.90548060318818147703640155</v>
      </c>
      <c r="P30" s="5"/>
      <c r="Q30" s="430">
        <v>-6.6677826218462246381275515400</v>
      </c>
      <c r="R30" s="431"/>
      <c r="S30" s="432">
        <v>1.9717649781275616022201090300</v>
      </c>
      <c r="T30" s="430">
        <v>13.061068310657017890255829010</v>
      </c>
      <c r="U30" s="431"/>
      <c r="V30" s="432">
        <v>6.1964194595874914132914372600</v>
      </c>
      <c r="W30" s="430">
        <v>3.359685273697764840528685700</v>
      </c>
      <c r="X30" s="431"/>
      <c r="Y30" s="432">
        <v>3.0944723094365698014228224900</v>
      </c>
      <c r="Z30" s="430">
        <v>-3.9919923171951528238029908400</v>
      </c>
      <c r="AA30" s="431">
        <v>-6.6349115970969076861661768500</v>
      </c>
      <c r="AB30" s="432">
        <v>2.4470943168392541744678240400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110.45854730163710526007967835</v>
      </c>
      <c r="E32" s="494"/>
      <c r="F32" s="495">
        <v>124.12328465925897160585210152</v>
      </c>
      <c r="G32" s="493">
        <v>119.65751312136399906051989691</v>
      </c>
      <c r="H32" s="494"/>
      <c r="I32" s="495">
        <v>129.39480086116915887833336968</v>
      </c>
      <c r="J32" s="493">
        <v>97.13966441433881871442109295</v>
      </c>
      <c r="K32" s="494"/>
      <c r="L32" s="495">
        <v>94.70715527910764582242141839</v>
      </c>
      <c r="M32" s="493">
        <v>110.87126893531428691152102119</v>
      </c>
      <c r="N32" s="494">
        <v>105.91566802641233867331243349</v>
      </c>
      <c r="O32" s="495">
        <v>124.71052819207028389907885985</v>
      </c>
      <c r="P32" s="93"/>
      <c r="Q32" s="479">
        <v>-5.9462810026985823903466635700</v>
      </c>
      <c r="R32" s="480"/>
      <c r="S32" s="481">
        <v>-1.2318946954348119242330129600</v>
      </c>
      <c r="T32" s="479">
        <v>4.96640615904627993340049200</v>
      </c>
      <c r="U32" s="480"/>
      <c r="V32" s="481">
        <v>3.6931679082090406694248018900</v>
      </c>
      <c r="W32" s="479">
        <v>4.0895254113501164934539700400</v>
      </c>
      <c r="X32" s="480"/>
      <c r="Y32" s="481">
        <v>0.3055925903578513624190310600</v>
      </c>
      <c r="Z32" s="479">
        <v>-4.7383162810514415121071177500</v>
      </c>
      <c r="AA32" s="480">
        <v>-5.3527558221312234093805919600</v>
      </c>
      <c r="AB32" s="481">
        <v>-0.5385267586531289451023617500</v>
      </c>
    </row>
    <row r="33" ht="18" customHeight="1">
      <c r="A33" s="58"/>
      <c r="B33" s="1046" t="s">
        <v>51</v>
      </c>
      <c r="C33" s="1046"/>
      <c r="D33" s="276">
        <v>109.56295013090583870601031789</v>
      </c>
      <c r="E33" s="94"/>
      <c r="F33" s="277">
        <v>123.39427153696810369265316944</v>
      </c>
      <c r="G33" s="276">
        <v>118.56375950432627706825069344</v>
      </c>
      <c r="H33" s="94"/>
      <c r="I33" s="277">
        <v>130.27286252494998962587871611</v>
      </c>
      <c r="J33" s="276">
        <v>96.82214421556892701197494636</v>
      </c>
      <c r="K33" s="94"/>
      <c r="L33" s="277">
        <v>93.61292988579202656552879674</v>
      </c>
      <c r="M33" s="276">
        <v>109.87389677259154459862738188</v>
      </c>
      <c r="N33" s="94">
        <v>104.76357808694202289241548707</v>
      </c>
      <c r="O33" s="277">
        <v>124.0757231194007724368728713</v>
      </c>
      <c r="P33" s="5"/>
      <c r="Q33" s="271">
        <v>-5.4825898520846281481761463900</v>
      </c>
      <c r="R33" s="92"/>
      <c r="S33" s="272">
        <v>-1.8227181731525536749096187700</v>
      </c>
      <c r="T33" s="271">
        <v>6.4326461166756488942678481700</v>
      </c>
      <c r="U33" s="92"/>
      <c r="V33" s="272">
        <v>5.3843109675363934186972824100</v>
      </c>
      <c r="W33" s="271">
        <v>0.5418512267962928083362336400</v>
      </c>
      <c r="X33" s="92"/>
      <c r="Y33" s="272">
        <v>-2.0057130473977026365182768500</v>
      </c>
      <c r="Z33" s="271">
        <v>-3.9202345073579025656828905700</v>
      </c>
      <c r="AA33" s="92">
        <v>-7.5800560927810002793797654400</v>
      </c>
      <c r="AB33" s="272">
        <v>-0.9395233889925503937086869600</v>
      </c>
    </row>
    <row r="34" ht="18" customHeight="1">
      <c r="A34" s="58"/>
      <c r="B34" s="1047" t="s">
        <v>76</v>
      </c>
      <c r="C34" s="1047"/>
      <c r="D34" s="443">
        <v>110.00415363533525795662499373</v>
      </c>
      <c r="E34" s="444"/>
      <c r="F34" s="445">
        <v>123.75501276729162063519213889</v>
      </c>
      <c r="G34" s="443">
        <v>119.17070990165970991623341431</v>
      </c>
      <c r="H34" s="444"/>
      <c r="I34" s="445">
        <v>129.79747796640330696486727808</v>
      </c>
      <c r="J34" s="443">
        <v>97.00201114897614890122189646</v>
      </c>
      <c r="K34" s="444"/>
      <c r="L34" s="445">
        <v>94.23058719949740477070887257</v>
      </c>
      <c r="M34" s="633">
        <v>110.37191744628319709823090704</v>
      </c>
      <c r="N34" s="634">
        <v>105.34557588756147988201127452</v>
      </c>
      <c r="O34" s="635">
        <v>124.39359035660935254107963925</v>
      </c>
      <c r="P34" s="93"/>
      <c r="Q34" s="273">
        <v>-5.7268521694441673071502014100</v>
      </c>
      <c r="R34" s="274"/>
      <c r="S34" s="275">
        <v>-1.530355851066213582069330500</v>
      </c>
      <c r="T34" s="273">
        <v>5.7635581750186944520597823100</v>
      </c>
      <c r="U34" s="274"/>
      <c r="V34" s="275">
        <v>4.4838279742825437955320695100</v>
      </c>
      <c r="W34" s="273">
        <v>2.2144500055887207241733412300</v>
      </c>
      <c r="X34" s="274"/>
      <c r="Y34" s="275">
        <v>-0.8147483498537172705434507600</v>
      </c>
      <c r="Z34" s="273">
        <v>-4.3202836701452275401522184300</v>
      </c>
      <c r="AA34" s="274">
        <v>-6.4479841668518113854276140200</v>
      </c>
      <c r="AB34" s="275">
        <v>-0.73852675499712084218856500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107.2660168067226890756302521</v>
      </c>
      <c r="E36" s="483"/>
      <c r="F36" s="484">
        <v>128.99392076603420119469716143</v>
      </c>
      <c r="G36" s="482">
        <v>123.54095462581025338833235121</v>
      </c>
      <c r="H36" s="483"/>
      <c r="I36" s="484">
        <v>130.2080649954902194360685969</v>
      </c>
      <c r="J36" s="482">
        <v>97.40464344941956882255389718</v>
      </c>
      <c r="K36" s="483"/>
      <c r="L36" s="484">
        <v>92.99288659904719343675811874</v>
      </c>
      <c r="M36" s="482">
        <v>108.52796855895196506550218341</v>
      </c>
      <c r="N36" s="483">
        <v>101.97502326684252645306618453</v>
      </c>
      <c r="O36" s="484">
        <v>129.00953422391961329949431891</v>
      </c>
      <c r="P36" s="93"/>
      <c r="Q36" s="468">
        <v>-6.1679522256994542299595727200</v>
      </c>
      <c r="R36" s="469"/>
      <c r="S36" s="470">
        <v>0.9114710151735601339975428100</v>
      </c>
      <c r="T36" s="468">
        <v>12.082584846466647780040990010</v>
      </c>
      <c r="U36" s="469"/>
      <c r="V36" s="470">
        <v>6.0458600402027025495121044400</v>
      </c>
      <c r="W36" s="468">
        <v>1.4218869280507682638624135600</v>
      </c>
      <c r="X36" s="469"/>
      <c r="Y36" s="470">
        <v>1.4331875714276656116086186400</v>
      </c>
      <c r="Z36" s="468">
        <v>-4.0120773009750611976113412500</v>
      </c>
      <c r="AA36" s="469">
        <v>-6.6600292996185307182308653200</v>
      </c>
      <c r="AB36" s="470">
        <v>1.5333545714355391057227926600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19.088304601992778906115630145</v>
      </c>
      <c r="E39" s="455"/>
      <c r="F39" s="456">
        <v>50.944469489710082467342555374</v>
      </c>
      <c r="G39" s="454">
        <v>1.9006168092355144143900776366</v>
      </c>
      <c r="H39" s="455"/>
      <c r="I39" s="456">
        <v>4.7264965293739441013382244497</v>
      </c>
      <c r="J39" s="454">
        <v>1.1070939008250643690737283147</v>
      </c>
      <c r="K39" s="455"/>
      <c r="L39" s="456">
        <v>0.1900961093211480294493952834</v>
      </c>
      <c r="M39" s="454">
        <v>22.102031085435589029694155925</v>
      </c>
      <c r="N39" s="455">
        <v>32.156926701454658949379623378</v>
      </c>
      <c r="O39" s="456">
        <v>55.862098442914293345040365964</v>
      </c>
      <c r="P39" s="5"/>
      <c r="Q39" s="427">
        <v>-0.8578953887777514714740761700</v>
      </c>
      <c r="R39" s="428"/>
      <c r="S39" s="429">
        <v>9.833726539386547404467340490</v>
      </c>
      <c r="T39" s="427">
        <v>-41.795836002234033602638836580</v>
      </c>
      <c r="U39" s="428"/>
      <c r="V39" s="429">
        <v>11.641657923391249431987706610</v>
      </c>
      <c r="W39" s="427">
        <v>6.581245608074865876768745100</v>
      </c>
      <c r="X39" s="428"/>
      <c r="Y39" s="429">
        <v>-47.232482077700739623739593510</v>
      </c>
      <c r="Z39" s="427">
        <v>-6.3852038662556537332653657500</v>
      </c>
      <c r="AA39" s="428">
        <v>25.514644899995353531007635700</v>
      </c>
      <c r="AB39" s="429">
        <v>9.582826732138639301668252660</v>
      </c>
    </row>
    <row r="40" ht="18" customHeight="1">
      <c r="A40" s="58"/>
      <c r="B40" s="1043" t="s">
        <v>46</v>
      </c>
      <c r="C40" s="1043"/>
      <c r="D40" s="439">
        <v>24.370851647392078345221455023</v>
      </c>
      <c r="E40" s="95"/>
      <c r="F40" s="440">
        <v>81.32828641506500498524115994</v>
      </c>
      <c r="G40" s="439">
        <v>3.1414453580959631398928285288</v>
      </c>
      <c r="H40" s="95"/>
      <c r="I40" s="440">
        <v>9.290001167654680503642054008</v>
      </c>
      <c r="J40" s="439">
        <v>1.4351164134687747073390666598</v>
      </c>
      <c r="K40" s="95"/>
      <c r="L40" s="440">
        <v>0.2410237736712460537389190522</v>
      </c>
      <c r="M40" s="439">
        <v>28.954781905810789886466805304</v>
      </c>
      <c r="N40" s="95">
        <v>45.749317690782046331934479784</v>
      </c>
      <c r="O40" s="440">
        <v>90.86104653004211738682349044</v>
      </c>
      <c r="P40" s="5"/>
      <c r="Q40" s="420">
        <v>-16.392721555723177500565588670</v>
      </c>
      <c r="R40" s="91"/>
      <c r="S40" s="421">
        <v>9.944264942282365950806900260</v>
      </c>
      <c r="T40" s="420">
        <v>-33.054269410642556660337197030</v>
      </c>
      <c r="U40" s="91"/>
      <c r="V40" s="421">
        <v>33.160102583367555531183437640</v>
      </c>
      <c r="W40" s="420">
        <v>17.409912382590125112544760220</v>
      </c>
      <c r="X40" s="91"/>
      <c r="Y40" s="421">
        <v>-36.519776630975579092439512680</v>
      </c>
      <c r="Z40" s="420">
        <v>-18.727161936483071004565213230</v>
      </c>
      <c r="AA40" s="91">
        <v>20.949395197692077199732563870</v>
      </c>
      <c r="AB40" s="421">
        <v>11.721193601209047711893165810</v>
      </c>
    </row>
    <row r="41" ht="18" customHeight="1">
      <c r="A41" s="58"/>
      <c r="B41" s="1043" t="s">
        <v>47</v>
      </c>
      <c r="C41" s="1043"/>
      <c r="D41" s="439">
        <v>33.458992889771328838630949706</v>
      </c>
      <c r="E41" s="95"/>
      <c r="F41" s="440">
        <v>98.0206888187570589628035117</v>
      </c>
      <c r="G41" s="439">
        <v>5.0571510333251317823027889625</v>
      </c>
      <c r="H41" s="95"/>
      <c r="I41" s="440">
        <v>11.824188382384715801546624796</v>
      </c>
      <c r="J41" s="439">
        <v>1.3388130742682707242328807665</v>
      </c>
      <c r="K41" s="95"/>
      <c r="L41" s="440">
        <v>0.2140617525781373330736304157</v>
      </c>
      <c r="M41" s="439">
        <v>39.860093123627693893505302508</v>
      </c>
      <c r="N41" s="95">
        <v>57.420882171925717984824251364</v>
      </c>
      <c r="O41" s="440">
        <v>110.06104078971337336005493648</v>
      </c>
      <c r="P41" s="93"/>
      <c r="Q41" s="420">
        <v>-13.702064967101040264439719010</v>
      </c>
      <c r="R41" s="91"/>
      <c r="S41" s="421">
        <v>8.530139652956172433668177170</v>
      </c>
      <c r="T41" s="420">
        <v>-23.395272698728475104274146160</v>
      </c>
      <c r="U41" s="91"/>
      <c r="V41" s="421">
        <v>29.069019188661435717178716890</v>
      </c>
      <c r="W41" s="420">
        <v>11.488866536990641481671884450</v>
      </c>
      <c r="X41" s="91"/>
      <c r="Y41" s="421">
        <v>-43.931145002278206688079919680</v>
      </c>
      <c r="Z41" s="420">
        <v>-15.767005305205900561428183590</v>
      </c>
      <c r="AA41" s="91">
        <v>15.441275045637000665380418500</v>
      </c>
      <c r="AB41" s="421">
        <v>10.216114158715012593537403210</v>
      </c>
    </row>
    <row r="42" ht="18" customHeight="1">
      <c r="A42" s="58"/>
      <c r="B42" s="1043" t="s">
        <v>48</v>
      </c>
      <c r="C42" s="1043"/>
      <c r="D42" s="439">
        <v>37.02123639385358985193905895</v>
      </c>
      <c r="E42" s="95"/>
      <c r="F42" s="440">
        <v>93.71020332427806118956050814</v>
      </c>
      <c r="G42" s="439">
        <v>6.5834459879770962737277282616</v>
      </c>
      <c r="H42" s="95"/>
      <c r="I42" s="440">
        <v>11.564404242855500591263475028</v>
      </c>
      <c r="J42" s="439">
        <v>1.5049715699035995047724696483</v>
      </c>
      <c r="K42" s="95"/>
      <c r="L42" s="440">
        <v>0.2488570818414914403607132021</v>
      </c>
      <c r="M42" s="439">
        <v>45.117976950778327685099268895</v>
      </c>
      <c r="N42" s="95">
        <v>57.691651676654199115261485298</v>
      </c>
      <c r="O42" s="440">
        <v>105.52495660638886576117459093</v>
      </c>
      <c r="P42" s="5"/>
      <c r="Q42" s="420">
        <v>-1.3483416749584860972711592600</v>
      </c>
      <c r="R42" s="91"/>
      <c r="S42" s="421">
        <v>7.3631049189877934044130178400</v>
      </c>
      <c r="T42" s="420">
        <v>-28.927712011754341472074605130</v>
      </c>
      <c r="U42" s="91"/>
      <c r="V42" s="421">
        <v>32.530829676414354425236640080</v>
      </c>
      <c r="W42" s="420">
        <v>21.367484524018091369035042250</v>
      </c>
      <c r="X42" s="91"/>
      <c r="Y42" s="421">
        <v>-35.945945263470781496006857330</v>
      </c>
      <c r="Z42" s="420">
        <v>-6.8124690039316392075130642300</v>
      </c>
      <c r="AA42" s="91">
        <v>18.658392851805718620555029210</v>
      </c>
      <c r="AB42" s="421">
        <v>9.468456322101511076397072610</v>
      </c>
    </row>
    <row r="43" ht="18" customHeight="1">
      <c r="A43" s="58"/>
      <c r="B43" s="1043" t="s">
        <v>49</v>
      </c>
      <c r="C43" s="1043"/>
      <c r="D43" s="439">
        <v>31.023670011166411279439327699</v>
      </c>
      <c r="E43" s="95"/>
      <c r="F43" s="440">
        <v>75.044453643479176511724938889</v>
      </c>
      <c r="G43" s="439">
        <v>6.1831984464878243629407120634</v>
      </c>
      <c r="H43" s="95"/>
      <c r="I43" s="440">
        <v>9.901719463652425926426115954</v>
      </c>
      <c r="J43" s="439">
        <v>1.0762890271431775635973217003</v>
      </c>
      <c r="K43" s="95"/>
      <c r="L43" s="440">
        <v>0.1832143575640752300378135275</v>
      </c>
      <c r="M43" s="439">
        <v>38.290220954703207733258601518</v>
      </c>
      <c r="N43" s="95">
        <v>56.554224758169958777454428643</v>
      </c>
      <c r="O43" s="440">
        <v>85.13059107776111075680050886</v>
      </c>
      <c r="P43" s="93"/>
      <c r="Q43" s="420">
        <v>-0.2256223326748355364730883400</v>
      </c>
      <c r="R43" s="91"/>
      <c r="S43" s="421">
        <v>7.925339458723643072715380020</v>
      </c>
      <c r="T43" s="420">
        <v>-29.094007805804847113864246510</v>
      </c>
      <c r="U43" s="91"/>
      <c r="V43" s="421">
        <v>21.566898262045827545578073800</v>
      </c>
      <c r="W43" s="420">
        <v>-18.172536804607575972620851970</v>
      </c>
      <c r="X43" s="91"/>
      <c r="Y43" s="421">
        <v>-53.599410356497429797376000420</v>
      </c>
      <c r="Z43" s="420">
        <v>-8.373231760482348586315970340</v>
      </c>
      <c r="AA43" s="91">
        <v>23.028574941538424317524428310</v>
      </c>
      <c r="AB43" s="421">
        <v>9.039131740511776706394668040</v>
      </c>
    </row>
    <row r="44" ht="18" customHeight="1">
      <c r="A44" s="58"/>
      <c r="B44" s="1044" t="s">
        <v>75</v>
      </c>
      <c r="C44" s="1044"/>
      <c r="D44" s="457">
        <v>29.023378858008943028555843476</v>
      </c>
      <c r="E44" s="458"/>
      <c r="F44" s="459">
        <v>79.6961651417146781925813247</v>
      </c>
      <c r="G44" s="457">
        <v>4.591017192071130424578552679</v>
      </c>
      <c r="H44" s="458"/>
      <c r="I44" s="459">
        <v>9.448858828559394246953068816</v>
      </c>
      <c r="J44" s="457">
        <v>1.292188771954496380530876372</v>
      </c>
      <c r="K44" s="458"/>
      <c r="L44" s="459">
        <v>0.2153108957331883589793854854</v>
      </c>
      <c r="M44" s="457">
        <v>34.91374635349508297434687453</v>
      </c>
      <c r="N44" s="458">
        <v>49.895288468796662290422778409</v>
      </c>
      <c r="O44" s="459">
        <v>89.36185221876498166299386531</v>
      </c>
      <c r="P44" s="5"/>
      <c r="Q44" s="430">
        <v>-7.3485934174938659361227311100</v>
      </c>
      <c r="R44" s="431"/>
      <c r="S44" s="432">
        <v>8.201806958120570172341957360</v>
      </c>
      <c r="T44" s="430">
        <v>-29.882336448497523741823293220</v>
      </c>
      <c r="U44" s="431"/>
      <c r="V44" s="432">
        <v>26.543919854874750040609718630</v>
      </c>
      <c r="W44" s="430">
        <v>7.1410688766367657659099033500</v>
      </c>
      <c r="X44" s="431"/>
      <c r="Y44" s="432">
        <v>-43.507794664857455983400669430</v>
      </c>
      <c r="Z44" s="430">
        <v>-11.483248322618199336781761440</v>
      </c>
      <c r="AA44" s="431">
        <v>19.808517840315107167719476320</v>
      </c>
      <c r="AB44" s="432">
        <v>9.642468613391536951203001370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50.102778799350685684260069141</v>
      </c>
      <c r="E46" s="494"/>
      <c r="F46" s="495">
        <v>74.642083846785606966594304468</v>
      </c>
      <c r="G46" s="493">
        <v>5.3418445327607324119205848955</v>
      </c>
      <c r="H46" s="494"/>
      <c r="I46" s="495">
        <v>11.870130468936390246326311128</v>
      </c>
      <c r="J46" s="493">
        <v>1.4504619015258385036511792295</v>
      </c>
      <c r="K46" s="494"/>
      <c r="L46" s="495">
        <v>0.2417091491537925532431101176</v>
      </c>
      <c r="M46" s="493">
        <v>56.905582714742230770802011484</v>
      </c>
      <c r="N46" s="494">
        <v>66.030621719804955527587773262</v>
      </c>
      <c r="O46" s="495">
        <v>86.75515004665758879935920685</v>
      </c>
      <c r="P46" s="93"/>
      <c r="Q46" s="479">
        <v>11.223942187114336997262965070</v>
      </c>
      <c r="R46" s="480"/>
      <c r="S46" s="481">
        <v>5.6316498399581073199211285400</v>
      </c>
      <c r="T46" s="479">
        <v>-29.097285767977857829446979720</v>
      </c>
      <c r="U46" s="480"/>
      <c r="V46" s="481">
        <v>4.3860395346153333228647140300</v>
      </c>
      <c r="W46" s="479">
        <v>45.075400518684225411035955940</v>
      </c>
      <c r="X46" s="480"/>
      <c r="Y46" s="481">
        <v>-22.828486676633728438182566960</v>
      </c>
      <c r="Z46" s="479">
        <v>4.3260804005954110247288150700</v>
      </c>
      <c r="AA46" s="480">
        <v>10.301356833795684499680527600</v>
      </c>
      <c r="AB46" s="481">
        <v>5.3530722018822629771052640300</v>
      </c>
    </row>
    <row r="47" ht="18" customHeight="1">
      <c r="A47" s="58"/>
      <c r="B47" s="1046" t="s">
        <v>51</v>
      </c>
      <c r="C47" s="1046"/>
      <c r="D47" s="276">
        <v>51.182267189718993066165758937</v>
      </c>
      <c r="E47" s="94"/>
      <c r="F47" s="277">
        <v>75.77693804803054562439850841</v>
      </c>
      <c r="G47" s="276">
        <v>4.2452520021610370846791159644</v>
      </c>
      <c r="H47" s="94"/>
      <c r="I47" s="277">
        <v>10.126124358473779900713953751</v>
      </c>
      <c r="J47" s="276">
        <v>1.1064189643068828721687997165</v>
      </c>
      <c r="K47" s="94"/>
      <c r="L47" s="277">
        <v>0.1844005724652356243249743744</v>
      </c>
      <c r="M47" s="276">
        <v>56.544369003511375511972671231</v>
      </c>
      <c r="N47" s="94">
        <v>63.976313120745054702281313038</v>
      </c>
      <c r="O47" s="277">
        <v>86.0890600428909964036874753</v>
      </c>
      <c r="P47" s="5"/>
      <c r="Q47" s="271">
        <v>13.816303821891869377396073510</v>
      </c>
      <c r="R47" s="92"/>
      <c r="S47" s="272">
        <v>5.7506328679598038770104336700</v>
      </c>
      <c r="T47" s="271">
        <v>-45.688592550101080777965731720</v>
      </c>
      <c r="U47" s="92"/>
      <c r="V47" s="272">
        <v>-1.8256449828324382931069744100</v>
      </c>
      <c r="W47" s="271">
        <v>-7.4865399452176025629069824200</v>
      </c>
      <c r="X47" s="92"/>
      <c r="Y47" s="272">
        <v>-47.935215433678461702486670480</v>
      </c>
      <c r="Z47" s="271">
        <v>2.2522878310522556197716639500</v>
      </c>
      <c r="AA47" s="92">
        <v>12.864368172936477181920485300</v>
      </c>
      <c r="AB47" s="272">
        <v>4.5725679153397638137220445300</v>
      </c>
    </row>
    <row r="48" ht="18" customHeight="1">
      <c r="A48" s="58"/>
      <c r="B48" s="1047" t="s">
        <v>76</v>
      </c>
      <c r="C48" s="1047"/>
      <c r="D48" s="443">
        <v>50.642522994534839375212914014</v>
      </c>
      <c r="E48" s="444"/>
      <c r="F48" s="445">
        <v>75.209420294102234164302056322</v>
      </c>
      <c r="G48" s="443">
        <v>4.7935482674608847482998504275</v>
      </c>
      <c r="H48" s="444"/>
      <c r="I48" s="445">
        <v>10.998266726683923127379936914</v>
      </c>
      <c r="J48" s="443">
        <v>1.2784404329163606879099894724</v>
      </c>
      <c r="K48" s="444"/>
      <c r="L48" s="445">
        <v>0.2130594386768068439392483232</v>
      </c>
      <c r="M48" s="443">
        <v>56.724975859126803141387341359</v>
      </c>
      <c r="N48" s="444">
        <v>65.003467420275005114934543147</v>
      </c>
      <c r="O48" s="445">
        <v>86.4221589875738020469104516</v>
      </c>
      <c r="P48" s="93"/>
      <c r="Q48" s="273">
        <v>12.517629506882696037523681330</v>
      </c>
      <c r="R48" s="274"/>
      <c r="S48" s="275">
        <v>5.6914293152492646497761133200</v>
      </c>
      <c r="T48" s="273">
        <v>-37.529261838250827747036662940</v>
      </c>
      <c r="U48" s="274"/>
      <c r="V48" s="275">
        <v>1.4328582707712250480578222400</v>
      </c>
      <c r="W48" s="273">
        <v>16.594515072011394665812269710</v>
      </c>
      <c r="X48" s="274"/>
      <c r="Y48" s="275">
        <v>-36.151019383334898204094222230</v>
      </c>
      <c r="Z48" s="273">
        <v>3.2820761039290311713440235600</v>
      </c>
      <c r="AA48" s="274">
        <v>11.547901273842208936324258380</v>
      </c>
      <c r="AB48" s="275">
        <v>4.9629385313356597670961663100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35.302048763219611487233948405</v>
      </c>
      <c r="E50" s="483"/>
      <c r="F50" s="484">
        <v>78.314505602818703053207640928</v>
      </c>
      <c r="G50" s="482">
        <v>4.6384574538696402495685649808</v>
      </c>
      <c r="H50" s="483"/>
      <c r="I50" s="484">
        <v>9.986157756987623655654574331</v>
      </c>
      <c r="J50" s="482">
        <v>1.2995044028496836143192176645</v>
      </c>
      <c r="K50" s="483"/>
      <c r="L50" s="484">
        <v>0.2128571650016760532851677006</v>
      </c>
      <c r="M50" s="482">
        <v>41.240051772202309836718438869</v>
      </c>
      <c r="N50" s="483">
        <v>54.247438784037336612900682718</v>
      </c>
      <c r="O50" s="484">
        <v>88.51352052480800276214738296</v>
      </c>
      <c r="P50" s="93"/>
      <c r="Q50" s="468">
        <v>-1.1290620923774742818817884100</v>
      </c>
      <c r="R50" s="469"/>
      <c r="S50" s="470">
        <v>7.4960448378992616263173748200</v>
      </c>
      <c r="T50" s="468">
        <v>-33.615961210556012251062898040</v>
      </c>
      <c r="U50" s="469"/>
      <c r="V50" s="470">
        <v>17.146014497577026874794796570</v>
      </c>
      <c r="W50" s="468">
        <v>9.074732417449666638875884180</v>
      </c>
      <c r="X50" s="469"/>
      <c r="Y50" s="470">
        <v>-41.551184974309001453263304660</v>
      </c>
      <c r="Z50" s="468">
        <v>-6.0245867766983078444289619800</v>
      </c>
      <c r="AA50" s="469">
        <v>16.869779986045055945029385350</v>
      </c>
      <c r="AB50" s="470">
        <v>8.283884503053514973190704680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155</v>
      </c>
      <c r="Y1" s="5"/>
      <c r="AB1" s="685"/>
      <c r="AD1" s="236"/>
    </row>
    <row r="2" ht="15" customHeight="1">
      <c r="A2" s="11"/>
      <c r="B2" s="11" t="s">
        <v>170</v>
      </c>
    </row>
    <row r="3" ht="17.1" customHeight="1">
      <c r="A3" s="11"/>
      <c r="B3" s="11" t="s">
        <v>171</v>
      </c>
      <c r="R3" s="1040" t="s">
        <v>247</v>
      </c>
      <c r="S3" s="1040"/>
      <c r="T3" s="1040"/>
      <c r="U3" s="1040"/>
      <c r="V3" s="1040"/>
      <c r="W3" s="1040"/>
      <c r="X3" s="1040"/>
      <c r="Y3" s="1040"/>
      <c r="Z3" s="1040"/>
      <c r="AA3" s="1040"/>
      <c r="AB3" s="1040"/>
    </row>
    <row r="4" ht="19.5" customHeight="1">
      <c r="A4" s="4"/>
      <c r="B4" s="211" t="s">
        <v>172</v>
      </c>
      <c r="C4" s="5"/>
      <c r="D4" s="5"/>
      <c r="E4" s="5"/>
      <c r="F4" s="5"/>
      <c r="G4" s="5"/>
      <c r="H4" s="212"/>
      <c r="I4" s="212"/>
      <c r="J4" s="212"/>
      <c r="K4" s="212"/>
      <c r="L4" s="212"/>
      <c r="M4" s="212"/>
      <c r="N4" s="212"/>
      <c r="O4" s="212"/>
      <c r="P4" s="212"/>
      <c r="Q4" s="212"/>
      <c r="R4" s="212"/>
      <c r="S4" s="212"/>
      <c r="T4" s="212"/>
      <c r="U4" s="4"/>
      <c r="V4" s="4"/>
    </row>
    <row r="5" ht="12.75" customHeight="1"/>
    <row r="6" ht="15.75">
      <c r="D6" s="978" t="s">
        <v>44</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22.609423645449075164168171010</v>
      </c>
      <c r="E11" s="428"/>
      <c r="F11" s="429">
        <v>49.679300291545189504373177890</v>
      </c>
      <c r="G11" s="427">
        <v>0.6828349423122203908641393900</v>
      </c>
      <c r="H11" s="428"/>
      <c r="I11" s="429">
        <v>4.7392290249433106575963718900</v>
      </c>
      <c r="J11" s="427">
        <v>1.2518640609057373832509222200</v>
      </c>
      <c r="K11" s="428"/>
      <c r="L11" s="429">
        <v>0.2332361516034985422740524800</v>
      </c>
      <c r="M11" s="427">
        <v>24.563401670463173880030372060</v>
      </c>
      <c r="N11" s="428">
        <v>40.038314176245210727969348660</v>
      </c>
      <c r="O11" s="429">
        <v>54.658244250080984774862325880</v>
      </c>
      <c r="P11" s="5"/>
      <c r="Q11" s="427">
        <v>15.068514359963461626184225770</v>
      </c>
      <c r="R11" s="428"/>
      <c r="S11" s="429">
        <v>13.824405951381017871428921960</v>
      </c>
      <c r="T11" s="427">
        <v>-81.20029649353531686092428936</v>
      </c>
      <c r="U11" s="428"/>
      <c r="V11" s="429">
        <v>25.092081031998667114357267250</v>
      </c>
      <c r="W11" s="427">
        <v>36.223248428828062111396185570</v>
      </c>
      <c r="X11" s="428"/>
      <c r="Y11" s="429">
        <v>42.249240126680333699982355350</v>
      </c>
      <c r="Z11" s="427">
        <v>1.8770244238017965439088456500</v>
      </c>
      <c r="AA11" s="428">
        <v>47.262872628546698393813425440</v>
      </c>
      <c r="AB11" s="429">
        <v>14.841205851314214066533201410</v>
      </c>
    </row>
    <row r="12" ht="18" customHeight="1">
      <c r="A12" s="58"/>
      <c r="B12" s="1043" t="s">
        <v>46</v>
      </c>
      <c r="C12" s="1043"/>
      <c r="D12" s="420">
        <v>27.305353825367336598547542660</v>
      </c>
      <c r="E12" s="91"/>
      <c r="F12" s="421">
        <v>66.485260770975056689342403690</v>
      </c>
      <c r="G12" s="420">
        <v>3.8774418735573945842481562800</v>
      </c>
      <c r="H12" s="91"/>
      <c r="I12" s="421">
        <v>8.508634222919937205651491370</v>
      </c>
      <c r="J12" s="420">
        <v>1.5101615718065642064966503400</v>
      </c>
      <c r="K12" s="91"/>
      <c r="L12" s="421">
        <v>0.2686202686202686202686202700</v>
      </c>
      <c r="M12" s="420">
        <v>32.720588235294117647058823530</v>
      </c>
      <c r="N12" s="91">
        <v>49.233716475095785440613026820</v>
      </c>
      <c r="O12" s="421">
        <v>75.272980987266701552415838130</v>
      </c>
      <c r="P12" s="5"/>
      <c r="Q12" s="420">
        <v>17.348574030088759890565599900</v>
      </c>
      <c r="R12" s="91"/>
      <c r="S12" s="421">
        <v>11.646162858794367007350076560</v>
      </c>
      <c r="T12" s="420">
        <v>0.8601346287892634728276713200</v>
      </c>
      <c r="U12" s="91"/>
      <c r="V12" s="421">
        <v>24.948770491246706168329205950</v>
      </c>
      <c r="W12" s="420">
        <v>3.6618050331221802989095717900</v>
      </c>
      <c r="X12" s="91"/>
      <c r="Y12" s="421">
        <v>4.0540540414902300964768220800</v>
      </c>
      <c r="Z12" s="420">
        <v>12.065697383745244312444626090</v>
      </c>
      <c r="AA12" s="91">
        <v>34.176706827329929259205499880</v>
      </c>
      <c r="AB12" s="421">
        <v>12.980416797504139408827309990</v>
      </c>
    </row>
    <row r="13" ht="18" customHeight="1">
      <c r="A13" s="58"/>
      <c r="B13" s="1043" t="s">
        <v>47</v>
      </c>
      <c r="C13" s="1043"/>
      <c r="D13" s="420">
        <v>33.537052354256655331924149150</v>
      </c>
      <c r="E13" s="91"/>
      <c r="F13" s="421">
        <v>72.520495377638234781091924020</v>
      </c>
      <c r="G13" s="420">
        <v>6.8406702815304965842600251300</v>
      </c>
      <c r="H13" s="91"/>
      <c r="I13" s="421">
        <v>10.737833594976452119309262180</v>
      </c>
      <c r="J13" s="420">
        <v>1.1549183592194344882516925500</v>
      </c>
      <c r="K13" s="91"/>
      <c r="L13" s="421">
        <v>0.1814058956916099773242630400</v>
      </c>
      <c r="M13" s="420">
        <v>41.555555555555555555555555560</v>
      </c>
      <c r="N13" s="91">
        <v>60.904804008252284114353079870</v>
      </c>
      <c r="O13" s="421">
        <v>83.43973486830629687772544915</v>
      </c>
      <c r="P13" s="184"/>
      <c r="Q13" s="420">
        <v>16.889770627375555405007507750</v>
      </c>
      <c r="R13" s="91"/>
      <c r="S13" s="421">
        <v>7.7545096412817630927278528100</v>
      </c>
      <c r="T13" s="420">
        <v>43.256555121276856923281057470</v>
      </c>
      <c r="U13" s="91"/>
      <c r="V13" s="421">
        <v>37.903225805931695499481668980</v>
      </c>
      <c r="W13" s="420">
        <v>1.9274376387456187237669403900</v>
      </c>
      <c r="X13" s="91"/>
      <c r="Y13" s="421">
        <v>-7.1428571617767857104308363100</v>
      </c>
      <c r="Z13" s="420">
        <v>17.522027290560504453336176280</v>
      </c>
      <c r="AA13" s="91">
        <v>35.021234890616248850953003860</v>
      </c>
      <c r="AB13" s="421">
        <v>10.823834676975670327781458470</v>
      </c>
    </row>
    <row r="14" ht="18" customHeight="1">
      <c r="A14" s="58"/>
      <c r="B14" s="1043" t="s">
        <v>48</v>
      </c>
      <c r="C14" s="1043"/>
      <c r="D14" s="420">
        <v>34.497502328337990009313351990</v>
      </c>
      <c r="E14" s="91"/>
      <c r="F14" s="421">
        <v>69.429618001046572475143903780</v>
      </c>
      <c r="G14" s="420">
        <v>4.9925210961533034177179465500</v>
      </c>
      <c r="H14" s="91"/>
      <c r="I14" s="421">
        <v>9.607535321821036106750392470</v>
      </c>
      <c r="J14" s="420">
        <v>1.5959698586063838794344255400</v>
      </c>
      <c r="K14" s="91"/>
      <c r="L14" s="421">
        <v>0.2755974184545613117041688500</v>
      </c>
      <c r="M14" s="420">
        <v>41.113841113841113841113841110</v>
      </c>
      <c r="N14" s="91">
        <v>59.460654288240495137046861180</v>
      </c>
      <c r="O14" s="421">
        <v>79.32670504099075527646956218</v>
      </c>
      <c r="P14" s="5"/>
      <c r="Q14" s="420">
        <v>25.598392749188864017370464260</v>
      </c>
      <c r="R14" s="91"/>
      <c r="S14" s="421">
        <v>7.3462783171408999434442467200</v>
      </c>
      <c r="T14" s="420">
        <v>-12.075234780966774488499229490</v>
      </c>
      <c r="U14" s="91"/>
      <c r="V14" s="421">
        <v>40.152671755573269622982508440</v>
      </c>
      <c r="W14" s="420">
        <v>6.6416330277997375166969140100</v>
      </c>
      <c r="X14" s="91"/>
      <c r="Y14" s="421">
        <v>12.857142857255714285714399790</v>
      </c>
      <c r="Z14" s="420">
        <v>17.232627138447881032186164320</v>
      </c>
      <c r="AA14" s="91">
        <v>33.830845771179434172421483940</v>
      </c>
      <c r="AB14" s="421">
        <v>10.528362416685556087570569290</v>
      </c>
    </row>
    <row r="15" ht="18" customHeight="1">
      <c r="A15" s="58"/>
      <c r="B15" s="1043" t="s">
        <v>49</v>
      </c>
      <c r="C15" s="1043"/>
      <c r="D15" s="420">
        <v>29.382214319984195523946603470</v>
      </c>
      <c r="E15" s="91"/>
      <c r="F15" s="421">
        <v>61.070992499563928135356706840</v>
      </c>
      <c r="G15" s="420">
        <v>2.2507267236756695735613693500</v>
      </c>
      <c r="H15" s="91"/>
      <c r="I15" s="421">
        <v>9.237746380603523460666317820</v>
      </c>
      <c r="J15" s="420">
        <v>0.9821352976039285411904157100</v>
      </c>
      <c r="K15" s="91"/>
      <c r="L15" s="421">
        <v>0.1709401709401709401709401700</v>
      </c>
      <c r="M15" s="420">
        <v>32.678132678132678132678132680</v>
      </c>
      <c r="N15" s="91">
        <v>56.424992631889183613321544360</v>
      </c>
      <c r="O15" s="421">
        <v>70.497121925693354264782836210</v>
      </c>
      <c r="P15" s="184"/>
      <c r="Q15" s="420">
        <v>12.569998517465295624109183190</v>
      </c>
      <c r="R15" s="91"/>
      <c r="S15" s="421">
        <v>7.995064774911064787769774780</v>
      </c>
      <c r="T15" s="420">
        <v>-66.291713535656905808851138050</v>
      </c>
      <c r="U15" s="91"/>
      <c r="V15" s="421">
        <v>30.250860796090170814134032550</v>
      </c>
      <c r="W15" s="420">
        <v>-28.617746310614200807693238370</v>
      </c>
      <c r="X15" s="91"/>
      <c r="Y15" s="421">
        <v>-32.876712341502158000961577240</v>
      </c>
      <c r="Z15" s="420">
        <v>-6.3794729672301144224404483600</v>
      </c>
      <c r="AA15" s="91">
        <v>32.720970537109149830744868660</v>
      </c>
      <c r="AB15" s="421">
        <v>10.323742970958076115014628770</v>
      </c>
    </row>
    <row r="16" ht="18" customHeight="1">
      <c r="A16" s="58"/>
      <c r="B16" s="1044" t="s">
        <v>75</v>
      </c>
      <c r="C16" s="1044"/>
      <c r="D16" s="430">
        <v>29.293177176770582992022927040</v>
      </c>
      <c r="E16" s="431"/>
      <c r="F16" s="432">
        <v>63.622620765477908335051192220</v>
      </c>
      <c r="G16" s="430">
        <v>3.6319940425819991199268862400</v>
      </c>
      <c r="H16" s="431"/>
      <c r="I16" s="432">
        <v>8.508211365354222497079639940</v>
      </c>
      <c r="J16" s="430">
        <v>1.3006465152489591442981416900</v>
      </c>
      <c r="K16" s="431"/>
      <c r="L16" s="432">
        <v>0.2260702260702260702260702300</v>
      </c>
      <c r="M16" s="430">
        <v>34.258349705304518664047151280</v>
      </c>
      <c r="N16" s="431">
        <v>53.012887495646116335771508190</v>
      </c>
      <c r="O16" s="432">
        <v>72.366522366522366522366522370</v>
      </c>
      <c r="P16" s="5"/>
      <c r="Q16" s="430">
        <v>16.806090947437567627477971940</v>
      </c>
      <c r="R16" s="431"/>
      <c r="S16" s="432">
        <v>9.045503285137146044280839420</v>
      </c>
      <c r="T16" s="430">
        <v>-26.310974137756744953291377060</v>
      </c>
      <c r="U16" s="431"/>
      <c r="V16" s="432">
        <v>31.575247512260537587811198070</v>
      </c>
      <c r="W16" s="430">
        <v>1.7601059320024482300862490500</v>
      </c>
      <c r="X16" s="431"/>
      <c r="Y16" s="432">
        <v>1.2547348472903590346968581500</v>
      </c>
      <c r="Z16" s="629">
        <v>7.972744509229051678062623540</v>
      </c>
      <c r="AA16" s="214">
        <v>35.283338803093974181614074560</v>
      </c>
      <c r="AB16" s="630">
        <v>11.271301408393855489716790200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47.101571980921739621257020330</v>
      </c>
      <c r="E18" s="480"/>
      <c r="F18" s="481">
        <v>64.590964590964590964590964650</v>
      </c>
      <c r="G18" s="479">
        <v>1.8005813789405356588490954800</v>
      </c>
      <c r="H18" s="480"/>
      <c r="I18" s="481">
        <v>9.673818245246816675388103970</v>
      </c>
      <c r="J18" s="479">
        <v>1.718736770806874947083227500</v>
      </c>
      <c r="K18" s="480"/>
      <c r="L18" s="481">
        <v>0.3035060177917320774463631600</v>
      </c>
      <c r="M18" s="479">
        <v>50.655200655200655200655200660</v>
      </c>
      <c r="N18" s="480">
        <v>64.456233421750663129973474800</v>
      </c>
      <c r="O18" s="481">
        <v>74.578754578754578754578754580</v>
      </c>
      <c r="P18" s="184"/>
      <c r="Q18" s="479">
        <v>42.465989180796820672319584570</v>
      </c>
      <c r="R18" s="480"/>
      <c r="S18" s="481">
        <v>11.127783446324476562953337800</v>
      </c>
      <c r="T18" s="479">
        <v>-73.514917778129470878822361790</v>
      </c>
      <c r="U18" s="480"/>
      <c r="V18" s="481">
        <v>7.8568650328596993573871154200</v>
      </c>
      <c r="W18" s="479">
        <v>93.05654975466563322160734853</v>
      </c>
      <c r="X18" s="480"/>
      <c r="Y18" s="481">
        <v>93.33333329834000000633379292</v>
      </c>
      <c r="Z18" s="479">
        <v>21.632845267350697472341321040</v>
      </c>
      <c r="AA18" s="480">
        <v>19.769989047071441026477717760</v>
      </c>
      <c r="AB18" s="481">
        <v>10.887494164576398834070776380</v>
      </c>
    </row>
    <row r="19" ht="18" customHeight="1">
      <c r="A19" s="58"/>
      <c r="B19" s="1046" t="s">
        <v>51</v>
      </c>
      <c r="C19" s="1046"/>
      <c r="D19" s="271">
        <v>47.674484237857364603618096160</v>
      </c>
      <c r="E19" s="92"/>
      <c r="F19" s="272">
        <v>65.717774289202860631432060070</v>
      </c>
      <c r="G19" s="271">
        <v>1.718736770806874947083227500</v>
      </c>
      <c r="H19" s="92"/>
      <c r="I19" s="272">
        <v>8.553985696842839699982557130</v>
      </c>
      <c r="J19" s="271">
        <v>1.0639799057375892529562836900</v>
      </c>
      <c r="K19" s="92"/>
      <c r="L19" s="272">
        <v>0.1848944706087563230420373300</v>
      </c>
      <c r="M19" s="271">
        <v>50.491400491400491400491400490</v>
      </c>
      <c r="N19" s="92">
        <v>64.426760978485116416150898910</v>
      </c>
      <c r="O19" s="272">
        <v>74.463631606488749345892203040</v>
      </c>
      <c r="P19" s="5"/>
      <c r="Q19" s="271">
        <v>34.436435941887056702056456800</v>
      </c>
      <c r="R19" s="92"/>
      <c r="S19" s="272">
        <v>13.506836698191796724779734580</v>
      </c>
      <c r="T19" s="271">
        <v>-78.350170851412867801790131030</v>
      </c>
      <c r="U19" s="92"/>
      <c r="V19" s="272">
        <v>-0.128011171422504825284888200</v>
      </c>
      <c r="W19" s="271">
        <v>-5.2905886803147698321818451600</v>
      </c>
      <c r="X19" s="92"/>
      <c r="Y19" s="272">
        <v>-4.871794886682435895105992500</v>
      </c>
      <c r="Z19" s="271">
        <v>10.579988965248363935704400160</v>
      </c>
      <c r="AA19" s="92">
        <v>28.642286675175630592823901440</v>
      </c>
      <c r="AB19" s="272">
        <v>11.706303221476238501239009450</v>
      </c>
    </row>
    <row r="20" ht="18" customHeight="1">
      <c r="A20" s="58"/>
      <c r="B20" s="1047" t="s">
        <v>76</v>
      </c>
      <c r="C20" s="1047"/>
      <c r="D20" s="273">
        <v>47.388028109389552112437558240</v>
      </c>
      <c r="E20" s="274"/>
      <c r="F20" s="275">
        <v>65.154369440083725798011512360</v>
      </c>
      <c r="G20" s="273">
        <v>1.7596590748737053029661614900</v>
      </c>
      <c r="H20" s="274"/>
      <c r="I20" s="275">
        <v>9.113901971044828187685330550</v>
      </c>
      <c r="J20" s="273">
        <v>1.391358338272232100019755600</v>
      </c>
      <c r="K20" s="274"/>
      <c r="L20" s="275">
        <v>0.2442002442002442002442002400</v>
      </c>
      <c r="M20" s="273">
        <v>50.573300573300573300573300570</v>
      </c>
      <c r="N20" s="274">
        <v>64.441497200117889773062186860</v>
      </c>
      <c r="O20" s="275">
        <v>74.521193092621664050235478810</v>
      </c>
      <c r="P20" s="184"/>
      <c r="Q20" s="273">
        <v>38.122976974760848687655141110</v>
      </c>
      <c r="R20" s="274"/>
      <c r="S20" s="275">
        <v>12.323084050969020026290876050</v>
      </c>
      <c r="T20" s="273">
        <v>-76.191018885693609973478329650</v>
      </c>
      <c r="U20" s="274"/>
      <c r="V20" s="275">
        <v>4.0452835754569861470451609800</v>
      </c>
      <c r="W20" s="273">
        <v>37.572466903058023281879595480</v>
      </c>
      <c r="X20" s="274"/>
      <c r="Y20" s="275">
        <v>38.461538487846153851152305310</v>
      </c>
      <c r="Z20" s="273">
        <v>15.655334917651803471828334840</v>
      </c>
      <c r="AA20" s="274">
        <v>24.212043427139269059972847240</v>
      </c>
      <c r="AB20" s="275">
        <v>11.313426268140889556366143160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34.519635343618513323983169710</v>
      </c>
      <c r="E22" s="469"/>
      <c r="F22" s="470">
        <v>64.050985405985039316622355210</v>
      </c>
      <c r="G22" s="468">
        <v>3.0388031790556334735857877500</v>
      </c>
      <c r="H22" s="469"/>
      <c r="I22" s="470">
        <v>8.686697512853062683568800650</v>
      </c>
      <c r="J22" s="468">
        <v>1.3382421692379616643291257600</v>
      </c>
      <c r="K22" s="469"/>
      <c r="L22" s="470">
        <v>0.2353033771295604270986006200</v>
      </c>
      <c r="M22" s="468">
        <v>38.896680691912108461898083220</v>
      </c>
      <c r="N22" s="469">
        <v>56.251041146093619856738297520</v>
      </c>
      <c r="O22" s="470">
        <v>72.972986295967662427289756480</v>
      </c>
      <c r="P22" s="184"/>
      <c r="Q22" s="468">
        <v>21.418293936161748335585059940</v>
      </c>
      <c r="R22" s="469"/>
      <c r="S22" s="470">
        <v>10.073735196642848871180605550</v>
      </c>
      <c r="T22" s="468">
        <v>-46.113989637734107224351610310</v>
      </c>
      <c r="U22" s="469"/>
      <c r="V22" s="470">
        <v>20.650153900596240483471774190</v>
      </c>
      <c r="W22" s="468">
        <v>13.366336635369473581047144580</v>
      </c>
      <c r="X22" s="469"/>
      <c r="Y22" s="470">
        <v>13.723420841123808506589792940</v>
      </c>
      <c r="Z22" s="468">
        <v>10.344827586348852099149546940</v>
      </c>
      <c r="AA22" s="469">
        <v>31.091376716798693861707880460</v>
      </c>
      <c r="AB22" s="470">
        <v>11.246129798372149649630751300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97.0852140004399530613743968</v>
      </c>
      <c r="E25" s="455"/>
      <c r="F25" s="456">
        <v>115.45437248113456527288165558</v>
      </c>
      <c r="G25" s="454">
        <v>111.83692933580967542230476694</v>
      </c>
      <c r="H25" s="455"/>
      <c r="I25" s="456">
        <v>117.83712715895132170235836078</v>
      </c>
      <c r="J25" s="454">
        <v>97.61917212669626120910604549</v>
      </c>
      <c r="K25" s="455"/>
      <c r="L25" s="456">
        <v>92.17510432321851432875734773</v>
      </c>
      <c r="M25" s="454">
        <v>97.52285154944012797848705688</v>
      </c>
      <c r="N25" s="455">
        <v>93.02776396565254418746426959</v>
      </c>
      <c r="O25" s="456">
        <v>115.547951218840586126185852</v>
      </c>
      <c r="P25" s="5"/>
      <c r="Q25" s="427">
        <v>-6.6354485334046296790205013600</v>
      </c>
      <c r="R25" s="428"/>
      <c r="S25" s="429">
        <v>0.4568596732526938518019658400</v>
      </c>
      <c r="T25" s="427">
        <v>-0.2691108985071409725348265500</v>
      </c>
      <c r="U25" s="428"/>
      <c r="V25" s="429">
        <v>7.7548942793581205301081231400</v>
      </c>
      <c r="W25" s="427">
        <v>2.3460271086817763700115548700</v>
      </c>
      <c r="X25" s="428"/>
      <c r="Y25" s="429">
        <v>-1.3912584683779588691274587900</v>
      </c>
      <c r="Z25" s="427">
        <v>-6.4561200304287318679385717700</v>
      </c>
      <c r="AA25" s="428">
        <v>-5.9184068694554346113542489500</v>
      </c>
      <c r="AB25" s="429">
        <v>0.9855947822833323870823062800</v>
      </c>
    </row>
    <row r="26" ht="18" customHeight="1">
      <c r="A26" s="58"/>
      <c r="B26" s="1043" t="s">
        <v>46</v>
      </c>
      <c r="C26" s="1043"/>
      <c r="D26" s="439">
        <v>97.33452898185094055186491934</v>
      </c>
      <c r="E26" s="95"/>
      <c r="F26" s="440">
        <v>131.29547377033473537284971358</v>
      </c>
      <c r="G26" s="439">
        <v>117.52023266973998377523940546</v>
      </c>
      <c r="H26" s="95"/>
      <c r="I26" s="440">
        <v>126.23063554819125726118968706</v>
      </c>
      <c r="J26" s="439">
        <v>99.70471514459605367305824569</v>
      </c>
      <c r="K26" s="95"/>
      <c r="L26" s="440">
        <v>95.79584324781816420051531648</v>
      </c>
      <c r="M26" s="439">
        <v>99.83807297482351020443012441</v>
      </c>
      <c r="N26" s="95">
        <v>98.07776621915374093517153549</v>
      </c>
      <c r="O26" s="440">
        <v>130.57802007448486174348849087</v>
      </c>
      <c r="P26" s="5"/>
      <c r="Q26" s="420">
        <v>-9.656016556574297211174732480</v>
      </c>
      <c r="R26" s="91"/>
      <c r="S26" s="421">
        <v>3.5764991927291569439158072500</v>
      </c>
      <c r="T26" s="420">
        <v>-2.8469887473515863837006895400</v>
      </c>
      <c r="U26" s="91"/>
      <c r="V26" s="421">
        <v>3.3982385100016076658644368300</v>
      </c>
      <c r="W26" s="420">
        <v>9.533769440691593664371170070</v>
      </c>
      <c r="X26" s="91"/>
      <c r="Y26" s="421">
        <v>8.015897744822562517479455200</v>
      </c>
      <c r="Z26" s="420">
        <v>-8.123334050589308335043277790</v>
      </c>
      <c r="AA26" s="91">
        <v>-8.405028662861716359363349650</v>
      </c>
      <c r="AB26" s="421">
        <v>3.532522807455697714623991700</v>
      </c>
    </row>
    <row r="27" ht="18" customHeight="1">
      <c r="A27" s="58"/>
      <c r="B27" s="1043" t="s">
        <v>47</v>
      </c>
      <c r="C27" s="1043"/>
      <c r="D27" s="439">
        <v>97.62781985508840740027419414</v>
      </c>
      <c r="E27" s="95"/>
      <c r="F27" s="440">
        <v>142.12955241450947405014014538</v>
      </c>
      <c r="G27" s="439">
        <v>115.62368438637251473300016088</v>
      </c>
      <c r="H27" s="95"/>
      <c r="I27" s="440">
        <v>126.90230954811401091693541446</v>
      </c>
      <c r="J27" s="439">
        <v>98.7500996135576055062637257</v>
      </c>
      <c r="K27" s="95"/>
      <c r="L27" s="440">
        <v>95.31624153735360865494693783</v>
      </c>
      <c r="M27" s="439">
        <v>100.62305238079744663021593393</v>
      </c>
      <c r="N27" s="95">
        <v>104.17198685946136523299632899</v>
      </c>
      <c r="O27" s="440">
        <v>140.06818667705745713716438619</v>
      </c>
      <c r="P27" s="93"/>
      <c r="Q27" s="420">
        <v>-12.758425200860836674642712590</v>
      </c>
      <c r="R27" s="91"/>
      <c r="S27" s="421">
        <v>5.1981616041547495898139666800</v>
      </c>
      <c r="T27" s="420">
        <v>9.746438319977763391645435760</v>
      </c>
      <c r="U27" s="91"/>
      <c r="V27" s="421">
        <v>-4.4875090670389656924012545200</v>
      </c>
      <c r="W27" s="420">
        <v>7.2124743447472157684404622700</v>
      </c>
      <c r="X27" s="91"/>
      <c r="Y27" s="421">
        <v>6.9354771044688160617323661200</v>
      </c>
      <c r="Z27" s="420">
        <v>-8.816975352530009784364737270</v>
      </c>
      <c r="AA27" s="91">
        <v>-8.575945910103471731430904280</v>
      </c>
      <c r="AB27" s="421">
        <v>3.9522315546411110506993340800</v>
      </c>
    </row>
    <row r="28" ht="18" customHeight="1">
      <c r="A28" s="58"/>
      <c r="B28" s="1043" t="s">
        <v>48</v>
      </c>
      <c r="C28" s="1043"/>
      <c r="D28" s="439">
        <v>98.67076056212420966221860751</v>
      </c>
      <c r="E28" s="95"/>
      <c r="F28" s="440">
        <v>139.45984126905337996668378616</v>
      </c>
      <c r="G28" s="439">
        <v>122.27523127304169355744315319</v>
      </c>
      <c r="H28" s="95"/>
      <c r="I28" s="440">
        <v>128.59025678128924376067368423</v>
      </c>
      <c r="J28" s="439">
        <v>99.6933970937278893829899519</v>
      </c>
      <c r="K28" s="95"/>
      <c r="L28" s="440">
        <v>95.93940566537428593052609973</v>
      </c>
      <c r="M28" s="439">
        <v>101.57875682852309068246509854</v>
      </c>
      <c r="N28" s="95">
        <v>104.02128189563806158385688462</v>
      </c>
      <c r="O28" s="440">
        <v>137.96765650028301657954824752</v>
      </c>
      <c r="P28" s="5"/>
      <c r="Q28" s="420">
        <v>-10.595974982443690755918006530</v>
      </c>
      <c r="R28" s="91"/>
      <c r="S28" s="421">
        <v>4.4178702631471727074027085300</v>
      </c>
      <c r="T28" s="420">
        <v>17.950932859171199134682971400</v>
      </c>
      <c r="U28" s="91"/>
      <c r="V28" s="421">
        <v>8.325200176764354991954204270</v>
      </c>
      <c r="W28" s="420">
        <v>8.193321216486921340506062780</v>
      </c>
      <c r="X28" s="91"/>
      <c r="Y28" s="421">
        <v>7.993469082737133677842117040</v>
      </c>
      <c r="Z28" s="420">
        <v>-6.8181799629575946962826449300</v>
      </c>
      <c r="AA28" s="91">
        <v>-1.6217482659463115052522497400</v>
      </c>
      <c r="AB28" s="421">
        <v>4.5196550027140194677434144500</v>
      </c>
    </row>
    <row r="29" ht="18" customHeight="1">
      <c r="A29" s="58"/>
      <c r="B29" s="1043" t="s">
        <v>49</v>
      </c>
      <c r="C29" s="1043"/>
      <c r="D29" s="439">
        <v>94.06552803968315544562231853</v>
      </c>
      <c r="E29" s="95"/>
      <c r="F29" s="440">
        <v>126.44662940165010176255179703</v>
      </c>
      <c r="G29" s="439">
        <v>119.43694648442083907293079368</v>
      </c>
      <c r="H29" s="95"/>
      <c r="I29" s="440">
        <v>127.31206949506864507718314802</v>
      </c>
      <c r="J29" s="439">
        <v>97.68979852647766314064460579</v>
      </c>
      <c r="K29" s="95"/>
      <c r="L29" s="440">
        <v>97.95234610821343302826296014</v>
      </c>
      <c r="M29" s="439">
        <v>95.80530871399889182248557506</v>
      </c>
      <c r="N29" s="95">
        <v>105.76106453271953009661775034</v>
      </c>
      <c r="O29" s="440">
        <v>126.4596555466909596119357492</v>
      </c>
      <c r="P29" s="93"/>
      <c r="Q29" s="420">
        <v>-10.362097403667320234003326910</v>
      </c>
      <c r="R29" s="91"/>
      <c r="S29" s="421">
        <v>2.8350997302344099124670078800</v>
      </c>
      <c r="T29" s="420">
        <v>20.520129692742192408151134270</v>
      </c>
      <c r="U29" s="91"/>
      <c r="V29" s="421">
        <v>12.613136637760110093592003050</v>
      </c>
      <c r="W29" s="420">
        <v>3.9235413055977022648236439900</v>
      </c>
      <c r="X29" s="91"/>
      <c r="Y29" s="421">
        <v>8.605591662075918893831275530</v>
      </c>
      <c r="Z29" s="420">
        <v>-7.306841374793903872496845800</v>
      </c>
      <c r="AA29" s="91">
        <v>1.8785396735420729837254699100</v>
      </c>
      <c r="AB29" s="421">
        <v>3.890847049342746510976563900</v>
      </c>
    </row>
    <row r="30" ht="18" customHeight="1">
      <c r="A30" s="58"/>
      <c r="B30" s="1044" t="s">
        <v>75</v>
      </c>
      <c r="C30" s="1044"/>
      <c r="D30" s="457">
        <v>97.01398819047066551136299887</v>
      </c>
      <c r="E30" s="458"/>
      <c r="F30" s="459">
        <v>131.94222903467468491054291745</v>
      </c>
      <c r="G30" s="457">
        <v>118.17600112415646992826691991</v>
      </c>
      <c r="H30" s="458"/>
      <c r="I30" s="459">
        <v>126.16196681661214143064088489</v>
      </c>
      <c r="J30" s="457">
        <v>98.80885145770050283194081838</v>
      </c>
      <c r="K30" s="458"/>
      <c r="L30" s="459">
        <v>95.2833130947208089120483164</v>
      </c>
      <c r="M30" s="457">
        <v>99.30414422723424272272879368</v>
      </c>
      <c r="N30" s="458">
        <v>101.5716636299019094664758145</v>
      </c>
      <c r="O30" s="459">
        <v>131.13057655084255573463825721</v>
      </c>
      <c r="P30" s="5"/>
      <c r="Q30" s="430">
        <v>-10.259963006583606265101458230</v>
      </c>
      <c r="R30" s="431"/>
      <c r="S30" s="432">
        <v>3.3326322204306780622364993500</v>
      </c>
      <c r="T30" s="430">
        <v>10.750698676718974976648735360</v>
      </c>
      <c r="U30" s="431"/>
      <c r="V30" s="432">
        <v>4.7060804285927270543267721800</v>
      </c>
      <c r="W30" s="430">
        <v>6.553852966023386154296671600</v>
      </c>
      <c r="X30" s="431"/>
      <c r="Y30" s="432">
        <v>6.0533446091490233115974299800</v>
      </c>
      <c r="Z30" s="430">
        <v>-7.4342744576830550627189452400</v>
      </c>
      <c r="AA30" s="431">
        <v>-4.6345046894312112519128083800</v>
      </c>
      <c r="AB30" s="432">
        <v>3.3836290417930527580269244300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105.25292981763983006637398776</v>
      </c>
      <c r="E32" s="494"/>
      <c r="F32" s="495">
        <v>124.49038422681090606722751591</v>
      </c>
      <c r="G32" s="493">
        <v>127.31779820497405202733214928</v>
      </c>
      <c r="H32" s="494"/>
      <c r="I32" s="495">
        <v>128.82733454439218271379563082</v>
      </c>
      <c r="J32" s="493">
        <v>100.00511994585393589009892079</v>
      </c>
      <c r="K32" s="494"/>
      <c r="L32" s="495">
        <v>97.29927705567354008708587239</v>
      </c>
      <c r="M32" s="493">
        <v>105.85959610254500242763397667</v>
      </c>
      <c r="N32" s="494">
        <v>103.47384845192285038756926665</v>
      </c>
      <c r="O32" s="495">
        <v>124.92481521914337386507854861</v>
      </c>
      <c r="P32" s="93"/>
      <c r="Q32" s="479">
        <v>-7.0299759423037125045951452500</v>
      </c>
      <c r="R32" s="480"/>
      <c r="S32" s="481">
        <v>1.3204148565597108310775718800</v>
      </c>
      <c r="T32" s="479">
        <v>14.991545167953391764041852980</v>
      </c>
      <c r="U32" s="480"/>
      <c r="V32" s="481">
        <v>7.1063483274247143066884045700</v>
      </c>
      <c r="W32" s="479">
        <v>6.3895215978574572162802245500</v>
      </c>
      <c r="X32" s="480"/>
      <c r="Y32" s="481">
        <v>0.9594205951086827675082622600</v>
      </c>
      <c r="Z32" s="479">
        <v>-5.7988584840729749672995733400</v>
      </c>
      <c r="AA32" s="480">
        <v>-4.1064783373221902021209513400</v>
      </c>
      <c r="AB32" s="481">
        <v>2.0225179308175061725969627400</v>
      </c>
    </row>
    <row r="33" ht="18" customHeight="1">
      <c r="A33" s="58"/>
      <c r="B33" s="1046" t="s">
        <v>51</v>
      </c>
      <c r="C33" s="1046"/>
      <c r="D33" s="276">
        <v>106.35857482494152981265044917</v>
      </c>
      <c r="E33" s="94"/>
      <c r="F33" s="277">
        <v>123.59225256407710968098757268</v>
      </c>
      <c r="G33" s="276">
        <v>123.89245893402047011773244427</v>
      </c>
      <c r="H33" s="94"/>
      <c r="I33" s="277">
        <v>126.42406973837346107324136799</v>
      </c>
      <c r="J33" s="276">
        <v>99.56665707272247021977820094</v>
      </c>
      <c r="K33" s="94"/>
      <c r="L33" s="277">
        <v>97.07467910552599239416988298</v>
      </c>
      <c r="M33" s="276">
        <v>106.81261640728023211873217288</v>
      </c>
      <c r="N33" s="94">
        <v>102.53599321472118275601073929</v>
      </c>
      <c r="O33" s="277">
        <v>123.84013262090274988610553911</v>
      </c>
      <c r="P33" s="5"/>
      <c r="Q33" s="271">
        <v>-3.043895131622809835819565600</v>
      </c>
      <c r="R33" s="92"/>
      <c r="S33" s="272">
        <v>1.6309005741326435177710250200</v>
      </c>
      <c r="T33" s="271">
        <v>15.858498835782294347950587640</v>
      </c>
      <c r="U33" s="92"/>
      <c r="V33" s="272">
        <v>5.6616170836521398634194319600</v>
      </c>
      <c r="W33" s="271">
        <v>0.1338740377546283279007416900</v>
      </c>
      <c r="X33" s="92"/>
      <c r="Y33" s="272">
        <v>-5.4270165174794877158606157400</v>
      </c>
      <c r="Z33" s="271">
        <v>-1.9581737165834660938332835500</v>
      </c>
      <c r="AA33" s="92">
        <v>-5.9922879557200875018458930900</v>
      </c>
      <c r="AB33" s="272">
        <v>2.0974363999456219638251707300</v>
      </c>
    </row>
    <row r="34" ht="18" customHeight="1">
      <c r="A34" s="58"/>
      <c r="B34" s="1047" t="s">
        <v>76</v>
      </c>
      <c r="C34" s="1047"/>
      <c r="D34" s="443">
        <v>105.80909408081188542233775181</v>
      </c>
      <c r="E34" s="444"/>
      <c r="F34" s="445">
        <v>124.03743521970092142545876773</v>
      </c>
      <c r="G34" s="443">
        <v>125.64495809590369807148113056</v>
      </c>
      <c r="H34" s="444"/>
      <c r="I34" s="445">
        <v>127.69952491676387544821877867</v>
      </c>
      <c r="J34" s="443">
        <v>99.83747237671543431027041026</v>
      </c>
      <c r="K34" s="444"/>
      <c r="L34" s="445">
        <v>97.21425068883196846048196211</v>
      </c>
      <c r="M34" s="633">
        <v>106.3353345785525077754574892</v>
      </c>
      <c r="N34" s="634">
        <v>103.00502806579825732958002794</v>
      </c>
      <c r="O34" s="635">
        <v>124.38289283402420810351735469</v>
      </c>
      <c r="P34" s="93"/>
      <c r="Q34" s="273">
        <v>-4.9549353829753501830376188200</v>
      </c>
      <c r="R34" s="274"/>
      <c r="S34" s="275">
        <v>1.4900255658797729003890729200</v>
      </c>
      <c r="T34" s="273">
        <v>15.687027057412237216269081930</v>
      </c>
      <c r="U34" s="274"/>
      <c r="V34" s="275">
        <v>6.4513280706910182745988569600</v>
      </c>
      <c r="W34" s="273">
        <v>2.7828954269032946245305623500</v>
      </c>
      <c r="X34" s="274"/>
      <c r="Y34" s="275">
        <v>-2.7447538269807542854868482600</v>
      </c>
      <c r="Z34" s="273">
        <v>-3.7853897113762344885812880400</v>
      </c>
      <c r="AA34" s="274">
        <v>-5.0549141580711665311901751500</v>
      </c>
      <c r="AB34" s="275">
        <v>2.0758706161940040800128265400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100.30556966311156255290333503</v>
      </c>
      <c r="E36" s="483"/>
      <c r="F36" s="484">
        <v>129.62425753253608198409062988</v>
      </c>
      <c r="G36" s="482">
        <v>121.25192307692307692307692308</v>
      </c>
      <c r="H36" s="483"/>
      <c r="I36" s="484">
        <v>126.92515776854589003413365959</v>
      </c>
      <c r="J36" s="482">
        <v>99.0349344978165938864628821</v>
      </c>
      <c r="K36" s="483"/>
      <c r="L36" s="484">
        <v>93.84734073116131755688280018</v>
      </c>
      <c r="M36" s="482">
        <v>101.89845552884615384615384615</v>
      </c>
      <c r="N36" s="483">
        <v>102.02068705115865847338417117</v>
      </c>
      <c r="O36" s="484">
        <v>129.18759330689778630440509886</v>
      </c>
      <c r="P36" s="93"/>
      <c r="Q36" s="468">
        <v>-8.036545846198589364925147010</v>
      </c>
      <c r="R36" s="469"/>
      <c r="S36" s="470">
        <v>2.7813062016499522206458838900</v>
      </c>
      <c r="T36" s="468">
        <v>12.474268025158560153256372320</v>
      </c>
      <c r="U36" s="469"/>
      <c r="V36" s="470">
        <v>5.7338281396128181853397501300</v>
      </c>
      <c r="W36" s="468">
        <v>2.2596573559872912592679194100</v>
      </c>
      <c r="X36" s="469"/>
      <c r="Y36" s="470">
        <v>0.1953617670745302897236374900</v>
      </c>
      <c r="Z36" s="468">
        <v>-6.048783201277223786715798100</v>
      </c>
      <c r="AA36" s="469">
        <v>-4.8456162474789561730113265700</v>
      </c>
      <c r="AB36" s="470">
        <v>3.0635834735723184188742670500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21.950407330450306735640780099</v>
      </c>
      <c r="E39" s="455"/>
      <c r="F39" s="456">
        <v>57.356924404621953126819341486</v>
      </c>
      <c r="G39" s="454">
        <v>0.763661631913934680302999351</v>
      </c>
      <c r="H39" s="455"/>
      <c r="I39" s="456">
        <v>5.5845713324763778312455549719</v>
      </c>
      <c r="J39" s="454">
        <v>1.2220593324078214946120723857</v>
      </c>
      <c r="K39" s="455"/>
      <c r="L39" s="456">
        <v>0.2149856660599848730699879833</v>
      </c>
      <c r="M39" s="454">
        <v>23.954929746578497646955628625</v>
      </c>
      <c r="N39" s="455">
        <v>37.246748407703796427547954684</v>
      </c>
      <c r="O39" s="456">
        <v>63.15648140315831583113488438</v>
      </c>
      <c r="P39" s="5"/>
      <c r="Q39" s="427">
        <v>7.4332023112422605777626844700</v>
      </c>
      <c r="R39" s="428"/>
      <c r="S39" s="429">
        <v>14.344423760515916485923010960</v>
      </c>
      <c r="T39" s="427">
        <v>-81.25088854476125982913431032</v>
      </c>
      <c r="U39" s="428"/>
      <c r="V39" s="429">
        <v>34.792839665676436957574768830</v>
      </c>
      <c r="W39" s="427">
        <v>39.419082762056371719564640590</v>
      </c>
      <c r="X39" s="428"/>
      <c r="Y39" s="429">
        <v>40.270185488693475493052828660</v>
      </c>
      <c r="Z39" s="427">
        <v>-4.7002785562599244767561162700</v>
      </c>
      <c r="AA39" s="428">
        <v>38.547256658768176494004696060</v>
      </c>
      <c r="AB39" s="429">
        <v>15.973074784071744450791370480</v>
      </c>
    </row>
    <row r="40" ht="18" customHeight="1">
      <c r="A40" s="58"/>
      <c r="B40" s="1043" t="s">
        <v>46</v>
      </c>
      <c r="C40" s="1043"/>
      <c r="D40" s="439">
        <v>26.577537532749114699751327218</v>
      </c>
      <c r="E40" s="95"/>
      <c r="F40" s="440">
        <v>87.29213811669420501433001374</v>
      </c>
      <c r="G40" s="439">
        <v>4.5567787114385753434215020305</v>
      </c>
      <c r="H40" s="95"/>
      <c r="I40" s="440">
        <v>10.740503056062741198675794419</v>
      </c>
      <c r="J40" s="439">
        <v>1.5057022933928892302988163275</v>
      </c>
      <c r="K40" s="95"/>
      <c r="L40" s="440">
        <v>0.2573270514593406120160362594</v>
      </c>
      <c r="M40" s="439">
        <v>32.667604760144457383067209824</v>
      </c>
      <c r="N40" s="95">
        <v>48.287329345445424176894798124</v>
      </c>
      <c r="O40" s="440">
        <v>98.28996822421628682502184432</v>
      </c>
      <c r="P40" s="5"/>
      <c r="Q40" s="420">
        <v>6.0173762929761321269875475400</v>
      </c>
      <c r="R40" s="91"/>
      <c r="S40" s="421">
        <v>15.639186972275097260282355890</v>
      </c>
      <c r="T40" s="420">
        <v>-2.0113420542107942761362611300</v>
      </c>
      <c r="U40" s="91"/>
      <c r="V40" s="421">
        <v>29.194827728618253833158721810</v>
      </c>
      <c r="W40" s="420">
        <v>13.544682529563961107582038420</v>
      </c>
      <c r="X40" s="91"/>
      <c r="Y40" s="421">
        <v>12.39492063784898202841156600</v>
      </c>
      <c r="Z40" s="420">
        <v>2.9622264291745362975021840400</v>
      </c>
      <c r="AA40" s="91">
        <v>22.899116159744840114063859210</v>
      </c>
      <c r="AB40" s="421">
        <v>16.971475788865391428812447680</v>
      </c>
    </row>
    <row r="41" ht="18" customHeight="1">
      <c r="A41" s="58"/>
      <c r="B41" s="1043" t="s">
        <v>47</v>
      </c>
      <c r="C41" s="1043"/>
      <c r="D41" s="439">
        <v>32.741493057120373127914154373</v>
      </c>
      <c r="E41" s="95"/>
      <c r="F41" s="440">
        <v>103.07305548902225524347857474</v>
      </c>
      <c r="G41" s="439">
        <v>7.9094350162292015255579866879</v>
      </c>
      <c r="H41" s="95"/>
      <c r="I41" s="440">
        <v>13.626558827458396148694477798</v>
      </c>
      <c r="J41" s="439">
        <v>1.1404830301844566147676814208</v>
      </c>
      <c r="K41" s="95"/>
      <c r="L41" s="440">
        <v>0.1729092817004147095781350348</v>
      </c>
      <c r="M41" s="439">
        <v>41.814468433798050044111954764</v>
      </c>
      <c r="N41" s="95">
        <v>63.445744428257268274089865563</v>
      </c>
      <c r="O41" s="440">
        <v>116.87252359818106610175118747</v>
      </c>
      <c r="P41" s="93"/>
      <c r="Q41" s="420">
        <v>1.9764766745064627699924696400</v>
      </c>
      <c r="R41" s="91"/>
      <c r="S41" s="421">
        <v>13.355763188216738261067515520</v>
      </c>
      <c r="T41" s="420">
        <v>57.218966903983955824491549750</v>
      </c>
      <c r="U41" s="91"/>
      <c r="V41" s="421">
        <v>31.714806044215363306754490530</v>
      </c>
      <c r="W41" s="420">
        <v>9.278927936227413099117665260</v>
      </c>
      <c r="X41" s="91"/>
      <c r="Y41" s="421">
        <v>-0.7027712883903693239030148500</v>
      </c>
      <c r="Z41" s="420">
        <v>7.1601391103976568790637589700</v>
      </c>
      <c r="AA41" s="91">
        <v>23.441886819239947665633451850</v>
      </c>
      <c r="AB41" s="421">
        <v>15.203849241210334689586857160</v>
      </c>
    </row>
    <row r="42" ht="18" customHeight="1">
      <c r="A42" s="58"/>
      <c r="B42" s="1043" t="s">
        <v>48</v>
      </c>
      <c r="C42" s="1043"/>
      <c r="D42" s="439">
        <v>34.038947922307602427288943917</v>
      </c>
      <c r="E42" s="95"/>
      <c r="F42" s="440">
        <v>96.82643505796966223955837135</v>
      </c>
      <c r="G42" s="439">
        <v>6.1046167166768480202951186226</v>
      </c>
      <c r="H42" s="95"/>
      <c r="I42" s="440">
        <v>12.354354340682734251417942672</v>
      </c>
      <c r="J42" s="439">
        <v>1.5910765686366698119290158282</v>
      </c>
      <c r="K42" s="95"/>
      <c r="L42" s="440">
        <v>0.2644065252944206728941762388</v>
      </c>
      <c r="M42" s="439">
        <v>41.762928687894014351021686704</v>
      </c>
      <c r="N42" s="95">
        <v>61.851734814161446874574495939</v>
      </c>
      <c r="O42" s="440">
        <v>109.44519592394681716387049016</v>
      </c>
      <c r="P42" s="5"/>
      <c r="Q42" s="420">
        <v>12.290018475108774264514276410</v>
      </c>
      <c r="R42" s="91"/>
      <c r="S42" s="421">
        <v>12.088697625429713854446035110</v>
      </c>
      <c r="T42" s="420">
        <v>3.7080807887397734961751805700</v>
      </c>
      <c r="U42" s="91"/>
      <c r="V42" s="421">
        <v>51.820662232977535125939568210</v>
      </c>
      <c r="W42" s="420">
        <v>15.379124573615612746222369880</v>
      </c>
      <c r="X42" s="91"/>
      <c r="Y42" s="421">
        <v>21.878343696992533684226486780</v>
      </c>
      <c r="Z42" s="420">
        <v>9.239495644559166402436119830</v>
      </c>
      <c r="AA42" s="91">
        <v>31.660446350528648753540895600</v>
      </c>
      <c r="AB42" s="421">
        <v>15.5238630781777378000808200</v>
      </c>
    </row>
    <row r="43" ht="18" customHeight="1">
      <c r="A43" s="58"/>
      <c r="B43" s="1043" t="s">
        <v>49</v>
      </c>
      <c r="C43" s="1043"/>
      <c r="D43" s="439">
        <v>27.638535049844532818117967968</v>
      </c>
      <c r="E43" s="95"/>
      <c r="F43" s="440">
        <v>77.222211557833130349040005613</v>
      </c>
      <c r="G43" s="439">
        <v>2.6881992724670679637812860337</v>
      </c>
      <c r="H43" s="95"/>
      <c r="I43" s="440">
        <v>11.760766091852146246795080281</v>
      </c>
      <c r="J43" s="439">
        <v>0.9594459934866995956578422048</v>
      </c>
      <c r="K43" s="95"/>
      <c r="L43" s="440">
        <v>0.1674399078772879197064324107</v>
      </c>
      <c r="M43" s="439">
        <v>31.307385894255166123809782515</v>
      </c>
      <c r="N43" s="95">
        <v>59.67567286999455949601375863</v>
      </c>
      <c r="O43" s="440">
        <v>89.15041755756256451554151822</v>
      </c>
      <c r="P43" s="93"/>
      <c r="Q43" s="420">
        <v>0.9053856237840431453090214200</v>
      </c>
      <c r="R43" s="91"/>
      <c r="S43" s="421">
        <v>11.056832564949411074337318870</v>
      </c>
      <c r="T43" s="420">
        <v>-59.374729436114946582581272650</v>
      </c>
      <c r="U43" s="91"/>
      <c r="V43" s="421">
        <v>46.679579841558016922709161110</v>
      </c>
      <c r="W43" s="420">
        <v>-25.817034104085645399369645350</v>
      </c>
      <c r="X43" s="91"/>
      <c r="Y43" s="421">
        <v>-27.100356288154068611427659480</v>
      </c>
      <c r="Z43" s="420">
        <v>-13.220176371786317777734136630</v>
      </c>
      <c r="AA43" s="91">
        <v>35.214186624039710014877562650</v>
      </c>
      <c r="AB43" s="421">
        <v>14.616271069158462641261823590</v>
      </c>
    </row>
    <row r="44" ht="18" customHeight="1">
      <c r="A44" s="58"/>
      <c r="B44" s="1044" t="s">
        <v>75</v>
      </c>
      <c r="C44" s="1044"/>
      <c r="D44" s="457">
        <v>28.418479446885861689428787626</v>
      </c>
      <c r="E44" s="458"/>
      <c r="F44" s="459">
        <v>83.9451040082493580421024444</v>
      </c>
      <c r="G44" s="457">
        <v>4.2921453205909992970595540436</v>
      </c>
      <c r="H44" s="458"/>
      <c r="I44" s="459">
        <v>10.734126799445416994394251614</v>
      </c>
      <c r="J44" s="457">
        <v>1.285153883242101960301027637</v>
      </c>
      <c r="K44" s="458"/>
      <c r="L44" s="459">
        <v>0.2154072013204366531441207731</v>
      </c>
      <c r="M44" s="457">
        <v>34.019961001225876374805173668</v>
      </c>
      <c r="N44" s="458">
        <v>53.846071767576003555547262165</v>
      </c>
      <c r="O44" s="459">
        <v>94.89463800901521168964081673</v>
      </c>
      <c r="P44" s="5"/>
      <c r="Q44" s="430">
        <v>4.8218292267718106121742693100</v>
      </c>
      <c r="R44" s="431"/>
      <c r="S44" s="432">
        <v>12.679588862497400799106773070</v>
      </c>
      <c r="T44" s="430">
        <v>-18.388889009098962026164414580</v>
      </c>
      <c r="U44" s="431"/>
      <c r="V44" s="432">
        <v>37.767284484132887881380109750</v>
      </c>
      <c r="W44" s="430">
        <v>8.429313654708931710490757400</v>
      </c>
      <c r="X44" s="431"/>
      <c r="Y44" s="432">
        <v>7.3840328657560058385811543800</v>
      </c>
      <c r="Z44" s="430">
        <v>-0.0542456572948532168906395300</v>
      </c>
      <c r="AA44" s="431">
        <v>29.013626122150307055127088450</v>
      </c>
      <c r="AB44" s="432">
        <v>15.036309478053092564274173490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49.575784500084665252525856406</v>
      </c>
      <c r="E46" s="494"/>
      <c r="F46" s="495">
        <v>80.40953999509520062217747983</v>
      </c>
      <c r="G46" s="493">
        <v>2.2924605665558503427154887054</v>
      </c>
      <c r="H46" s="494"/>
      <c r="I46" s="495">
        <v>12.462522194020565939834477048</v>
      </c>
      <c r="J46" s="493">
        <v>1.7188247691989119452789840771</v>
      </c>
      <c r="K46" s="494"/>
      <c r="L46" s="495">
        <v>0.2953091611318192216143893566</v>
      </c>
      <c r="M46" s="493">
        <v>53.623390818529143326364958698</v>
      </c>
      <c r="N46" s="494">
        <v>66.695345288639927438141463652</v>
      </c>
      <c r="O46" s="495">
        <v>93.16737135024758578362634614</v>
      </c>
      <c r="P46" s="93"/>
      <c r="Q46" s="479">
        <v>32.450664415561762690200438820</v>
      </c>
      <c r="R46" s="480"/>
      <c r="S46" s="481">
        <v>12.595131208732174023752762270</v>
      </c>
      <c r="T46" s="479">
        <v>-69.544394714026655878231529090</v>
      </c>
      <c r="U46" s="480"/>
      <c r="V46" s="481">
        <v>15.521549557790270854731187960</v>
      </c>
      <c r="W46" s="479">
        <v>105.39193968369884938322181989</v>
      </c>
      <c r="X46" s="480"/>
      <c r="Y46" s="481">
        <v>95.18821314487259426432657933</v>
      </c>
      <c r="Z46" s="479">
        <v>14.579528700278821079075759930</v>
      </c>
      <c r="AA46" s="480">
        <v>14.851660392184006416177618950</v>
      </c>
      <c r="AB46" s="481">
        <v>13.130213617141143769378958940</v>
      </c>
    </row>
    <row r="47" ht="18" customHeight="1">
      <c r="A47" s="58"/>
      <c r="B47" s="1046" t="s">
        <v>51</v>
      </c>
      <c r="C47" s="1046"/>
      <c r="D47" s="276">
        <v>50.705901990526480748460410181</v>
      </c>
      <c r="E47" s="94"/>
      <c r="F47" s="277">
        <v>81.22207757900173006001897423</v>
      </c>
      <c r="G47" s="276">
        <v>2.1293852479558170717043168407</v>
      </c>
      <c r="H47" s="94"/>
      <c r="I47" s="277">
        <v>10.814296842787082733353840383</v>
      </c>
      <c r="J47" s="276">
        <v>1.0593692240684212816542878611</v>
      </c>
      <c r="K47" s="94"/>
      <c r="L47" s="277">
        <v>0.1794857140273112714770976383</v>
      </c>
      <c r="M47" s="276">
        <v>53.931185925543213023094500066</v>
      </c>
      <c r="N47" s="94">
        <v>66.06061926536413365889757621</v>
      </c>
      <c r="O47" s="277">
        <v>92.21586013581612406484991217</v>
      </c>
      <c r="P47" s="5"/>
      <c r="Q47" s="271">
        <v>30.344331813073514292531805360</v>
      </c>
      <c r="R47" s="92"/>
      <c r="S47" s="272">
        <v>15.358020349577892410040385600</v>
      </c>
      <c r="T47" s="271">
        <v>-74.916832947884768119986829380</v>
      </c>
      <c r="U47" s="92"/>
      <c r="V47" s="272">
        <v>5.526358409070847492736202100</v>
      </c>
      <c r="W47" s="271">
        <v>-5.1637973657954640717739637700</v>
      </c>
      <c r="X47" s="92"/>
      <c r="Y47" s="272">
        <v>-10.034418254446677249129825090</v>
      </c>
      <c r="Z47" s="271">
        <v>8.414640685412098463243799470</v>
      </c>
      <c r="AA47" s="92">
        <v>20.933670424583159117256174430</v>
      </c>
      <c r="AB47" s="272">
        <v>14.049271886275251728590884680</v>
      </c>
    </row>
    <row r="48" ht="18" customHeight="1">
      <c r="A48" s="58"/>
      <c r="B48" s="1047" t="s">
        <v>76</v>
      </c>
      <c r="C48" s="1047"/>
      <c r="D48" s="443">
        <v>50.140843245305573000493133293</v>
      </c>
      <c r="E48" s="444"/>
      <c r="F48" s="445">
        <v>80.81580878704846534109822703</v>
      </c>
      <c r="G48" s="443">
        <v>2.2109229072558337072099027732</v>
      </c>
      <c r="H48" s="444"/>
      <c r="I48" s="445">
        <v>11.638409518403824336594158716</v>
      </c>
      <c r="J48" s="443">
        <v>1.3890969966336666134666359691</v>
      </c>
      <c r="K48" s="444"/>
      <c r="L48" s="445">
        <v>0.2373974375795652465457434974</v>
      </c>
      <c r="M48" s="443">
        <v>53.777288372036178174729729386</v>
      </c>
      <c r="N48" s="444">
        <v>66.377982277002030548519519923</v>
      </c>
      <c r="O48" s="445">
        <v>92.69161574303185492423812915</v>
      </c>
      <c r="P48" s="93"/>
      <c r="Q48" s="273">
        <v>31.279072716738919585930423550</v>
      </c>
      <c r="R48" s="274"/>
      <c r="S48" s="275">
        <v>13.996726719573553676140290160</v>
      </c>
      <c r="T48" s="273">
        <v>-72.456097576323236877677175210</v>
      </c>
      <c r="U48" s="274"/>
      <c r="V48" s="275">
        <v>10.757586161401954480622692320</v>
      </c>
      <c r="W48" s="273">
        <v>41.400964798760658557498733540</v>
      </c>
      <c r="X48" s="274"/>
      <c r="Y48" s="275">
        <v>34.661110055676864580209953810</v>
      </c>
      <c r="Z48" s="273">
        <v>11.277329769065506475841426360</v>
      </c>
      <c r="AA48" s="274">
        <v>17.933231257813245308011496510</v>
      </c>
      <c r="AB48" s="275">
        <v>13.624148975877494758490963950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34.625116877045348293595137915</v>
      </c>
      <c r="E50" s="483"/>
      <c r="F50" s="484">
        <v>83.02561427478114889856401899</v>
      </c>
      <c r="G50" s="482">
        <v>3.6846072931276297335203366059</v>
      </c>
      <c r="H50" s="483"/>
      <c r="I50" s="484">
        <v>11.025604523065101705157636184</v>
      </c>
      <c r="J50" s="482">
        <v>1.3253272557269752220663861618</v>
      </c>
      <c r="K50" s="483"/>
      <c r="L50" s="484">
        <v>0.220825962086708087001010707</v>
      </c>
      <c r="M50" s="482">
        <v>39.635116877045348293595137915</v>
      </c>
      <c r="N50" s="483">
        <v>57.387698650674662668665667166</v>
      </c>
      <c r="O50" s="484">
        <v>94.27204475993295869072266588</v>
      </c>
      <c r="P50" s="93"/>
      <c r="Q50" s="468">
        <v>11.660457078478105215467186910</v>
      </c>
      <c r="R50" s="469"/>
      <c r="S50" s="470">
        <v>13.135222820044512424836413190</v>
      </c>
      <c r="T50" s="468">
        <v>-39.392104276468635753540925280</v>
      </c>
      <c r="U50" s="469"/>
      <c r="V50" s="470">
        <v>27.568026376100533526631391540</v>
      </c>
      <c r="W50" s="468">
        <v>15.928027396058089780077252320</v>
      </c>
      <c r="X50" s="469"/>
      <c r="Y50" s="470">
        <v>13.945592903854133278026290290</v>
      </c>
      <c r="Z50" s="468">
        <v>3.6703081915240987877239274800</v>
      </c>
      <c r="AA50" s="469">
        <v>24.739191667326638356319576530</v>
      </c>
      <c r="AB50" s="470">
        <v>14.654247845786517176256167270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157</v>
      </c>
      <c r="Y1" s="5"/>
      <c r="AB1" s="685"/>
      <c r="AD1" s="236"/>
    </row>
    <row r="2" ht="15" customHeight="1">
      <c r="A2" s="11"/>
      <c r="B2" s="11" t="s">
        <v>170</v>
      </c>
    </row>
    <row r="3" ht="17.1" customHeight="1">
      <c r="A3" s="11"/>
      <c r="B3" s="11" t="s">
        <v>171</v>
      </c>
      <c r="R3" s="1040" t="s">
        <v>247</v>
      </c>
      <c r="S3" s="1040"/>
      <c r="T3" s="1040"/>
      <c r="U3" s="1040"/>
      <c r="V3" s="1040"/>
      <c r="W3" s="1040"/>
      <c r="X3" s="1040"/>
      <c r="Y3" s="1040"/>
      <c r="Z3" s="1040"/>
      <c r="AA3" s="1040"/>
      <c r="AB3" s="1040"/>
    </row>
    <row r="4" ht="19.5" customHeight="1">
      <c r="A4" s="4"/>
      <c r="B4" s="211" t="s">
        <v>172</v>
      </c>
      <c r="C4" s="5"/>
      <c r="D4" s="5"/>
      <c r="E4" s="5"/>
      <c r="F4" s="5"/>
      <c r="G4" s="5"/>
      <c r="H4" s="212"/>
      <c r="I4" s="212"/>
      <c r="J4" s="212"/>
      <c r="K4" s="212"/>
      <c r="L4" s="212"/>
      <c r="M4" s="212"/>
      <c r="N4" s="212"/>
      <c r="O4" s="212"/>
      <c r="P4" s="212"/>
      <c r="Q4" s="212"/>
      <c r="R4" s="212"/>
      <c r="S4" s="212"/>
      <c r="T4" s="212"/>
      <c r="U4" s="4"/>
      <c r="V4" s="4"/>
    </row>
    <row r="5" ht="12.75" customHeight="1"/>
    <row r="6" ht="15.75">
      <c r="D6" s="978" t="s">
        <v>45</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20.090745320465767853629282640</v>
      </c>
      <c r="E11" s="428"/>
      <c r="F11" s="429">
        <v>42.699477246580147212389675370</v>
      </c>
      <c r="G11" s="427">
        <v>1.7528150254079828076380649700</v>
      </c>
      <c r="H11" s="428"/>
      <c r="I11" s="429">
        <v>3.7285079942991219841641625200</v>
      </c>
      <c r="J11" s="427">
        <v>1.0660395476165509473354313200</v>
      </c>
      <c r="K11" s="428"/>
      <c r="L11" s="429">
        <v>0.1903700033887776174067258700</v>
      </c>
      <c r="M11" s="427">
        <v>22.926279093612221880447041940</v>
      </c>
      <c r="N11" s="428">
        <v>32.104388057543555266391961250</v>
      </c>
      <c r="O11" s="429">
        <v>46.622131513051830000343017870</v>
      </c>
      <c r="P11" s="5"/>
      <c r="Q11" s="427">
        <v>-1.3870176625297651313600501900</v>
      </c>
      <c r="R11" s="428"/>
      <c r="S11" s="429">
        <v>9.284383304392820338024273480</v>
      </c>
      <c r="T11" s="427">
        <v>-64.852309428457031858893804610</v>
      </c>
      <c r="U11" s="428"/>
      <c r="V11" s="429">
        <v>-8.502844222384908619450435530</v>
      </c>
      <c r="W11" s="427">
        <v>0.2551903658305161057488066300</v>
      </c>
      <c r="X11" s="428"/>
      <c r="Y11" s="429">
        <v>-74.114237992202505434557922250</v>
      </c>
      <c r="Z11" s="427">
        <v>-13.110120927427351597669783550</v>
      </c>
      <c r="AA11" s="428">
        <v>24.857059832391287206920357430</v>
      </c>
      <c r="AB11" s="429">
        <v>6.2479169252178438489044509400</v>
      </c>
    </row>
    <row r="12" ht="18" customHeight="1">
      <c r="A12" s="58"/>
      <c r="B12" s="1043" t="s">
        <v>46</v>
      </c>
      <c r="C12" s="1043"/>
      <c r="D12" s="420">
        <v>24.870361394716341351899201170</v>
      </c>
      <c r="E12" s="91"/>
      <c r="F12" s="421">
        <v>59.981639302242509749484804830</v>
      </c>
      <c r="G12" s="420">
        <v>2.4890847689110671122370287800</v>
      </c>
      <c r="H12" s="91"/>
      <c r="I12" s="421">
        <v>6.4959350571113491068585948200</v>
      </c>
      <c r="J12" s="420">
        <v>1.3418522828285999658561760100</v>
      </c>
      <c r="K12" s="91"/>
      <c r="L12" s="421">
        <v>0.2342452361821638267812302800</v>
      </c>
      <c r="M12" s="420">
        <v>28.709016393442622950819672130</v>
      </c>
      <c r="N12" s="91">
        <v>42.731358679634541703507220750</v>
      </c>
      <c r="O12" s="421">
        <v>66.717071507862281154125184650</v>
      </c>
      <c r="P12" s="5"/>
      <c r="Q12" s="420">
        <v>-9.409864272972285610563310220</v>
      </c>
      <c r="R12" s="91"/>
      <c r="S12" s="421">
        <v>6.4208904135441614599068038900</v>
      </c>
      <c r="T12" s="420">
        <v>-57.006323747666560083894272640</v>
      </c>
      <c r="U12" s="91"/>
      <c r="V12" s="421">
        <v>14.478078809574284348751657420</v>
      </c>
      <c r="W12" s="420">
        <v>7.5291479283561772015289880500</v>
      </c>
      <c r="X12" s="91"/>
      <c r="Y12" s="421">
        <v>-68.996162132407103142683808600</v>
      </c>
      <c r="Z12" s="420">
        <v>-17.653141590336608992071412660</v>
      </c>
      <c r="AA12" s="91">
        <v>22.752901334336942540148404650</v>
      </c>
      <c r="AB12" s="421">
        <v>6.2470919990122305699140595900</v>
      </c>
    </row>
    <row r="13" ht="18" customHeight="1">
      <c r="A13" s="58"/>
      <c r="B13" s="1043" t="s">
        <v>47</v>
      </c>
      <c r="C13" s="1043"/>
      <c r="D13" s="420">
        <v>33.003980234071582070680021690</v>
      </c>
      <c r="E13" s="91"/>
      <c r="F13" s="421">
        <v>67.486227353959146379125264350</v>
      </c>
      <c r="G13" s="420">
        <v>3.2331736213784964007164715700</v>
      </c>
      <c r="H13" s="91"/>
      <c r="I13" s="421">
        <v>7.8192458316628268447197240700</v>
      </c>
      <c r="J13" s="420">
        <v>1.2591237205368401824572397500</v>
      </c>
      <c r="K13" s="91"/>
      <c r="L13" s="421">
        <v>0.208897803908720726122067300</v>
      </c>
      <c r="M13" s="420">
        <v>37.513340448239060832443970120</v>
      </c>
      <c r="N13" s="91">
        <v>51.234158561744768641320365460</v>
      </c>
      <c r="O13" s="421">
        <v>75.513736047619463843995559710</v>
      </c>
      <c r="P13" s="184"/>
      <c r="Q13" s="420">
        <v>-3.9124871241437738813396510500</v>
      </c>
      <c r="R13" s="91"/>
      <c r="S13" s="421">
        <v>4.7001181229567832846761979300</v>
      </c>
      <c r="T13" s="420">
        <v>-56.461472998084162859756795650</v>
      </c>
      <c r="U13" s="91"/>
      <c r="V13" s="421">
        <v>8.529748490089065735327250860</v>
      </c>
      <c r="W13" s="420">
        <v>2.581367740633800785147913900</v>
      </c>
      <c r="X13" s="91"/>
      <c r="Y13" s="421">
        <v>-71.895660646360593716382741640</v>
      </c>
      <c r="Z13" s="420">
        <v>-13.694331870679422697651552650</v>
      </c>
      <c r="AA13" s="91">
        <v>17.702914170433684501026111220</v>
      </c>
      <c r="AB13" s="421">
        <v>4.2903408064789165949235348700</v>
      </c>
    </row>
    <row r="14" ht="18" customHeight="1">
      <c r="A14" s="58"/>
      <c r="B14" s="1043" t="s">
        <v>48</v>
      </c>
      <c r="C14" s="1043"/>
      <c r="D14" s="420">
        <v>34.471756942363910553512309750</v>
      </c>
      <c r="E14" s="91"/>
      <c r="F14" s="421">
        <v>66.732382623997803543652952360</v>
      </c>
      <c r="G14" s="420">
        <v>4.2358927751253481281168056900</v>
      </c>
      <c r="H14" s="91"/>
      <c r="I14" s="421">
        <v>7.8751253154853331388199954500</v>
      </c>
      <c r="J14" s="420">
        <v>1.4871778508309333621717598700</v>
      </c>
      <c r="K14" s="91"/>
      <c r="L14" s="421">
        <v>0.2559808872240073895800153800</v>
      </c>
      <c r="M14" s="420">
        <v>40.213377102995486253590480100</v>
      </c>
      <c r="N14" s="91">
        <v>52.685676392572944297082228120</v>
      </c>
      <c r="O14" s="421">
        <v>74.868730287701272944897299470</v>
      </c>
      <c r="P14" s="5"/>
      <c r="Q14" s="420">
        <v>-0.7390890465084692327435899500</v>
      </c>
      <c r="R14" s="91"/>
      <c r="S14" s="421">
        <v>3.970668722387746927932813800</v>
      </c>
      <c r="T14" s="420">
        <v>-49.667674234203873915241168690</v>
      </c>
      <c r="U14" s="91"/>
      <c r="V14" s="421">
        <v>9.731539460204933512571778680</v>
      </c>
      <c r="W14" s="420">
        <v>19.688666906532328218921866460</v>
      </c>
      <c r="X14" s="91"/>
      <c r="Y14" s="421">
        <v>-65.109755621651221954980047560</v>
      </c>
      <c r="Z14" s="420">
        <v>-9.799679188253311844378139930</v>
      </c>
      <c r="AA14" s="91">
        <v>18.052195936185146047031626440</v>
      </c>
      <c r="AB14" s="421">
        <v>3.852312814983289253531937400</v>
      </c>
    </row>
    <row r="15" ht="18" customHeight="1">
      <c r="A15" s="58"/>
      <c r="B15" s="1043" t="s">
        <v>49</v>
      </c>
      <c r="C15" s="1043"/>
      <c r="D15" s="420">
        <v>30.769196913743448872519169670</v>
      </c>
      <c r="E15" s="91"/>
      <c r="F15" s="421">
        <v>59.301074000354776732159399960</v>
      </c>
      <c r="G15" s="420">
        <v>3.5076884481667531714671853400</v>
      </c>
      <c r="H15" s="91"/>
      <c r="I15" s="421">
        <v>7.0678681830792484017144179300</v>
      </c>
      <c r="J15" s="420">
        <v>1.0564090940385250779564914900</v>
      </c>
      <c r="K15" s="91"/>
      <c r="L15" s="421">
        <v>0.1834675300922919857058130700</v>
      </c>
      <c r="M15" s="420">
        <v>35.371358227328682806729585560</v>
      </c>
      <c r="N15" s="91">
        <v>52.250957854406130268199233720</v>
      </c>
      <c r="O15" s="421">
        <v>66.560078281305969823255488870</v>
      </c>
      <c r="P15" s="184"/>
      <c r="Q15" s="420">
        <v>-2.2062374221620611199937802100</v>
      </c>
      <c r="R15" s="91"/>
      <c r="S15" s="421">
        <v>5.8777401291001831327507795400</v>
      </c>
      <c r="T15" s="420">
        <v>-49.195923021331226926044714270</v>
      </c>
      <c r="U15" s="91"/>
      <c r="V15" s="421">
        <v>5.4457907788499130011075769800</v>
      </c>
      <c r="W15" s="420">
        <v>-19.313015076893635384343305630</v>
      </c>
      <c r="X15" s="91"/>
      <c r="Y15" s="421">
        <v>-74.647354645784557939787043050</v>
      </c>
      <c r="Z15" s="420">
        <v>-11.804130761927343926446275200</v>
      </c>
      <c r="AA15" s="91">
        <v>20.996098073644021484985785180</v>
      </c>
      <c r="AB15" s="421">
        <v>4.9199391153869496812210250800</v>
      </c>
    </row>
    <row r="16" ht="18" customHeight="1">
      <c r="A16" s="58"/>
      <c r="B16" s="1044" t="s">
        <v>75</v>
      </c>
      <c r="C16" s="1044"/>
      <c r="D16" s="430">
        <v>28.605096378367314013689734880</v>
      </c>
      <c r="E16" s="431"/>
      <c r="F16" s="432">
        <v>59.177338679641021352531975140</v>
      </c>
      <c r="G16" s="430">
        <v>3.0419521650741718124657773300</v>
      </c>
      <c r="H16" s="431"/>
      <c r="I16" s="432">
        <v>6.5864801031240102320347307100</v>
      </c>
      <c r="J16" s="430">
        <v>1.2419926978325932468015843600</v>
      </c>
      <c r="K16" s="431"/>
      <c r="L16" s="432">
        <v>0.214500224347046804278794300</v>
      </c>
      <c r="M16" s="430">
        <v>32.908906757064015378573347940</v>
      </c>
      <c r="N16" s="431">
        <v>46.147296722009365687526607070</v>
      </c>
      <c r="O16" s="432">
        <v>65.982581867312969230983522070</v>
      </c>
      <c r="P16" s="5"/>
      <c r="Q16" s="430">
        <v>-3.7646067209999742431598682800</v>
      </c>
      <c r="R16" s="431"/>
      <c r="S16" s="432">
        <v>5.6420870567729334678126035900</v>
      </c>
      <c r="T16" s="430">
        <v>-54.670052095564263108377941780</v>
      </c>
      <c r="U16" s="431"/>
      <c r="V16" s="432">
        <v>6.807892535884687671205941600</v>
      </c>
      <c r="W16" s="430">
        <v>1.8707720772804067412476182200</v>
      </c>
      <c r="X16" s="431"/>
      <c r="Y16" s="432">
        <v>-70.947528802317336521517447030</v>
      </c>
      <c r="Z16" s="629">
        <v>-13.124366462558506776627485970</v>
      </c>
      <c r="AA16" s="214">
        <v>20.261628854987479822106688140</v>
      </c>
      <c r="AB16" s="630">
        <v>4.8633863838531008347957382200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43.487131638090741073160426460</v>
      </c>
      <c r="E18" s="480"/>
      <c r="F18" s="481">
        <v>59.584620732721205136311086590</v>
      </c>
      <c r="G18" s="479">
        <v>6.184608579662433223376353100</v>
      </c>
      <c r="H18" s="480"/>
      <c r="I18" s="481">
        <v>8.939703210346522446233771960</v>
      </c>
      <c r="J18" s="479">
        <v>1.3846138611184551992633626300</v>
      </c>
      <c r="K18" s="480"/>
      <c r="L18" s="481">
        <v>0.2359683123270662880519228100</v>
      </c>
      <c r="M18" s="479">
        <v>51.066885514977431267952400490</v>
      </c>
      <c r="N18" s="480">
        <v>59.965369879162982611258473330</v>
      </c>
      <c r="O18" s="481">
        <v>68.761307125564810040290511190</v>
      </c>
      <c r="P18" s="184"/>
      <c r="Q18" s="479">
        <v>4.6805860913398739449235212300</v>
      </c>
      <c r="R18" s="480"/>
      <c r="S18" s="481">
        <v>7.0325441702280303371703113700</v>
      </c>
      <c r="T18" s="479">
        <v>-21.409927200745136119463266200</v>
      </c>
      <c r="U18" s="480"/>
      <c r="V18" s="481">
        <v>-3.5792067333073444110581545500</v>
      </c>
      <c r="W18" s="479">
        <v>30.301057057915387141911964300</v>
      </c>
      <c r="X18" s="480"/>
      <c r="Y18" s="481">
        <v>-65.832708189860903566093101500</v>
      </c>
      <c r="Z18" s="479">
        <v>-0.0164136232989254259983147400</v>
      </c>
      <c r="AA18" s="480">
        <v>12.334312046600731784958617810</v>
      </c>
      <c r="AB18" s="481">
        <v>4.7683915225297688624826501800</v>
      </c>
    </row>
    <row r="19" ht="18" customHeight="1">
      <c r="A19" s="58"/>
      <c r="B19" s="1046" t="s">
        <v>51</v>
      </c>
      <c r="C19" s="1046"/>
      <c r="D19" s="271">
        <v>45.107642675547896047113102730</v>
      </c>
      <c r="E19" s="92"/>
      <c r="F19" s="272">
        <v>60.580004053225211767828299920</v>
      </c>
      <c r="G19" s="271">
        <v>4.0820467905566308837542098400</v>
      </c>
      <c r="H19" s="92"/>
      <c r="I19" s="272">
        <v>7.5692224625101311462529977300</v>
      </c>
      <c r="J19" s="271">
        <v>1.1384602858085076082832092800</v>
      </c>
      <c r="K19" s="92"/>
      <c r="L19" s="272">
        <v>0.1958085034764140636055747200</v>
      </c>
      <c r="M19" s="271">
        <v>50.359048009848173984407057860</v>
      </c>
      <c r="N19" s="92">
        <v>57.979664014146772767462422630</v>
      </c>
      <c r="O19" s="272">
        <v>68.346241935765861845901008790</v>
      </c>
      <c r="P19" s="5"/>
      <c r="Q19" s="271">
        <v>5.9227740277135850432086457300</v>
      </c>
      <c r="R19" s="92"/>
      <c r="S19" s="272">
        <v>7.0228026582346038519667237700</v>
      </c>
      <c r="T19" s="271">
        <v>-43.235550676759195536216429720</v>
      </c>
      <c r="U19" s="92"/>
      <c r="V19" s="272">
        <v>-10.347007883255438364891891060</v>
      </c>
      <c r="W19" s="271">
        <v>-3.0849655281067840916387392700</v>
      </c>
      <c r="X19" s="92"/>
      <c r="Y19" s="272">
        <v>-72.132346807433907934234203470</v>
      </c>
      <c r="Z19" s="271">
        <v>-2.7542614533080593887743991600</v>
      </c>
      <c r="AA19" s="92">
        <v>15.448899466540001683806474210</v>
      </c>
      <c r="AB19" s="272">
        <v>3.9471073365258291466206210500</v>
      </c>
    </row>
    <row r="20" ht="18" customHeight="1">
      <c r="A20" s="58"/>
      <c r="B20" s="1047" t="s">
        <v>76</v>
      </c>
      <c r="C20" s="1047"/>
      <c r="D20" s="273">
        <v>44.297387156819318560136764570</v>
      </c>
      <c r="E20" s="274"/>
      <c r="F20" s="275">
        <v>60.082258756871065658569359830</v>
      </c>
      <c r="G20" s="273">
        <v>5.1333276851095320535652814700</v>
      </c>
      <c r="H20" s="274"/>
      <c r="I20" s="275">
        <v>8.254536684607075124811303960</v>
      </c>
      <c r="J20" s="273">
        <v>1.2615370734634814037732859600</v>
      </c>
      <c r="K20" s="274"/>
      <c r="L20" s="275">
        <v>0.2158905719078724646154587100</v>
      </c>
      <c r="M20" s="273">
        <v>50.712966762412802626179729180</v>
      </c>
      <c r="N20" s="274">
        <v>58.972516946654877689360447980</v>
      </c>
      <c r="O20" s="275">
        <v>68.553797205578354376718106050</v>
      </c>
      <c r="P20" s="184"/>
      <c r="Q20" s="273">
        <v>5.3216323841889070380339150400</v>
      </c>
      <c r="R20" s="274"/>
      <c r="S20" s="275">
        <v>7.0275373009177547915135725600</v>
      </c>
      <c r="T20" s="273">
        <v>-31.860092111640355357855381480</v>
      </c>
      <c r="U20" s="274"/>
      <c r="V20" s="275">
        <v>-6.8039604867818749536846113400</v>
      </c>
      <c r="W20" s="273">
        <v>12.824910025501238370806476630</v>
      </c>
      <c r="X20" s="274"/>
      <c r="Y20" s="275">
        <v>-69.009370477296265294597938190</v>
      </c>
      <c r="Z20" s="273">
        <v>-1.3947877033975745418702742400</v>
      </c>
      <c r="AA20" s="274">
        <v>13.844104703043108767849376230</v>
      </c>
      <c r="AB20" s="275">
        <v>4.3574112233656577970800918500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33.162468699366622477537192520</v>
      </c>
      <c r="E22" s="469"/>
      <c r="F22" s="470">
        <v>59.384900955983798392611371580</v>
      </c>
      <c r="G22" s="468">
        <v>3.6014140521431727794962439200</v>
      </c>
      <c r="H22" s="469"/>
      <c r="I22" s="470">
        <v>7.1135588891610832956543657900</v>
      </c>
      <c r="J22" s="468">
        <v>1.2505523641184268669907202800</v>
      </c>
      <c r="K22" s="469"/>
      <c r="L22" s="470">
        <v>0.2134022825528391158399527800</v>
      </c>
      <c r="M22" s="468">
        <v>38.014435115628222124024156720</v>
      </c>
      <c r="N22" s="469">
        <v>49.810003673962105705138298430</v>
      </c>
      <c r="O22" s="470">
        <v>66.711862127697720804105690150</v>
      </c>
      <c r="P22" s="184"/>
      <c r="Q22" s="468">
        <v>-1.2955483045032496987107678100</v>
      </c>
      <c r="R22" s="469"/>
      <c r="S22" s="470">
        <v>6.1372977130694252496324380900</v>
      </c>
      <c r="T22" s="468">
        <v>-48.730685274924991280507620940</v>
      </c>
      <c r="U22" s="469"/>
      <c r="V22" s="470">
        <v>0.8257075987445214772518451500</v>
      </c>
      <c r="W22" s="468">
        <v>5.754786014801955884361159600</v>
      </c>
      <c r="X22" s="469"/>
      <c r="Y22" s="470">
        <v>-70.240729785147942800085821020</v>
      </c>
      <c r="Z22" s="468">
        <v>-9.066703505700466539787648400</v>
      </c>
      <c r="AA22" s="469">
        <v>17.85179174373491940666633100</v>
      </c>
      <c r="AB22" s="470">
        <v>4.6897107543646662993494458200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100.9662427563302640401453526</v>
      </c>
      <c r="E25" s="455"/>
      <c r="F25" s="456">
        <v>114.49866707705114816027048278</v>
      </c>
      <c r="G25" s="454">
        <v>122.30215636040659986696078787</v>
      </c>
      <c r="H25" s="455"/>
      <c r="I25" s="456">
        <v>120.45432315656501146616143918</v>
      </c>
      <c r="J25" s="454">
        <v>94.82687929957651713948862112</v>
      </c>
      <c r="K25" s="455"/>
      <c r="L25" s="456">
        <v>91.57163512470428026425876398</v>
      </c>
      <c r="M25" s="454">
        <v>102.26721824114168330878443759</v>
      </c>
      <c r="N25" s="455">
        <v>94.0195842746810168842647621</v>
      </c>
      <c r="O25" s="456">
        <v>114.87503317301145716272819547</v>
      </c>
      <c r="P25" s="5"/>
      <c r="Q25" s="427">
        <v>-3.390609385251780897075462400</v>
      </c>
      <c r="R25" s="428"/>
      <c r="S25" s="429">
        <v>0.6479617691140511655443861200</v>
      </c>
      <c r="T25" s="427">
        <v>18.141210334097305171357159840</v>
      </c>
      <c r="U25" s="428"/>
      <c r="V25" s="429">
        <v>5.5144810590671352813324620600</v>
      </c>
      <c r="W25" s="427">
        <v>0.3883491769888393306378061300</v>
      </c>
      <c r="X25" s="428"/>
      <c r="Y25" s="429">
        <v>0.5552681030848123815757582700</v>
      </c>
      <c r="Z25" s="427">
        <v>-1.4662366699258321755275202700</v>
      </c>
      <c r="AA25" s="428">
        <v>-5.4069351918800381249589433700</v>
      </c>
      <c r="AB25" s="429">
        <v>1.2805368031527394648396991500</v>
      </c>
    </row>
    <row r="26" ht="18" customHeight="1">
      <c r="A26" s="58"/>
      <c r="B26" s="1043" t="s">
        <v>46</v>
      </c>
      <c r="C26" s="1043"/>
      <c r="D26" s="439">
        <v>105.19397854099882383626451664</v>
      </c>
      <c r="E26" s="95"/>
      <c r="F26" s="440">
        <v>128.71706310537140764448563521</v>
      </c>
      <c r="G26" s="439">
        <v>122.40904581836021227849695995</v>
      </c>
      <c r="H26" s="95"/>
      <c r="I26" s="440">
        <v>130.71800681102408825766335873</v>
      </c>
      <c r="J26" s="439">
        <v>94.35166670570169060629919957</v>
      </c>
      <c r="K26" s="95"/>
      <c r="L26" s="440">
        <v>90.97415203847949018302604152</v>
      </c>
      <c r="M26" s="439">
        <v>106.18003082435888555587087895</v>
      </c>
      <c r="N26" s="95">
        <v>98.32453380158959667199362512</v>
      </c>
      <c r="O26" s="440">
        <v>128.7726258037175434880953737</v>
      </c>
      <c r="P26" s="5"/>
      <c r="Q26" s="420">
        <v>-2.6650584983301069122016839400</v>
      </c>
      <c r="R26" s="91"/>
      <c r="S26" s="421">
        <v>2.552178727280548641947121300</v>
      </c>
      <c r="T26" s="420">
        <v>17.218760381968194471369647880</v>
      </c>
      <c r="U26" s="91"/>
      <c r="V26" s="421">
        <v>7.8222015223791707601579427100</v>
      </c>
      <c r="W26" s="420">
        <v>1.8213509613566786326393528700</v>
      </c>
      <c r="X26" s="91"/>
      <c r="Y26" s="421">
        <v>0.9672073281287641812687310800</v>
      </c>
      <c r="Z26" s="420">
        <v>-0.6777894556035212662070399500</v>
      </c>
      <c r="AA26" s="91">
        <v>-6.8875744355214965930965082200</v>
      </c>
      <c r="AB26" s="421">
        <v>3.2680062385000745727473960300</v>
      </c>
    </row>
    <row r="27" ht="18" customHeight="1">
      <c r="A27" s="58"/>
      <c r="B27" s="1043" t="s">
        <v>47</v>
      </c>
      <c r="C27" s="1043"/>
      <c r="D27" s="439">
        <v>109.43245644303304104338942632</v>
      </c>
      <c r="E27" s="95"/>
      <c r="F27" s="440">
        <v>137.65024097107928672576360605</v>
      </c>
      <c r="G27" s="439">
        <v>117.61867347323547703239310313</v>
      </c>
      <c r="H27" s="95"/>
      <c r="I27" s="440">
        <v>132.01337517288133454529986747</v>
      </c>
      <c r="J27" s="439">
        <v>95.18016926856274223714295897</v>
      </c>
      <c r="K27" s="95"/>
      <c r="L27" s="440">
        <v>90.86584719260391240584543937</v>
      </c>
      <c r="M27" s="439">
        <v>109.62853650480283046145134425</v>
      </c>
      <c r="N27" s="95">
        <v>102.31048254069779291584466717</v>
      </c>
      <c r="O27" s="440">
        <v>136.9418974615261833862718445</v>
      </c>
      <c r="P27" s="93"/>
      <c r="Q27" s="420">
        <v>-3.0961952795380567316613907200</v>
      </c>
      <c r="R27" s="91"/>
      <c r="S27" s="421">
        <v>3.2103160767670117292788727100</v>
      </c>
      <c r="T27" s="420">
        <v>12.179653058231613454930604210</v>
      </c>
      <c r="U27" s="91"/>
      <c r="V27" s="421">
        <v>4.7425481874360993992066163800</v>
      </c>
      <c r="W27" s="420">
        <v>1.3191197800989658211061524100</v>
      </c>
      <c r="X27" s="91"/>
      <c r="Y27" s="421">
        <v>-1.5466249702411622189087090400</v>
      </c>
      <c r="Z27" s="420">
        <v>-1.228009140448056526856783400</v>
      </c>
      <c r="AA27" s="91">
        <v>-5.6954384318649033743318815200</v>
      </c>
      <c r="AB27" s="421">
        <v>3.5770552330882829069438262500</v>
      </c>
    </row>
    <row r="28" ht="18" customHeight="1">
      <c r="A28" s="58"/>
      <c r="B28" s="1043" t="s">
        <v>48</v>
      </c>
      <c r="C28" s="1043"/>
      <c r="D28" s="439">
        <v>108.93918881947027073673853393</v>
      </c>
      <c r="E28" s="95"/>
      <c r="F28" s="440">
        <v>135.90380187660153683161588436</v>
      </c>
      <c r="G28" s="439">
        <v>129.96498274710235067910861126</v>
      </c>
      <c r="H28" s="95"/>
      <c r="I28" s="440">
        <v>133.8773609605691410143619364</v>
      </c>
      <c r="J28" s="439">
        <v>95.93033703994051048240039941</v>
      </c>
      <c r="K28" s="95"/>
      <c r="L28" s="440">
        <v>92.09383418925505412525908475</v>
      </c>
      <c r="M28" s="439">
        <v>110.64542101213883285627503238</v>
      </c>
      <c r="N28" s="95">
        <v>102.09918067974295837053650221</v>
      </c>
      <c r="O28" s="440">
        <v>135.53450794520593222129292016</v>
      </c>
      <c r="P28" s="5"/>
      <c r="Q28" s="420">
        <v>-3.9310077326619948003764394200</v>
      </c>
      <c r="R28" s="91"/>
      <c r="S28" s="421">
        <v>2.9625173614305068577303568300</v>
      </c>
      <c r="T28" s="420">
        <v>16.360119927064391331509462280</v>
      </c>
      <c r="U28" s="91"/>
      <c r="V28" s="421">
        <v>7.3166208721595518759706867500</v>
      </c>
      <c r="W28" s="420">
        <v>3.3207259744060468458852269900</v>
      </c>
      <c r="X28" s="91"/>
      <c r="Y28" s="421">
        <v>1.6275936226498521467654704400</v>
      </c>
      <c r="Z28" s="420">
        <v>-1.6887357365425797122899295500</v>
      </c>
      <c r="AA28" s="91">
        <v>-4.6711640549392508457921865400</v>
      </c>
      <c r="AB28" s="421">
        <v>3.5752240905984859274303923800</v>
      </c>
    </row>
    <row r="29" ht="18" customHeight="1">
      <c r="A29" s="58"/>
      <c r="B29" s="1043" t="s">
        <v>49</v>
      </c>
      <c r="C29" s="1043"/>
      <c r="D29" s="439">
        <v>106.2533244718988485142649203</v>
      </c>
      <c r="E29" s="95"/>
      <c r="F29" s="440">
        <v>125.04884189962731378288467314</v>
      </c>
      <c r="G29" s="439">
        <v>121.86735323179237838419540589</v>
      </c>
      <c r="H29" s="95"/>
      <c r="I29" s="440">
        <v>128.81303156521343086469182544</v>
      </c>
      <c r="J29" s="439">
        <v>96.24328689820390574718910539</v>
      </c>
      <c r="K29" s="95"/>
      <c r="L29" s="440">
        <v>93.38459953034497232518047585</v>
      </c>
      <c r="M29" s="439">
        <v>107.41057620982730314447507759</v>
      </c>
      <c r="N29" s="95">
        <v>102.83918483699286630386151555</v>
      </c>
      <c r="O29" s="440">
        <v>125.34979041380017165710001741</v>
      </c>
      <c r="P29" s="93"/>
      <c r="Q29" s="420">
        <v>-4.3179326818871672881130711500</v>
      </c>
      <c r="R29" s="91"/>
      <c r="S29" s="421">
        <v>1.936394501758065382062113400</v>
      </c>
      <c r="T29" s="420">
        <v>9.006368775668244913484864170</v>
      </c>
      <c r="U29" s="91"/>
      <c r="V29" s="421">
        <v>7.4716232143930624300048717100</v>
      </c>
      <c r="W29" s="420">
        <v>4.2044244633616875268566075300</v>
      </c>
      <c r="X29" s="91"/>
      <c r="Y29" s="421">
        <v>2.6130934507460690845093724600</v>
      </c>
      <c r="Z29" s="420">
        <v>-2.8505078507582631414274677500</v>
      </c>
      <c r="AA29" s="91">
        <v>-1.7575488483936254678385560300</v>
      </c>
      <c r="AB29" s="421">
        <v>2.7390756782928481992857087100</v>
      </c>
    </row>
    <row r="30" ht="18" customHeight="1">
      <c r="A30" s="58"/>
      <c r="B30" s="1044" t="s">
        <v>75</v>
      </c>
      <c r="C30" s="1044"/>
      <c r="D30" s="457">
        <v>106.68140373617900471241956412</v>
      </c>
      <c r="E30" s="458"/>
      <c r="F30" s="459">
        <v>129.54587713678030802297345605</v>
      </c>
      <c r="G30" s="457">
        <v>123.40468587887749588288508935</v>
      </c>
      <c r="H30" s="458"/>
      <c r="I30" s="459">
        <v>130.19009344599574426187924919</v>
      </c>
      <c r="J30" s="457">
        <v>95.30163258003271072849154187</v>
      </c>
      <c r="K30" s="458"/>
      <c r="L30" s="459">
        <v>91.73796472553032767832978614</v>
      </c>
      <c r="M30" s="457">
        <v>107.75780223041876240919175145</v>
      </c>
      <c r="N30" s="458">
        <v>100.47507057561255567327038832</v>
      </c>
      <c r="O30" s="459">
        <v>129.48214643392203348327174206</v>
      </c>
      <c r="P30" s="5"/>
      <c r="Q30" s="430">
        <v>-3.5463026595065096020569762300</v>
      </c>
      <c r="R30" s="431"/>
      <c r="S30" s="432">
        <v>2.3273966207898469518828246400</v>
      </c>
      <c r="T30" s="430">
        <v>14.548326066740446288560632970</v>
      </c>
      <c r="U30" s="431"/>
      <c r="V30" s="432">
        <v>6.7651433895049137712883010300</v>
      </c>
      <c r="W30" s="430">
        <v>2.2549325621035820805831784200</v>
      </c>
      <c r="X30" s="431"/>
      <c r="Y30" s="432">
        <v>0.7938552464632709934563567700</v>
      </c>
      <c r="Z30" s="430">
        <v>-1.6008036590011423498086922300</v>
      </c>
      <c r="AA30" s="431">
        <v>-4.8221405754521288224331292900</v>
      </c>
      <c r="AB30" s="432">
        <v>2.9892976452415705615824753100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116.28983380173925153748070762</v>
      </c>
      <c r="E32" s="494"/>
      <c r="F32" s="495">
        <v>126.35820061856902857193437657</v>
      </c>
      <c r="G32" s="493">
        <v>126.79345904044242765463855676</v>
      </c>
      <c r="H32" s="494"/>
      <c r="I32" s="495">
        <v>131.93602679163259336932464793</v>
      </c>
      <c r="J32" s="493">
        <v>98.74174618891537752923177381</v>
      </c>
      <c r="K32" s="494"/>
      <c r="L32" s="495">
        <v>96.16100841209920307164907389</v>
      </c>
      <c r="M32" s="493">
        <v>117.08627699000899685839926466</v>
      </c>
      <c r="N32" s="494">
        <v>107.75820887410056328422534788</v>
      </c>
      <c r="O32" s="495">
        <v>126.98137287223137694317846613</v>
      </c>
      <c r="P32" s="93"/>
      <c r="Q32" s="479">
        <v>-2.784363094801626522143179800</v>
      </c>
      <c r="R32" s="480"/>
      <c r="S32" s="481">
        <v>0.5974714320495686312132055200</v>
      </c>
      <c r="T32" s="479">
        <v>10.505631445382435353329425570</v>
      </c>
      <c r="U32" s="480"/>
      <c r="V32" s="481">
        <v>4.5043043643411152206259009200</v>
      </c>
      <c r="W32" s="479">
        <v>5.1718876213220955410425063700</v>
      </c>
      <c r="X32" s="480"/>
      <c r="Y32" s="481">
        <v>2.7603410130161075124407013700</v>
      </c>
      <c r="Z32" s="479">
        <v>-1.0407880404315219022523616500</v>
      </c>
      <c r="AA32" s="480">
        <v>-3.8410596152915083730614793500</v>
      </c>
      <c r="AB32" s="481">
        <v>1.2922977005010759438419263400</v>
      </c>
    </row>
    <row r="33" ht="18" customHeight="1">
      <c r="A33" s="58"/>
      <c r="B33" s="1046" t="s">
        <v>51</v>
      </c>
      <c r="C33" s="1046"/>
      <c r="D33" s="276">
        <v>113.70173941890155621612602546</v>
      </c>
      <c r="E33" s="94"/>
      <c r="F33" s="277">
        <v>125.42712530132754517154246294</v>
      </c>
      <c r="G33" s="276">
        <v>126.93005616746433327303982717</v>
      </c>
      <c r="H33" s="94"/>
      <c r="I33" s="277">
        <v>132.24173658926440283888105446</v>
      </c>
      <c r="J33" s="276">
        <v>95.43668030863286883742769691</v>
      </c>
      <c r="K33" s="94"/>
      <c r="L33" s="277">
        <v>92.62538179085234331849068477</v>
      </c>
      <c r="M33" s="276">
        <v>114.31490809395764867022745683</v>
      </c>
      <c r="N33" s="94">
        <v>106.92431102594692057111799644</v>
      </c>
      <c r="O33" s="277">
        <v>126.08948020413630569635026005</v>
      </c>
      <c r="P33" s="5"/>
      <c r="Q33" s="271">
        <v>-5.0399479387715197109789945100</v>
      </c>
      <c r="R33" s="92"/>
      <c r="S33" s="272">
        <v>-0.2418869000083634546933554500</v>
      </c>
      <c r="T33" s="271">
        <v>12.987227112766504084009887410</v>
      </c>
      <c r="U33" s="92"/>
      <c r="V33" s="272">
        <v>4.7921187292123717234213225600</v>
      </c>
      <c r="W33" s="271">
        <v>-0.5690501307127534903161405700</v>
      </c>
      <c r="X33" s="92"/>
      <c r="Y33" s="272">
        <v>-2.085040950655683942478515600</v>
      </c>
      <c r="Z33" s="271">
        <v>-2.9903547387741384102669372800</v>
      </c>
      <c r="AA33" s="92">
        <v>-5.4215458213372759010201065500</v>
      </c>
      <c r="AB33" s="272">
        <v>0.5046421283343915526378802300</v>
      </c>
    </row>
    <row r="34" ht="18" customHeight="1">
      <c r="A34" s="58"/>
      <c r="B34" s="1047" t="s">
        <v>76</v>
      </c>
      <c r="C34" s="1047"/>
      <c r="D34" s="443">
        <v>114.97211684229028371815703405</v>
      </c>
      <c r="E34" s="444"/>
      <c r="F34" s="445">
        <v>125.88885684758074458434374231</v>
      </c>
      <c r="G34" s="443">
        <v>126.84777038565193658183506588</v>
      </c>
      <c r="H34" s="444"/>
      <c r="I34" s="445">
        <v>132.07617615300986138059576842</v>
      </c>
      <c r="J34" s="443">
        <v>97.25043597464156263171042203</v>
      </c>
      <c r="K34" s="444"/>
      <c r="L34" s="445">
        <v>94.55780929639212496495377194</v>
      </c>
      <c r="M34" s="633">
        <v>115.71026304131717241663377417</v>
      </c>
      <c r="N34" s="634">
        <v>107.34827964298258642903610856</v>
      </c>
      <c r="O34" s="635">
        <v>126.53682527333844662083997023</v>
      </c>
      <c r="P34" s="93"/>
      <c r="Q34" s="273">
        <v>-3.9326192366955135757471901200</v>
      </c>
      <c r="R34" s="274"/>
      <c r="S34" s="275">
        <v>0.1741472950992263670988544200</v>
      </c>
      <c r="T34" s="273">
        <v>11.656826285462811716194170450</v>
      </c>
      <c r="U34" s="274"/>
      <c r="V34" s="275">
        <v>4.6370472547260644524442806700</v>
      </c>
      <c r="W34" s="273">
        <v>2.393494444704268791051579400</v>
      </c>
      <c r="X34" s="274"/>
      <c r="Y34" s="275">
        <v>0.4947826243713353183422990400</v>
      </c>
      <c r="Z34" s="273">
        <v>-2.0040320804459550934802441200</v>
      </c>
      <c r="AA34" s="274">
        <v>-4.6157375036353587616145223500</v>
      </c>
      <c r="AB34" s="275">
        <v>0.8994013163406822953865806500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109.67895531669183619081460425</v>
      </c>
      <c r="E36" s="483"/>
      <c r="F36" s="484">
        <v>128.47371015748200486694177651</v>
      </c>
      <c r="G36" s="482">
        <v>126.24989775051124744376278119</v>
      </c>
      <c r="H36" s="483"/>
      <c r="I36" s="484">
        <v>130.96051939765174889031739326</v>
      </c>
      <c r="J36" s="482">
        <v>96.16607773851590106007067138</v>
      </c>
      <c r="K36" s="483"/>
      <c r="L36" s="484">
        <v>92.18625195384774246284551889</v>
      </c>
      <c r="M36" s="482">
        <v>110.80437616243025418474891507</v>
      </c>
      <c r="N36" s="483">
        <v>102.77677007049302972508772115</v>
      </c>
      <c r="O36" s="484">
        <v>128.62280264643580340229370212</v>
      </c>
      <c r="P36" s="93"/>
      <c r="Q36" s="468">
        <v>-3.6201345317743914717165701400</v>
      </c>
      <c r="R36" s="469"/>
      <c r="S36" s="470">
        <v>1.6509010796708534207126128600</v>
      </c>
      <c r="T36" s="468">
        <v>15.211120809341694307708334500</v>
      </c>
      <c r="U36" s="469"/>
      <c r="V36" s="470">
        <v>6.3987833876042002022455093400</v>
      </c>
      <c r="W36" s="468">
        <v>1.0530272422737172893624803200</v>
      </c>
      <c r="X36" s="469"/>
      <c r="Y36" s="470">
        <v>0.4475474330962027895702031700</v>
      </c>
      <c r="Z36" s="468">
        <v>-1.5621994832293909964744090100</v>
      </c>
      <c r="AA36" s="469">
        <v>-4.8676205202692719948402321300</v>
      </c>
      <c r="AB36" s="470">
        <v>2.3805768296257190248837411700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20.284870691817529828165435881</v>
      </c>
      <c r="E39" s="455"/>
      <c r="F39" s="456">
        <v>48.890332296203009121747289639</v>
      </c>
      <c r="G39" s="454">
        <v>2.1437305730831718048808017948</v>
      </c>
      <c r="H39" s="455"/>
      <c r="I39" s="456">
        <v>4.4911490683714249497602754054</v>
      </c>
      <c r="J39" s="454">
        <v>1.0108920351040982988823468947</v>
      </c>
      <c r="K39" s="455"/>
      <c r="L39" s="456">
        <v>0.1743249248900586133384036249</v>
      </c>
      <c r="M39" s="454">
        <v>23.446067875237650351526915048</v>
      </c>
      <c r="N39" s="455">
        <v>30.184412185632790861202906709</v>
      </c>
      <c r="O39" s="456">
        <v>53.557189041583318111052411442</v>
      </c>
      <c r="P39" s="5"/>
      <c r="Q39" s="427">
        <v>-4.7305986964247694354557485400</v>
      </c>
      <c r="R39" s="428"/>
      <c r="S39" s="429">
        <v>9.992504327911821917303876710</v>
      </c>
      <c r="T39" s="427">
        <v>-58.476092954281981352118408450</v>
      </c>
      <c r="U39" s="428"/>
      <c r="V39" s="429">
        <v>-3.4572508990741995635179856200</v>
      </c>
      <c r="W39" s="427">
        <v>0.6445305816848803278509373100</v>
      </c>
      <c r="X39" s="428"/>
      <c r="Y39" s="429">
        <v>-73.970502610079263230721635640</v>
      </c>
      <c r="Z39" s="427">
        <v>-14.384132196838566231432157690</v>
      </c>
      <c r="AA39" s="428">
        <v>18.106119524969813297754302750</v>
      </c>
      <c r="AB39" s="429">
        <v>7.6084606039901489027899947400</v>
      </c>
    </row>
    <row r="40" ht="18" customHeight="1">
      <c r="A40" s="58"/>
      <c r="B40" s="1043" t="s">
        <v>46</v>
      </c>
      <c r="C40" s="1043"/>
      <c r="D40" s="439">
        <v>26.162122628626763913365546669</v>
      </c>
      <c r="E40" s="95"/>
      <c r="F40" s="440">
        <v>77.20660451230374934803646255</v>
      </c>
      <c r="G40" s="439">
        <v>3.0468649152341735500507693926</v>
      </c>
      <c r="H40" s="95"/>
      <c r="I40" s="440">
        <v>8.491356830394514822931607076</v>
      </c>
      <c r="J40" s="439">
        <v>1.2660599935772902376213826424</v>
      </c>
      <c r="K40" s="95"/>
      <c r="L40" s="440">
        <v>0.2131026173072570893258950336</v>
      </c>
      <c r="M40" s="439">
        <v>30.48324245592762267700309455</v>
      </c>
      <c r="N40" s="95">
        <v>42.015409208835754929209182795</v>
      </c>
      <c r="O40" s="440">
        <v>85.91332484001814903723401347</v>
      </c>
      <c r="P40" s="5"/>
      <c r="Q40" s="420">
        <v>-11.824144383766929150096209880</v>
      </c>
      <c r="R40" s="91"/>
      <c r="S40" s="421">
        <v>9.136941740181539948978158740</v>
      </c>
      <c r="T40" s="420">
        <v>-49.603345653698234123539216600</v>
      </c>
      <c r="U40" s="91"/>
      <c r="V40" s="421">
        <v>23.432784834192214110591540790</v>
      </c>
      <c r="W40" s="420">
        <v>9.487631096766893040226169450</v>
      </c>
      <c r="X40" s="91"/>
      <c r="Y40" s="421">
        <v>-68.696290740107440145974346700</v>
      </c>
      <c r="Z40" s="420">
        <v>-18.211279913684628982736160640</v>
      </c>
      <c r="AA40" s="91">
        <v>14.298203883123680455036148390</v>
      </c>
      <c r="AB40" s="421">
        <v>9.719253593733688321109559550</v>
      </c>
    </row>
    <row r="41" ht="18" customHeight="1">
      <c r="A41" s="58"/>
      <c r="B41" s="1043" t="s">
        <v>47</v>
      </c>
      <c r="C41" s="1043"/>
      <c r="D41" s="439">
        <v>36.117066294117618354367289484</v>
      </c>
      <c r="E41" s="95"/>
      <c r="F41" s="440">
        <v>92.8949545750151897197708849</v>
      </c>
      <c r="G41" s="439">
        <v>3.8028159245519563842915030379</v>
      </c>
      <c r="H41" s="95"/>
      <c r="I41" s="440">
        <v>10.322450335442932883276943619</v>
      </c>
      <c r="J41" s="439">
        <v>1.1984360885075893849547875127</v>
      </c>
      <c r="K41" s="95"/>
      <c r="L41" s="440">
        <v>0.1898167592884035379134539424</v>
      </c>
      <c r="M41" s="439">
        <v>41.125326127468724554109015478</v>
      </c>
      <c r="N41" s="95">
        <v>52.417914850187304969077946743</v>
      </c>
      <c r="O41" s="440">
        <v>103.40994298769858104215811499</v>
      </c>
      <c r="P41" s="93"/>
      <c r="Q41" s="420">
        <v>-6.887544161948704906118681700</v>
      </c>
      <c r="R41" s="91"/>
      <c r="S41" s="421">
        <v>8.061322847435587595985167310</v>
      </c>
      <c r="T41" s="420">
        <v>-51.158631462889688884657143150</v>
      </c>
      <c r="U41" s="91"/>
      <c r="V41" s="421">
        <v>13.676824110422955416780694370</v>
      </c>
      <c r="W41" s="420">
        <v>3.9345388557282039596570414400</v>
      </c>
      <c r="X41" s="91"/>
      <c r="Y41" s="421">
        <v>-72.330329377787380375358265070</v>
      </c>
      <c r="Z41" s="420">
        <v>-14.754173364019535580445393330</v>
      </c>
      <c r="AA41" s="91">
        <v>10.999217161175155058136810280</v>
      </c>
      <c r="AB41" s="421">
        <v>8.020863900021383428675619100</v>
      </c>
    </row>
    <row r="42" ht="18" customHeight="1">
      <c r="A42" s="58"/>
      <c r="B42" s="1043" t="s">
        <v>48</v>
      </c>
      <c r="C42" s="1043"/>
      <c r="D42" s="439">
        <v>37.553252384830672105342614633</v>
      </c>
      <c r="E42" s="95"/>
      <c r="F42" s="440">
        <v>90.69184506885364481865600089</v>
      </c>
      <c r="G42" s="439">
        <v>5.5051773143774136673523473652</v>
      </c>
      <c r="H42" s="95"/>
      <c r="I42" s="440">
        <v>10.543009944709458790219370065</v>
      </c>
      <c r="J42" s="439">
        <v>1.4266547246854580999798656744</v>
      </c>
      <c r="K42" s="95"/>
      <c r="L42" s="440">
        <v>0.2357426138362613401736662671</v>
      </c>
      <c r="M42" s="439">
        <v>44.494260398808394008678511174</v>
      </c>
      <c r="N42" s="95">
        <v>53.791643932397732377580405176</v>
      </c>
      <c r="O42" s="440">
        <v>101.47296520025928197670323435</v>
      </c>
      <c r="P42" s="5"/>
      <c r="Q42" s="420">
        <v>-4.6410431314651721335234229300</v>
      </c>
      <c r="R42" s="91"/>
      <c r="S42" s="421">
        <v>7.0508178340977046647119632600</v>
      </c>
      <c r="T42" s="420">
        <v>-41.433245377055451817433994880</v>
      </c>
      <c r="U42" s="91"/>
      <c r="V42" s="421">
        <v>17.760180179719333103000528950</v>
      </c>
      <c r="W42" s="420">
        <v>23.663199556730748680235510410</v>
      </c>
      <c r="X42" s="91"/>
      <c r="Y42" s="421">
        <v>-64.541884232127687516116921020</v>
      </c>
      <c r="Z42" s="420">
        <v>-11.322924240400826322847656330</v>
      </c>
      <c r="AA42" s="91">
        <v>12.537784193376191148989529560</v>
      </c>
      <c r="AB42" s="421">
        <v>7.5652657213756131010815969200</v>
      </c>
    </row>
    <row r="43" ht="18" customHeight="1">
      <c r="A43" s="58"/>
      <c r="B43" s="1043" t="s">
        <v>49</v>
      </c>
      <c r="C43" s="1043"/>
      <c r="D43" s="439">
        <v>32.693294634157313192334215197</v>
      </c>
      <c r="E43" s="95"/>
      <c r="F43" s="440">
        <v>74.15530627148464326549531167</v>
      </c>
      <c r="G43" s="439">
        <v>4.2747270713981535964240024923</v>
      </c>
      <c r="H43" s="95"/>
      <c r="I43" s="440">
        <v>9.104335273657549244843575619</v>
      </c>
      <c r="J43" s="439">
        <v>1.0167228351942143842819171757</v>
      </c>
      <c r="K43" s="95"/>
      <c r="L43" s="440">
        <v>0.1713304182449020224541689516</v>
      </c>
      <c r="M43" s="439">
        <v>37.992579685215894669896395931</v>
      </c>
      <c r="N43" s="95">
        <v>53.734459126991962230609632884</v>
      </c>
      <c r="O43" s="440">
        <v>83.43291862487836061405837659</v>
      </c>
      <c r="P43" s="93"/>
      <c r="Q43" s="420">
        <v>-6.4289062574570034348926655300</v>
      </c>
      <c r="R43" s="91"/>
      <c r="S43" s="421">
        <v>7.927950867495000938631171100</v>
      </c>
      <c r="T43" s="420">
        <v>-44.620320495635419912126426570</v>
      </c>
      <c r="U43" s="91"/>
      <c r="V43" s="421">
        <v>13.324302961536186016280168160</v>
      </c>
      <c r="W43" s="420">
        <v>-15.920591742340338432172487560</v>
      </c>
      <c r="X43" s="91"/>
      <c r="Y43" s="421">
        <v>-73.984866332192881663823053600</v>
      </c>
      <c r="Z43" s="420">
        <v>-14.318160938597793741892203660</v>
      </c>
      <c r="AA43" s="91">
        <v>18.869532545144169478184519440</v>
      </c>
      <c r="AB43" s="421">
        <v>7.7937756494534867816567792300</v>
      </c>
    </row>
    <row r="44" ht="18" customHeight="1">
      <c r="A44" s="58"/>
      <c r="B44" s="1044" t="s">
        <v>75</v>
      </c>
      <c r="C44" s="1044"/>
      <c r="D44" s="457">
        <v>30.516318356529152898512687936</v>
      </c>
      <c r="E44" s="458"/>
      <c r="F44" s="459">
        <v>76.661802458744127688706011097</v>
      </c>
      <c r="G44" s="457">
        <v>3.7539115138954947558912714491</v>
      </c>
      <c r="H44" s="458"/>
      <c r="I44" s="459">
        <v>8.574944601059065783004053017</v>
      </c>
      <c r="J44" s="457">
        <v>1.1836393175592539044120113205</v>
      </c>
      <c r="K44" s="458"/>
      <c r="L44" s="459">
        <v>0.1967781401476772129483119782</v>
      </c>
      <c r="M44" s="457">
        <v>35.461914659469958376914402425</v>
      </c>
      <c r="N44" s="458">
        <v>46.36652895017624961678378073</v>
      </c>
      <c r="O44" s="459">
        <v>85.43566327431666608000613269</v>
      </c>
      <c r="P44" s="5"/>
      <c r="Q44" s="430">
        <v>-7.1774050321807613415377968200</v>
      </c>
      <c r="R44" s="431"/>
      <c r="S44" s="432">
        <v>8.100797421169607712782674500</v>
      </c>
      <c r="T44" s="430">
        <v>-48.075303468295324807457663270</v>
      </c>
      <c r="U44" s="431"/>
      <c r="V44" s="432">
        <v>14.033599618014195085442235390</v>
      </c>
      <c r="W44" s="430">
        <v>4.167889283093062522101075900</v>
      </c>
      <c r="X44" s="431"/>
      <c r="Y44" s="432">
        <v>-70.716894235366156643823751040</v>
      </c>
      <c r="Z44" s="430">
        <v>-14.515074782930164960358638840</v>
      </c>
      <c r="AA44" s="431">
        <v>14.462444053293509097181358240</v>
      </c>
      <c r="AB44" s="432">
        <v>7.998065123856676190683708180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50.571113107079290892788348786</v>
      </c>
      <c r="E46" s="494"/>
      <c r="F46" s="495">
        <v>75.290054603265335473215201103</v>
      </c>
      <c r="G46" s="493">
        <v>7.8416791462659754580366234372</v>
      </c>
      <c r="H46" s="494"/>
      <c r="I46" s="495">
        <v>11.79468922269522690834577273</v>
      </c>
      <c r="J46" s="493">
        <v>1.3671919044421262950344259579</v>
      </c>
      <c r="K46" s="494"/>
      <c r="L46" s="495">
        <v>0.2269095086667187340203725748</v>
      </c>
      <c r="M46" s="493">
        <v>59.792315024237257525760313859</v>
      </c>
      <c r="N46" s="494">
        <v>64.617608526515431350476568947</v>
      </c>
      <c r="O46" s="495">
        <v>87.31405179293365448379647612</v>
      </c>
      <c r="P46" s="93"/>
      <c r="Q46" s="479">
        <v>1.7658984847584460921834682300</v>
      </c>
      <c r="R46" s="480"/>
      <c r="S46" s="481">
        <v>7.672033044669520303914709700</v>
      </c>
      <c r="T46" s="479">
        <v>-13.153543800106544760666677110</v>
      </c>
      <c r="U46" s="480"/>
      <c r="V46" s="481">
        <v>0.7638792662842308351039102700</v>
      </c>
      <c r="W46" s="479">
        <v>37.040081292221185827414978880</v>
      </c>
      <c r="X46" s="480"/>
      <c r="Y46" s="481">
        <v>-64.889574424729860639279359870</v>
      </c>
      <c r="Z46" s="479">
        <v>-1.0570308327905864402997656600</v>
      </c>
      <c r="AA46" s="480">
        <v>8.019484152463044302480947680</v>
      </c>
      <c r="AB46" s="481">
        <v>6.1223110370289573120942395700</v>
      </c>
    </row>
    <row r="47" ht="18" customHeight="1">
      <c r="A47" s="58"/>
      <c r="B47" s="1046" t="s">
        <v>51</v>
      </c>
      <c r="C47" s="1046"/>
      <c r="D47" s="276">
        <v>51.28817433296070272375938046</v>
      </c>
      <c r="E47" s="94"/>
      <c r="F47" s="277">
        <v>75.983757591388091973953166466</v>
      </c>
      <c r="G47" s="276">
        <v>5.1813442840357067341616958538</v>
      </c>
      <c r="H47" s="94"/>
      <c r="I47" s="277">
        <v>10.009671230728080146938434852</v>
      </c>
      <c r="J47" s="276">
        <v>1.0865087034078134595584757032</v>
      </c>
      <c r="K47" s="94"/>
      <c r="L47" s="277">
        <v>0.1813683739239829097123348387</v>
      </c>
      <c r="M47" s="276">
        <v>57.567899449449948432719181943</v>
      </c>
      <c r="N47" s="94">
        <v>61.99435628228531667949657486</v>
      </c>
      <c r="O47" s="277">
        <v>86.17742119586860258897712058</v>
      </c>
      <c r="P47" s="5"/>
      <c r="Q47" s="271">
        <v>0.5843213614215828373264040300</v>
      </c>
      <c r="R47" s="92"/>
      <c r="S47" s="272">
        <v>6.7639285185566233771362270700</v>
      </c>
      <c r="T47" s="271">
        <v>-35.863422724222170703493113330</v>
      </c>
      <c r="U47" s="92"/>
      <c r="V47" s="272">
        <v>-6.0507300566038730838138609600</v>
      </c>
      <c r="W47" s="271">
        <v>-3.6364606539451755064772109300</v>
      </c>
      <c r="X47" s="92"/>
      <c r="Y47" s="272">
        <v>-72.713398786269134276883149790</v>
      </c>
      <c r="Z47" s="271">
        <v>-5.6622540042230683263103541300</v>
      </c>
      <c r="AA47" s="92">
        <v>9.189784481689675180116449830</v>
      </c>
      <c r="AB47" s="272">
        <v>4.4716682313945750000030091400</v>
      </c>
    </row>
    <row r="48" ht="18" customHeight="1">
      <c r="A48" s="58"/>
      <c r="B48" s="1047" t="s">
        <v>76</v>
      </c>
      <c r="C48" s="1047"/>
      <c r="D48" s="443">
        <v>50.929643720019996808273864588</v>
      </c>
      <c r="E48" s="444"/>
      <c r="F48" s="445">
        <v>75.636868717230462087161681771</v>
      </c>
      <c r="G48" s="443">
        <v>6.5115117151508410960991596427</v>
      </c>
      <c r="H48" s="444"/>
      <c r="I48" s="445">
        <v>10.902276412176460589025708856</v>
      </c>
      <c r="J48" s="443">
        <v>1.2268503039249698772964508299</v>
      </c>
      <c r="K48" s="444"/>
      <c r="L48" s="445">
        <v>0.2041413952735363547314127715</v>
      </c>
      <c r="M48" s="443">
        <v>58.680107236843602979239747907</v>
      </c>
      <c r="N48" s="444">
        <v>63.305982404400374014986571905</v>
      </c>
      <c r="O48" s="445">
        <v>86.74579858826145689687630393</v>
      </c>
      <c r="P48" s="93"/>
      <c r="Q48" s="273">
        <v>1.1797336084963080113780217500</v>
      </c>
      <c r="R48" s="274"/>
      <c r="S48" s="275">
        <v>7.2139228621511885932858486700</v>
      </c>
      <c r="T48" s="273">
        <v>-23.917141418400174165377150790</v>
      </c>
      <c r="U48" s="274"/>
      <c r="V48" s="275">
        <v>-2.4824160943603560037543518300</v>
      </c>
      <c r="W48" s="273">
        <v>15.525367974044018294147610130</v>
      </c>
      <c r="X48" s="274"/>
      <c r="Y48" s="275">
        <v>-68.856034222995238617312133550</v>
      </c>
      <c r="Z48" s="273">
        <v>-3.3708677908162479844336595400</v>
      </c>
      <c r="AA48" s="274">
        <v>8.589359666684351577282664530</v>
      </c>
      <c r="AB48" s="275">
        <v>5.2960031536838004717530787100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36.372249226690234202386212992</v>
      </c>
      <c r="E50" s="483"/>
      <c r="F50" s="484">
        <v>76.293985531498385407639153896</v>
      </c>
      <c r="G50" s="482">
        <v>4.5467815584032994550007364855</v>
      </c>
      <c r="H50" s="483"/>
      <c r="I50" s="484">
        <v>9.31595366890318076110294422</v>
      </c>
      <c r="J50" s="482">
        <v>1.2026071586389748121961997349</v>
      </c>
      <c r="K50" s="483"/>
      <c r="L50" s="484">
        <v>0.19672756586942232944883839</v>
      </c>
      <c r="M50" s="482">
        <v>42.121657681543673589630284283</v>
      </c>
      <c r="N50" s="483">
        <v>51.193112948092163963680260326</v>
      </c>
      <c r="O50" s="484">
        <v>85.8066667662709884981909365</v>
      </c>
      <c r="P50" s="93"/>
      <c r="Q50" s="468">
        <v>-4.8687822448481638564988811800</v>
      </c>
      <c r="R50" s="469"/>
      <c r="S50" s="470">
        <v>7.8895195069118788974614238700</v>
      </c>
      <c r="T50" s="468">
        <v>-40.932047874339635166176083180</v>
      </c>
      <c r="U50" s="469"/>
      <c r="V50" s="470">
        <v>7.2773262268537002908179242500</v>
      </c>
      <c r="W50" s="468">
        <v>6.868412718003055094888189400</v>
      </c>
      <c r="X50" s="469"/>
      <c r="Y50" s="470">
        <v>-70.107542937486510220044224580</v>
      </c>
      <c r="Z50" s="468">
        <v>-10.487262993585747320588677520</v>
      </c>
      <c r="AA50" s="469">
        <v>12.115213745257264124347066370</v>
      </c>
      <c r="AB50" s="470">
        <v>7.1819297515641445487157210200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7">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163</v>
      </c>
      <c r="D1" s="6"/>
      <c r="E1" s="6"/>
      <c r="AS1" s="236"/>
    </row>
    <row r="2" ht="15" customHeight="1">
      <c r="B2" s="0"/>
      <c r="C2" s="1049" t="s">
        <v>170</v>
      </c>
      <c r="D2" s="1049"/>
      <c r="E2" s="1049"/>
      <c r="F2" s="1049"/>
      <c r="G2" s="1049"/>
      <c r="H2" s="1049"/>
      <c r="I2" s="1049"/>
      <c r="J2" s="1049"/>
      <c r="K2" s="1049"/>
      <c r="L2" s="1049"/>
      <c r="M2" s="1049"/>
      <c r="N2" s="1049"/>
      <c r="O2" s="1049"/>
      <c r="P2" s="1049"/>
      <c r="Q2" s="1049"/>
      <c r="R2" s="1049"/>
      <c r="S2" s="1049"/>
      <c r="T2" s="1049"/>
      <c r="U2" s="1049"/>
      <c r="V2" s="1049"/>
      <c r="W2" s="1049"/>
      <c r="X2" s="1049"/>
      <c r="Y2" s="1049"/>
      <c r="Z2" s="1049"/>
      <c r="AA2" s="1049"/>
      <c r="AB2" s="1049"/>
      <c r="AC2" s="1049"/>
      <c r="AD2" s="1049"/>
      <c r="AE2" s="1049"/>
      <c r="AF2" s="1049"/>
      <c r="AG2" s="1049"/>
      <c r="AH2" s="1049"/>
      <c r="AI2" s="1049"/>
      <c r="AJ2" s="1049"/>
      <c r="AK2" s="1049"/>
      <c r="AL2" s="1049"/>
      <c r="AM2" s="1049"/>
      <c r="AN2" s="1049"/>
      <c r="AO2" s="1049"/>
      <c r="AP2" s="1049"/>
      <c r="AQ2" s="0"/>
    </row>
    <row r="3" ht="15" customHeight="1">
      <c r="B3" s="0"/>
      <c r="C3" s="1049" t="s">
        <v>171</v>
      </c>
      <c r="D3" s="1049"/>
      <c r="E3" s="1049"/>
      <c r="F3" s="1049"/>
      <c r="G3" s="1049"/>
      <c r="H3" s="1049"/>
      <c r="I3" s="1049"/>
      <c r="J3" s="1049"/>
      <c r="K3" s="1049"/>
      <c r="L3" s="1049"/>
      <c r="M3" s="1049"/>
      <c r="N3" s="1049"/>
      <c r="O3" s="1049"/>
      <c r="P3" s="1049"/>
      <c r="Q3" s="1049"/>
      <c r="R3" s="1049"/>
      <c r="S3" s="1049"/>
      <c r="T3" s="1049"/>
      <c r="U3" s="1049"/>
      <c r="V3" s="1049"/>
      <c r="W3" s="1049"/>
      <c r="X3" s="1049"/>
      <c r="Y3" s="1049"/>
      <c r="Z3" s="1049"/>
      <c r="AA3" s="1049"/>
      <c r="AB3" s="1049"/>
      <c r="AC3" s="1049"/>
      <c r="AD3" s="1049"/>
      <c r="AE3" s="1049"/>
      <c r="AF3" s="1049"/>
      <c r="AG3" s="1049"/>
      <c r="AH3" s="1049"/>
      <c r="AI3" s="1049"/>
      <c r="AJ3" s="1049"/>
      <c r="AK3" s="1049"/>
      <c r="AL3" s="1049"/>
      <c r="AM3" s="1049"/>
      <c r="AN3" s="1049"/>
      <c r="AO3" s="1049"/>
      <c r="AP3" s="1049"/>
      <c r="AQ3" s="0"/>
    </row>
    <row r="4" ht="15" customHeight="1">
      <c r="B4" s="0"/>
      <c r="C4" s="1049" t="s">
        <v>198</v>
      </c>
      <c r="D4" s="1049"/>
      <c r="E4" s="1049"/>
      <c r="F4" s="1049"/>
      <c r="G4" s="1049"/>
      <c r="H4" s="1049"/>
      <c r="I4" s="1049"/>
      <c r="J4" s="1049"/>
      <c r="K4" s="1049"/>
      <c r="L4" s="1049"/>
      <c r="M4" s="1049"/>
      <c r="N4" s="1049"/>
      <c r="O4" s="1049"/>
      <c r="P4" s="1049"/>
      <c r="Q4" s="1049"/>
      <c r="R4" s="1049"/>
      <c r="S4" s="1049"/>
      <c r="T4" s="1049"/>
      <c r="U4" s="1049"/>
      <c r="V4" s="1049"/>
      <c r="W4" s="1049"/>
      <c r="X4" s="1049"/>
      <c r="Y4" s="1049"/>
      <c r="Z4" s="1049"/>
      <c r="AA4" s="1049"/>
      <c r="AB4" s="1049"/>
      <c r="AC4" s="1049"/>
      <c r="AD4" s="1049"/>
      <c r="AE4" s="1049"/>
      <c r="AF4" s="1049"/>
      <c r="AG4" s="1049"/>
      <c r="AH4" s="1049"/>
      <c r="AI4" s="1049"/>
      <c r="AJ4" s="1049"/>
      <c r="AK4" s="1049"/>
      <c r="AL4" s="1049"/>
      <c r="AM4" s="1049"/>
      <c r="AN4" s="1049"/>
      <c r="AO4" s="1049"/>
      <c r="AP4" s="1049"/>
      <c r="AQ4" s="0"/>
    </row>
    <row r="5" ht="12.75" customHeight="1">
      <c r="C5" s="67"/>
      <c r="D5" s="67"/>
      <c r="E5" s="67"/>
    </row>
    <row r="6" ht="18" customHeight="1">
      <c r="B6" s="68"/>
      <c r="C6" s="68" t="s">
        <v>7</v>
      </c>
      <c r="D6" s="69"/>
      <c r="E6" s="69"/>
      <c r="F6" s="69"/>
      <c r="H6" s="1050" t="s">
        <v>200</v>
      </c>
      <c r="I6" s="1050"/>
      <c r="J6" s="1050"/>
      <c r="K6" s="1050"/>
      <c r="L6" s="1050"/>
      <c r="M6" s="1050"/>
      <c r="N6" s="1050"/>
      <c r="O6" s="1050"/>
      <c r="P6" s="1050"/>
      <c r="Q6" s="1050"/>
      <c r="R6" s="1050"/>
      <c r="S6" s="1050"/>
      <c r="T6" s="1050"/>
      <c r="U6" s="1050"/>
      <c r="Z6" s="1050" t="s">
        <v>201</v>
      </c>
      <c r="AA6" s="1050"/>
      <c r="AB6" s="1050"/>
      <c r="AC6" s="1050"/>
      <c r="AD6" s="1050"/>
      <c r="AE6" s="1050"/>
      <c r="AF6" s="1050"/>
      <c r="AG6" s="1050"/>
      <c r="AH6" s="1050"/>
      <c r="AI6" s="1050"/>
      <c r="AJ6" s="1050"/>
      <c r="AK6" s="1050"/>
      <c r="AL6" s="1050"/>
      <c r="AM6" s="1050"/>
    </row>
    <row r="7" ht="15" customHeight="1">
      <c r="D7" s="93"/>
      <c r="E7" s="71"/>
      <c r="F7" s="71"/>
      <c r="H7" s="1051" t="s">
        <v>0</v>
      </c>
      <c r="I7" s="1051"/>
      <c r="J7" s="1051" t="s">
        <v>1</v>
      </c>
      <c r="K7" s="1051"/>
      <c r="L7" s="1051" t="s">
        <v>2</v>
      </c>
      <c r="M7" s="1051"/>
      <c r="N7" s="1051" t="s">
        <v>3</v>
      </c>
      <c r="O7" s="1051"/>
      <c r="P7" s="1051" t="s">
        <v>4</v>
      </c>
      <c r="Q7" s="1051"/>
      <c r="R7" s="1051" t="s">
        <v>5</v>
      </c>
      <c r="S7" s="1051"/>
      <c r="T7" s="1051" t="s">
        <v>6</v>
      </c>
      <c r="U7" s="1051"/>
      <c r="Z7" s="1051" t="s">
        <v>0</v>
      </c>
      <c r="AA7" s="1051"/>
      <c r="AB7" s="1051" t="s">
        <v>1</v>
      </c>
      <c r="AC7" s="1051"/>
      <c r="AD7" s="1051" t="s">
        <v>2</v>
      </c>
      <c r="AE7" s="1051"/>
      <c r="AF7" s="1051" t="s">
        <v>3</v>
      </c>
      <c r="AG7" s="1051"/>
      <c r="AH7" s="1051" t="s">
        <v>4</v>
      </c>
      <c r="AI7" s="1051"/>
      <c r="AJ7" s="1051" t="s">
        <v>5</v>
      </c>
      <c r="AK7" s="1051"/>
      <c r="AL7" s="1051" t="s">
        <v>6</v>
      </c>
      <c r="AM7" s="1051"/>
    </row>
    <row r="8" ht="15" customHeight="1">
      <c r="D8" s="175"/>
      <c r="E8" s="71"/>
      <c r="F8" s="71"/>
      <c r="G8" s="71"/>
      <c r="H8" s="1052"/>
      <c r="I8" s="1052"/>
      <c r="J8" s="1053"/>
      <c r="K8" s="1053"/>
      <c r="L8" s="1053"/>
      <c r="M8" s="1053"/>
      <c r="N8" s="1053"/>
      <c r="O8" s="1053"/>
      <c r="P8" s="1053"/>
      <c r="Q8" s="1053"/>
      <c r="R8" s="1053">
        <v>1</v>
      </c>
      <c r="S8" s="1053"/>
      <c r="T8" s="1054">
        <v>2</v>
      </c>
      <c r="U8" s="1054"/>
      <c r="Z8" s="1052"/>
      <c r="AA8" s="1052"/>
      <c r="AB8" s="1053"/>
      <c r="AC8" s="1053"/>
      <c r="AD8" s="1053"/>
      <c r="AE8" s="1053"/>
      <c r="AF8" s="1053"/>
      <c r="AG8" s="1053"/>
      <c r="AH8" s="1053">
        <v>1</v>
      </c>
      <c r="AI8" s="1053"/>
      <c r="AJ8" s="1053">
        <v>2</v>
      </c>
      <c r="AK8" s="1053"/>
      <c r="AL8" s="1054">
        <v>3</v>
      </c>
      <c r="AM8" s="1054"/>
    </row>
    <row r="9" ht="15" customHeight="1">
      <c r="D9" s="175"/>
      <c r="H9" s="1055">
        <v>3</v>
      </c>
      <c r="I9" s="1055"/>
      <c r="J9" s="1056">
        <v>4</v>
      </c>
      <c r="K9" s="1056"/>
      <c r="L9" s="1056">
        <v>5</v>
      </c>
      <c r="M9" s="1056"/>
      <c r="N9" s="1056">
        <v>6</v>
      </c>
      <c r="O9" s="1056"/>
      <c r="P9" s="1056">
        <v>7</v>
      </c>
      <c r="Q9" s="1056"/>
      <c r="R9" s="1056">
        <v>8</v>
      </c>
      <c r="S9" s="1056"/>
      <c r="T9" s="1057">
        <v>9</v>
      </c>
      <c r="U9" s="1057"/>
      <c r="Z9" s="1055">
        <v>4</v>
      </c>
      <c r="AA9" s="1055"/>
      <c r="AB9" s="1056">
        <v>5</v>
      </c>
      <c r="AC9" s="1056"/>
      <c r="AD9" s="1056">
        <v>6</v>
      </c>
      <c r="AE9" s="1056"/>
      <c r="AF9" s="1056">
        <v>7</v>
      </c>
      <c r="AG9" s="1056"/>
      <c r="AH9" s="1056">
        <v>8</v>
      </c>
      <c r="AI9" s="1056"/>
      <c r="AJ9" s="1056">
        <v>9</v>
      </c>
      <c r="AK9" s="1056"/>
      <c r="AL9" s="1057">
        <v>10</v>
      </c>
      <c r="AM9" s="1057"/>
    </row>
    <row r="10" ht="15" customHeight="1">
      <c r="H10" s="1058">
        <v>10</v>
      </c>
      <c r="I10" s="1058"/>
      <c r="J10" s="1059">
        <v>11</v>
      </c>
      <c r="K10" s="1059"/>
      <c r="L10" s="1059">
        <v>12</v>
      </c>
      <c r="M10" s="1059"/>
      <c r="N10" s="1059">
        <v>13</v>
      </c>
      <c r="O10" s="1059"/>
      <c r="P10" s="1059">
        <v>14</v>
      </c>
      <c r="Q10" s="1059"/>
      <c r="R10" s="1059">
        <v>15</v>
      </c>
      <c r="S10" s="1059"/>
      <c r="T10" s="1060">
        <v>16</v>
      </c>
      <c r="U10" s="1060"/>
      <c r="Z10" s="1058">
        <v>11</v>
      </c>
      <c r="AA10" s="1058"/>
      <c r="AB10" s="1059">
        <v>12</v>
      </c>
      <c r="AC10" s="1059"/>
      <c r="AD10" s="1059">
        <v>13</v>
      </c>
      <c r="AE10" s="1059"/>
      <c r="AF10" s="1059">
        <v>14</v>
      </c>
      <c r="AG10" s="1059"/>
      <c r="AH10" s="1059">
        <v>15</v>
      </c>
      <c r="AI10" s="1059"/>
      <c r="AJ10" s="1059">
        <v>16</v>
      </c>
      <c r="AK10" s="1059"/>
      <c r="AL10" s="1060">
        <v>17</v>
      </c>
      <c r="AM10" s="1060"/>
    </row>
    <row r="11" ht="15" customHeight="1">
      <c r="H11" s="1055">
        <v>17</v>
      </c>
      <c r="I11" s="1055"/>
      <c r="J11" s="1056">
        <v>18</v>
      </c>
      <c r="K11" s="1056"/>
      <c r="L11" s="1056">
        <v>19</v>
      </c>
      <c r="M11" s="1056"/>
      <c r="N11" s="1056">
        <v>20</v>
      </c>
      <c r="O11" s="1056"/>
      <c r="P11" s="1056">
        <v>21</v>
      </c>
      <c r="Q11" s="1056"/>
      <c r="R11" s="1056">
        <v>22</v>
      </c>
      <c r="S11" s="1056"/>
      <c r="T11" s="1057">
        <v>23</v>
      </c>
      <c r="U11" s="1057"/>
      <c r="Z11" s="1055">
        <v>18</v>
      </c>
      <c r="AA11" s="1055"/>
      <c r="AB11" s="1056">
        <v>19</v>
      </c>
      <c r="AC11" s="1056"/>
      <c r="AD11" s="1056">
        <v>20</v>
      </c>
      <c r="AE11" s="1056"/>
      <c r="AF11" s="1056">
        <v>21</v>
      </c>
      <c r="AG11" s="1056"/>
      <c r="AH11" s="1056">
        <v>22</v>
      </c>
      <c r="AI11" s="1056"/>
      <c r="AJ11" s="1056">
        <v>23</v>
      </c>
      <c r="AK11" s="1056"/>
      <c r="AL11" s="1057">
        <v>24</v>
      </c>
      <c r="AM11" s="1057"/>
      <c r="AN11" t="s">
        <v>27</v>
      </c>
    </row>
    <row r="12" ht="15" customHeight="1">
      <c r="A12" s="68"/>
      <c r="H12" s="1058">
        <v>24</v>
      </c>
      <c r="I12" s="1058"/>
      <c r="J12" s="1059">
        <v>25</v>
      </c>
      <c r="K12" s="1059"/>
      <c r="L12" s="1059">
        <v>26</v>
      </c>
      <c r="M12" s="1059"/>
      <c r="N12" s="1059">
        <v>27</v>
      </c>
      <c r="O12" s="1059"/>
      <c r="P12" s="1059">
        <v>28</v>
      </c>
      <c r="Q12" s="1059"/>
      <c r="R12" s="1059">
        <v>29</v>
      </c>
      <c r="S12" s="1059"/>
      <c r="T12" s="1060">
        <v>30</v>
      </c>
      <c r="U12" s="1060"/>
      <c r="Z12" s="1058">
        <v>25</v>
      </c>
      <c r="AA12" s="1058"/>
      <c r="AB12" s="1059">
        <v>26</v>
      </c>
      <c r="AC12" s="1059"/>
      <c r="AD12" s="1059">
        <v>27</v>
      </c>
      <c r="AE12" s="1059"/>
      <c r="AF12" s="1059">
        <v>28</v>
      </c>
      <c r="AG12" s="1059"/>
      <c r="AH12" s="1059">
        <v>29</v>
      </c>
      <c r="AI12" s="1059"/>
      <c r="AJ12" s="1059">
        <v>30</v>
      </c>
      <c r="AK12" s="1059"/>
      <c r="AL12" s="1060">
        <v>31</v>
      </c>
      <c r="AM12" s="1060"/>
    </row>
    <row r="13" ht="15" customHeight="1">
      <c r="C13" s="72"/>
      <c r="D13" s="73"/>
      <c r="E13" s="73"/>
      <c r="F13" s="73"/>
      <c r="G13" s="73"/>
      <c r="H13" s="1061" t="n">
        <v>31</v>
      </c>
      <c r="I13" s="1061"/>
      <c r="J13" s="1062" t="s">
        <v>27</v>
      </c>
      <c r="K13" s="1062"/>
      <c r="L13" s="1062" t="s">
        <v>27</v>
      </c>
      <c r="M13" s="1062"/>
      <c r="N13" s="1062" t="s">
        <v>27</v>
      </c>
      <c r="O13" s="1062"/>
      <c r="P13" s="1062" t="s">
        <v>27</v>
      </c>
      <c r="Q13" s="1062"/>
      <c r="R13" s="1062" t="s">
        <v>27</v>
      </c>
      <c r="S13" s="1062"/>
      <c r="T13" s="1063" t="s">
        <v>27</v>
      </c>
      <c r="U13" s="1063"/>
      <c r="Z13" s="1061" t="s">
        <v>27</v>
      </c>
      <c r="AA13" s="1061"/>
      <c r="AB13" s="1062" t="s">
        <v>27</v>
      </c>
      <c r="AC13" s="1062"/>
      <c r="AD13" s="1062" t="s">
        <v>27</v>
      </c>
      <c r="AE13" s="1062"/>
      <c r="AF13" s="1062" t="s">
        <v>27</v>
      </c>
      <c r="AG13" s="1062"/>
      <c r="AH13" s="1062" t="s">
        <v>27</v>
      </c>
      <c r="AI13" s="1062"/>
      <c r="AJ13" s="1062" t="s">
        <v>27</v>
      </c>
      <c r="AK13" s="1062"/>
      <c r="AL13" s="1063" t="s">
        <v>27</v>
      </c>
      <c r="AM13" s="1063"/>
    </row>
    <row r="14" ht="15" customHeight="1">
      <c r="A14" s="68"/>
      <c r="C14" s="68" t="s">
        <v>8</v>
      </c>
      <c r="F14" s="64"/>
    </row>
    <row r="15" ht="15" customHeight="1">
      <c r="D15" s="70"/>
      <c r="F15" s="64"/>
      <c r="P15" s="1064"/>
      <c r="Q15" s="1064"/>
      <c r="R15" s="1064"/>
      <c r="S15" s="1064"/>
      <c r="T15" s="1064"/>
      <c r="U15" s="1064"/>
      <c r="V15" s="1064"/>
      <c r="W15" s="0"/>
      <c r="X15" s="1064"/>
      <c r="Y15" s="1064"/>
      <c r="Z15" s="1064"/>
      <c r="AA15" s="1064"/>
      <c r="AB15" s="1064"/>
      <c r="AC15" s="1064"/>
      <c r="AD15" s="1064"/>
      <c r="AE15" s="0"/>
      <c r="AF15" s="1064"/>
      <c r="AG15" s="1064"/>
      <c r="AH15" s="1064"/>
      <c r="AI15" s="1064"/>
      <c r="AJ15" s="1064"/>
      <c r="AK15" s="1064"/>
      <c r="AL15" s="1064"/>
      <c r="AM15" s="0"/>
      <c r="AN15" s="0"/>
    </row>
    <row r="16" ht="15" customHeight="1">
      <c r="C16" s="70"/>
      <c r="D16" s="73"/>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2023</v>
      </c>
      <c r="S21" s="993"/>
      <c r="T21" s="993"/>
      <c r="U21" s="993"/>
      <c r="V21" s="995">
        <v>2024</v>
      </c>
      <c r="W21" s="995"/>
      <c r="X21" s="995"/>
      <c r="Y21" s="995"/>
      <c r="Z21" s="995"/>
      <c r="AA21" s="995"/>
      <c r="AB21" s="995"/>
      <c r="AC21" s="995"/>
      <c r="AD21" s="995"/>
      <c r="AE21" s="995"/>
      <c r="AF21" s="995"/>
      <c r="AG21" s="995"/>
      <c r="AH21" s="995">
        <v>2025</v>
      </c>
      <c r="AI21" s="995"/>
      <c r="AJ21" s="995"/>
      <c r="AK21" s="995"/>
      <c r="AL21" s="995"/>
      <c r="AM21" s="995"/>
      <c r="AN21" s="995"/>
      <c r="AO21" s="995"/>
    </row>
    <row r="22" s="5" customFormat="1" ht="30" customHeight="1">
      <c r="B22" s="76"/>
      <c r="C22" s="77" t="s">
        <v>71</v>
      </c>
      <c r="D22" s="77" t="s">
        <v>21</v>
      </c>
      <c r="E22" s="177" t="s">
        <v>95</v>
      </c>
      <c r="F22" s="10" t="s">
        <v>60</v>
      </c>
      <c r="G22" s="10" t="s">
        <v>61</v>
      </c>
      <c r="H22" s="1065" t="s">
        <v>34</v>
      </c>
      <c r="I22" s="1065"/>
      <c r="J22" s="1065"/>
      <c r="K22" s="1065"/>
      <c r="L22" s="1065" t="s">
        <v>62</v>
      </c>
      <c r="M22" s="1065"/>
      <c r="N22" s="1065"/>
      <c r="O22" s="1065"/>
      <c r="R22" s="617" t="s">
        <v>190</v>
      </c>
      <c r="S22" s="618" t="s">
        <v>191</v>
      </c>
      <c r="T22" s="618" t="s">
        <v>192</v>
      </c>
      <c r="U22" s="1015" t="s">
        <v>194</v>
      </c>
      <c r="V22" s="618" t="s">
        <v>195</v>
      </c>
      <c r="W22" s="618" t="s">
        <v>196</v>
      </c>
      <c r="X22" s="618" t="s">
        <v>180</v>
      </c>
      <c r="Y22" s="618" t="s">
        <v>183</v>
      </c>
      <c r="Z22" s="618" t="s">
        <v>185</v>
      </c>
      <c r="AA22" s="618" t="s">
        <v>187</v>
      </c>
      <c r="AB22" s="618" t="s">
        <v>188</v>
      </c>
      <c r="AC22" s="618" t="s">
        <v>189</v>
      </c>
      <c r="AD22" s="618" t="s">
        <v>190</v>
      </c>
      <c r="AE22" s="618" t="s">
        <v>191</v>
      </c>
      <c r="AF22" s="618" t="s">
        <v>192</v>
      </c>
      <c r="AG22" s="1015" t="s">
        <v>194</v>
      </c>
      <c r="AH22" s="618" t="s">
        <v>195</v>
      </c>
      <c r="AI22" s="618" t="s">
        <v>196</v>
      </c>
      <c r="AJ22" s="618" t="s">
        <v>180</v>
      </c>
      <c r="AK22" s="618" t="s">
        <v>183</v>
      </c>
      <c r="AL22" s="618" t="s">
        <v>185</v>
      </c>
      <c r="AM22" s="618" t="s">
        <v>187</v>
      </c>
      <c r="AN22" s="618" t="s">
        <v>188</v>
      </c>
      <c r="AO22" s="1015" t="s">
        <v>189</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60180</v>
      </c>
      <c r="D23" s="1016" t="s">
        <v>175</v>
      </c>
      <c r="E23" s="1016" t="s">
        <v>202</v>
      </c>
      <c r="F23" s="1017" t="s">
        <v>203</v>
      </c>
      <c r="G23" s="1016" t="s">
        <v>204</v>
      </c>
      <c r="H23" s="1018" t="s">
        <v>205</v>
      </c>
      <c r="I23" s="1018"/>
      <c r="J23" s="1018"/>
      <c r="K23" s="1018"/>
      <c r="L23" s="1018" t="s">
        <v>206</v>
      </c>
      <c r="M23" s="1018"/>
      <c r="N23" s="1018"/>
      <c r="O23" s="1018"/>
      <c r="P23" s="80"/>
      <c r="Q23" s="4"/>
      <c r="R23" s="1066" t="s">
        <v>248</v>
      </c>
      <c r="S23" s="1067" t="s">
        <v>248</v>
      </c>
      <c r="T23" s="1067" t="s">
        <v>248</v>
      </c>
      <c r="U23" s="1067" t="s">
        <v>248</v>
      </c>
      <c r="V23" s="1067" t="s">
        <v>248</v>
      </c>
      <c r="W23" s="1067" t="s">
        <v>248</v>
      </c>
      <c r="X23" s="1067" t="s">
        <v>248</v>
      </c>
      <c r="Y23" s="1067" t="s">
        <v>248</v>
      </c>
      <c r="Z23" s="1067" t="s">
        <v>248</v>
      </c>
      <c r="AA23" s="1067" t="s">
        <v>248</v>
      </c>
      <c r="AB23" s="1067" t="s">
        <v>248</v>
      </c>
      <c r="AC23" s="1067" t="s">
        <v>248</v>
      </c>
      <c r="AD23" s="1067" t="s">
        <v>248</v>
      </c>
      <c r="AE23" s="1067" t="s">
        <v>248</v>
      </c>
      <c r="AF23" s="1067" t="s">
        <v>248</v>
      </c>
      <c r="AG23" s="1067" t="s">
        <v>248</v>
      </c>
      <c r="AH23" s="1067" t="s">
        <v>248</v>
      </c>
      <c r="AI23" s="1067" t="s">
        <v>248</v>
      </c>
      <c r="AJ23" s="1067" t="s">
        <v>248</v>
      </c>
      <c r="AK23" s="1067" t="s">
        <v>248</v>
      </c>
      <c r="AL23" s="1067" t="s">
        <v>248</v>
      </c>
      <c r="AM23" s="1067" t="s">
        <v>248</v>
      </c>
      <c r="AN23" s="1067" t="s">
        <v>248</v>
      </c>
      <c r="AO23" s="1068" t="s">
        <v>248</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2">
        <v>27821</v>
      </c>
      <c r="D24" s="1022" t="s">
        <v>208</v>
      </c>
      <c r="E24" s="1022" t="s">
        <v>202</v>
      </c>
      <c r="F24" s="1023" t="s">
        <v>209</v>
      </c>
      <c r="G24" s="1022" t="s">
        <v>210</v>
      </c>
      <c r="H24" s="1024" t="s">
        <v>211</v>
      </c>
      <c r="I24" s="1024"/>
      <c r="J24" s="1024"/>
      <c r="K24" s="1024"/>
      <c r="L24" s="1024" t="s">
        <v>212</v>
      </c>
      <c r="M24" s="1024"/>
      <c r="N24" s="1024"/>
      <c r="O24" s="1024"/>
      <c r="P24" s="80"/>
      <c r="Q24" s="4"/>
      <c r="R24" s="1069" t="s">
        <v>249</v>
      </c>
      <c r="S24" s="1070" t="s">
        <v>249</v>
      </c>
      <c r="T24" s="1070" t="s">
        <v>249</v>
      </c>
      <c r="U24" s="1070" t="s">
        <v>249</v>
      </c>
      <c r="V24" s="1070" t="s">
        <v>249</v>
      </c>
      <c r="W24" s="1070" t="s">
        <v>249</v>
      </c>
      <c r="X24" s="1070" t="s">
        <v>249</v>
      </c>
      <c r="Y24" s="1070" t="s">
        <v>249</v>
      </c>
      <c r="Z24" s="1070" t="s">
        <v>249</v>
      </c>
      <c r="AA24" s="1070" t="s">
        <v>249</v>
      </c>
      <c r="AB24" s="1070" t="s">
        <v>249</v>
      </c>
      <c r="AC24" s="1070" t="s">
        <v>249</v>
      </c>
      <c r="AD24" s="1070" t="s">
        <v>249</v>
      </c>
      <c r="AE24" s="1070" t="s">
        <v>249</v>
      </c>
      <c r="AF24" s="1070" t="s">
        <v>249</v>
      </c>
      <c r="AG24" s="1070" t="s">
        <v>249</v>
      </c>
      <c r="AH24" s="1070" t="s">
        <v>249</v>
      </c>
      <c r="AI24" s="1070" t="s">
        <v>249</v>
      </c>
      <c r="AJ24" s="1070" t="s">
        <v>249</v>
      </c>
      <c r="AK24" s="1070" t="s">
        <v>249</v>
      </c>
      <c r="AL24" s="1070" t="s">
        <v>249</v>
      </c>
      <c r="AM24" s="1070" t="s">
        <v>249</v>
      </c>
      <c r="AN24" s="1070" t="s">
        <v>249</v>
      </c>
      <c r="AO24" s="1071" t="s">
        <v>249</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31502</v>
      </c>
      <c r="D25" s="1016" t="s">
        <v>213</v>
      </c>
      <c r="E25" s="1016" t="s">
        <v>202</v>
      </c>
      <c r="F25" s="1017" t="s">
        <v>214</v>
      </c>
      <c r="G25" s="1016" t="s">
        <v>215</v>
      </c>
      <c r="H25" s="1018" t="s">
        <v>216</v>
      </c>
      <c r="I25" s="1018"/>
      <c r="J25" s="1018"/>
      <c r="K25" s="1018"/>
      <c r="L25" s="1018" t="s">
        <v>217</v>
      </c>
      <c r="M25" s="1018"/>
      <c r="N25" s="1018"/>
      <c r="O25" s="1018"/>
      <c r="P25" s="80"/>
      <c r="Q25" s="4"/>
      <c r="R25" s="1066" t="s">
        <v>249</v>
      </c>
      <c r="S25" s="1067" t="s">
        <v>249</v>
      </c>
      <c r="T25" s="1067" t="s">
        <v>249</v>
      </c>
      <c r="U25" s="1067" t="s">
        <v>249</v>
      </c>
      <c r="V25" s="1067" t="s">
        <v>249</v>
      </c>
      <c r="W25" s="1067" t="s">
        <v>249</v>
      </c>
      <c r="X25" s="1067" t="s">
        <v>249</v>
      </c>
      <c r="Y25" s="1067" t="s">
        <v>249</v>
      </c>
      <c r="Z25" s="1067" t="s">
        <v>249</v>
      </c>
      <c r="AA25" s="1067" t="s">
        <v>249</v>
      </c>
      <c r="AB25" s="1067" t="s">
        <v>249</v>
      </c>
      <c r="AC25" s="1067" t="s">
        <v>249</v>
      </c>
      <c r="AD25" s="1067" t="s">
        <v>249</v>
      </c>
      <c r="AE25" s="1067" t="s">
        <v>249</v>
      </c>
      <c r="AF25" s="1067" t="s">
        <v>249</v>
      </c>
      <c r="AG25" s="1067" t="s">
        <v>249</v>
      </c>
      <c r="AH25" s="1067" t="s">
        <v>249</v>
      </c>
      <c r="AI25" s="1067" t="s">
        <v>249</v>
      </c>
      <c r="AJ25" s="1067" t="s">
        <v>249</v>
      </c>
      <c r="AK25" s="1067" t="s">
        <v>249</v>
      </c>
      <c r="AL25" s="1067" t="s">
        <v>249</v>
      </c>
      <c r="AM25" s="1067" t="s">
        <v>249</v>
      </c>
      <c r="AN25" s="1067" t="s">
        <v>249</v>
      </c>
      <c r="AO25" s="1068" t="s">
        <v>249</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2">
        <v>33288</v>
      </c>
      <c r="D26" s="1022" t="s">
        <v>218</v>
      </c>
      <c r="E26" s="1022" t="s">
        <v>202</v>
      </c>
      <c r="F26" s="1023" t="s">
        <v>209</v>
      </c>
      <c r="G26" s="1022" t="s">
        <v>219</v>
      </c>
      <c r="H26" s="1024" t="s">
        <v>220</v>
      </c>
      <c r="I26" s="1024"/>
      <c r="J26" s="1024"/>
      <c r="K26" s="1024"/>
      <c r="L26" s="1024" t="s">
        <v>221</v>
      </c>
      <c r="M26" s="1024"/>
      <c r="N26" s="1024"/>
      <c r="O26" s="1024"/>
      <c r="P26" s="80"/>
      <c r="Q26" s="4"/>
      <c r="R26" s="1069" t="s">
        <v>248</v>
      </c>
      <c r="S26" s="1070" t="s">
        <v>248</v>
      </c>
      <c r="T26" s="1070" t="s">
        <v>248</v>
      </c>
      <c r="U26" s="1070" t="s">
        <v>248</v>
      </c>
      <c r="V26" s="1070" t="s">
        <v>248</v>
      </c>
      <c r="W26" s="1070" t="s">
        <v>248</v>
      </c>
      <c r="X26" s="1070" t="s">
        <v>248</v>
      </c>
      <c r="Y26" s="1070" t="s">
        <v>248</v>
      </c>
      <c r="Z26" s="1070" t="s">
        <v>248</v>
      </c>
      <c r="AA26" s="1070" t="s">
        <v>248</v>
      </c>
      <c r="AB26" s="1070" t="s">
        <v>248</v>
      </c>
      <c r="AC26" s="1070" t="s">
        <v>248</v>
      </c>
      <c r="AD26" s="1070" t="s">
        <v>248</v>
      </c>
      <c r="AE26" s="1070" t="s">
        <v>248</v>
      </c>
      <c r="AF26" s="1070" t="s">
        <v>248</v>
      </c>
      <c r="AG26" s="1070" t="s">
        <v>248</v>
      </c>
      <c r="AH26" s="1070" t="s">
        <v>248</v>
      </c>
      <c r="AI26" s="1070" t="s">
        <v>248</v>
      </c>
      <c r="AJ26" s="1070" t="s">
        <v>248</v>
      </c>
      <c r="AK26" s="1070" t="s">
        <v>248</v>
      </c>
      <c r="AL26" s="1070" t="s">
        <v>248</v>
      </c>
      <c r="AM26" s="1070" t="s">
        <v>248</v>
      </c>
      <c r="AN26" s="1070" t="s">
        <v>248</v>
      </c>
      <c r="AO26" s="1071" t="s">
        <v>248</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42440</v>
      </c>
      <c r="D27" s="1016" t="s">
        <v>222</v>
      </c>
      <c r="E27" s="1016" t="s">
        <v>223</v>
      </c>
      <c r="F27" s="1017" t="s">
        <v>224</v>
      </c>
      <c r="G27" s="1016" t="s">
        <v>225</v>
      </c>
      <c r="H27" s="1018" t="s">
        <v>226</v>
      </c>
      <c r="I27" s="1018"/>
      <c r="J27" s="1018"/>
      <c r="K27" s="1018"/>
      <c r="L27" s="1018" t="s">
        <v>227</v>
      </c>
      <c r="M27" s="1018"/>
      <c r="N27" s="1018"/>
      <c r="O27" s="1018"/>
      <c r="P27" s="80"/>
      <c r="Q27" s="4"/>
      <c r="R27" s="1066" t="s">
        <v>249</v>
      </c>
      <c r="S27" s="1067" t="s">
        <v>249</v>
      </c>
      <c r="T27" s="1067" t="s">
        <v>249</v>
      </c>
      <c r="U27" s="1067" t="s">
        <v>249</v>
      </c>
      <c r="V27" s="1067" t="s">
        <v>249</v>
      </c>
      <c r="W27" s="1067" t="s">
        <v>249</v>
      </c>
      <c r="X27" s="1067" t="s">
        <v>249</v>
      </c>
      <c r="Y27" s="1067" t="s">
        <v>249</v>
      </c>
      <c r="Z27" s="1067" t="s">
        <v>249</v>
      </c>
      <c r="AA27" s="1067" t="s">
        <v>249</v>
      </c>
      <c r="AB27" s="1067" t="s">
        <v>249</v>
      </c>
      <c r="AC27" s="1067" t="s">
        <v>249</v>
      </c>
      <c r="AD27" s="1067" t="s">
        <v>249</v>
      </c>
      <c r="AE27" s="1067" t="s">
        <v>249</v>
      </c>
      <c r="AF27" s="1067" t="s">
        <v>249</v>
      </c>
      <c r="AG27" s="1067" t="s">
        <v>249</v>
      </c>
      <c r="AH27" s="1067" t="s">
        <v>249</v>
      </c>
      <c r="AI27" s="1067" t="s">
        <v>249</v>
      </c>
      <c r="AJ27" s="1067" t="s">
        <v>249</v>
      </c>
      <c r="AK27" s="1067" t="s">
        <v>249</v>
      </c>
      <c r="AL27" s="1067" t="s">
        <v>249</v>
      </c>
      <c r="AM27" s="1067" t="s">
        <v>249</v>
      </c>
      <c r="AN27" s="1067" t="s">
        <v>249</v>
      </c>
      <c r="AO27" s="1068" t="s">
        <v>249</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2">
        <v>58062</v>
      </c>
      <c r="D28" s="1022" t="s">
        <v>228</v>
      </c>
      <c r="E28" s="1022" t="s">
        <v>229</v>
      </c>
      <c r="F28" s="1022" t="s">
        <v>230</v>
      </c>
      <c r="G28" s="1022" t="s">
        <v>231</v>
      </c>
      <c r="H28" s="1024" t="s">
        <v>232</v>
      </c>
      <c r="I28" s="1024"/>
      <c r="J28" s="1024"/>
      <c r="K28" s="1024"/>
      <c r="L28" s="1024" t="s">
        <v>233</v>
      </c>
      <c r="M28" s="1024"/>
      <c r="N28" s="1024"/>
      <c r="O28" s="1024"/>
      <c r="P28" s="80"/>
      <c r="Q28" s="4"/>
      <c r="R28" s="1069" t="s">
        <v>250</v>
      </c>
      <c r="S28" s="1070" t="s">
        <v>250</v>
      </c>
      <c r="T28" s="1070" t="s">
        <v>250</v>
      </c>
      <c r="U28" s="1070" t="s">
        <v>250</v>
      </c>
      <c r="V28" s="1070" t="s">
        <v>250</v>
      </c>
      <c r="W28" s="1070" t="s">
        <v>250</v>
      </c>
      <c r="X28" s="1070" t="s">
        <v>250</v>
      </c>
      <c r="Y28" s="1070" t="s">
        <v>250</v>
      </c>
      <c r="Z28" s="1070" t="s">
        <v>250</v>
      </c>
      <c r="AA28" s="1070" t="s">
        <v>250</v>
      </c>
      <c r="AB28" s="1070" t="s">
        <v>250</v>
      </c>
      <c r="AC28" s="1070" t="s">
        <v>250</v>
      </c>
      <c r="AD28" s="1070" t="s">
        <v>250</v>
      </c>
      <c r="AE28" s="1070" t="s">
        <v>250</v>
      </c>
      <c r="AF28" s="1070" t="s">
        <v>250</v>
      </c>
      <c r="AG28" s="1070" t="s">
        <v>250</v>
      </c>
      <c r="AH28" s="1070" t="s">
        <v>250</v>
      </c>
      <c r="AI28" s="1070" t="s">
        <v>250</v>
      </c>
      <c r="AJ28" s="1070" t="s">
        <v>250</v>
      </c>
      <c r="AK28" s="1070" t="s">
        <v>250</v>
      </c>
      <c r="AL28" s="1070" t="s">
        <v>250</v>
      </c>
      <c r="AM28" s="1070" t="s">
        <v>250</v>
      </c>
      <c r="AN28" s="1070" t="s">
        <v>250</v>
      </c>
      <c r="AO28" s="1071" t="s">
        <v>250</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81"/>
      <c r="D29" s="181"/>
      <c r="E29" s="181"/>
      <c r="F29" s="201"/>
      <c r="G29" s="181"/>
      <c r="H29" s="997">
        <v>708</v>
      </c>
      <c r="I29" s="997"/>
      <c r="J29" s="997"/>
      <c r="K29" s="997"/>
      <c r="L29" s="1072"/>
      <c r="M29" s="1072"/>
      <c r="N29" s="1072"/>
      <c r="O29" s="1072"/>
      <c r="P29" s="80"/>
      <c r="Q29" s="4"/>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81"/>
      <c r="D30" s="181"/>
      <c r="E30" s="181"/>
      <c r="F30" s="201"/>
      <c r="G30" s="181"/>
      <c r="H30" s="996"/>
      <c r="I30" s="996"/>
      <c r="J30" s="996"/>
      <c r="K30" s="996"/>
      <c r="L30" s="1072"/>
      <c r="M30" s="1072"/>
      <c r="N30" s="1072"/>
      <c r="O30" s="1072"/>
      <c r="P30" s="80"/>
      <c r="Q30" s="4"/>
      <c r="R30" s="182"/>
      <c r="S30" s="182"/>
      <c r="T30" s="182"/>
      <c r="U30" s="182"/>
      <c r="V30" s="182"/>
      <c r="W30" s="182"/>
      <c r="X30" s="1028" t="s">
        <v>234</v>
      </c>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996"/>
      <c r="I31" s="996"/>
      <c r="J31" s="996"/>
      <c r="K31" s="996"/>
      <c r="L31" s="1072"/>
      <c r="M31" s="1072"/>
      <c r="N31" s="1072"/>
      <c r="O31" s="1072"/>
      <c r="P31" s="80"/>
      <c r="Q31" s="4"/>
      <c r="R31" s="182"/>
      <c r="S31" s="182"/>
      <c r="T31" s="182"/>
      <c r="U31" s="182"/>
      <c r="V31" s="182"/>
      <c r="W31" s="182"/>
      <c r="X31" s="182"/>
      <c r="Y31" s="182"/>
      <c r="Z31" s="182"/>
      <c r="AA31" s="1073" t="s">
        <v>248</v>
      </c>
      <c r="AB31" s="1028" t="s">
        <v>251</v>
      </c>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996"/>
      <c r="I32" s="996"/>
      <c r="J32" s="996"/>
      <c r="K32" s="996"/>
      <c r="L32" s="1072"/>
      <c r="M32" s="1072"/>
      <c r="N32" s="1072"/>
      <c r="O32" s="1072"/>
      <c r="P32" s="80"/>
      <c r="Q32" s="4"/>
      <c r="R32" s="182"/>
      <c r="S32" s="182"/>
      <c r="T32" s="182"/>
      <c r="U32" s="182"/>
      <c r="V32" s="182"/>
      <c r="W32" s="182"/>
      <c r="X32" s="182"/>
      <c r="Y32" s="182"/>
      <c r="Z32" s="182"/>
      <c r="AA32" s="1073" t="s">
        <v>252</v>
      </c>
      <c r="AB32" s="1028" t="s">
        <v>253</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996"/>
      <c r="I33" s="996"/>
      <c r="J33" s="996"/>
      <c r="K33" s="996"/>
      <c r="L33" s="1072"/>
      <c r="M33" s="1072"/>
      <c r="N33" s="1072"/>
      <c r="O33" s="1072"/>
      <c r="P33" s="80"/>
      <c r="Q33" s="4"/>
      <c r="R33" s="182"/>
      <c r="S33" s="182"/>
      <c r="T33" s="182"/>
      <c r="U33" s="182"/>
      <c r="V33" s="182"/>
      <c r="W33" s="182"/>
      <c r="X33" s="182"/>
      <c r="Y33" s="182"/>
      <c r="Z33" s="182"/>
      <c r="AA33" s="1074" t="s">
        <v>250</v>
      </c>
      <c r="AB33" s="1028" t="s">
        <v>254</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996"/>
      <c r="I34" s="996"/>
      <c r="J34" s="996"/>
      <c r="K34" s="996"/>
      <c r="L34" s="1072"/>
      <c r="M34" s="1072"/>
      <c r="N34" s="1072"/>
      <c r="O34" s="1072"/>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996"/>
      <c r="I35" s="996"/>
      <c r="J35" s="996"/>
      <c r="K35" s="996"/>
      <c r="L35" s="1072"/>
      <c r="M35" s="1072"/>
      <c r="N35" s="1072"/>
      <c r="O35" s="1072"/>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996"/>
      <c r="I36" s="996"/>
      <c r="J36" s="996"/>
      <c r="K36" s="996"/>
      <c r="L36" s="1072"/>
      <c r="M36" s="1072"/>
      <c r="N36" s="1072"/>
      <c r="O36" s="1072"/>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996"/>
      <c r="I37" s="996"/>
      <c r="J37" s="996"/>
      <c r="K37" s="996"/>
      <c r="L37" s="1072"/>
      <c r="M37" s="1072"/>
      <c r="N37" s="1072"/>
      <c r="O37" s="1072"/>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996"/>
      <c r="I38" s="996"/>
      <c r="J38" s="996"/>
      <c r="K38" s="996"/>
      <c r="L38" s="1072"/>
      <c r="M38" s="1072"/>
      <c r="N38" s="1072"/>
      <c r="O38" s="1072"/>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996"/>
      <c r="I39" s="996"/>
      <c r="J39" s="996"/>
      <c r="K39" s="996"/>
      <c r="L39" s="1072"/>
      <c r="M39" s="1072"/>
      <c r="N39" s="1072"/>
      <c r="O39" s="1072"/>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996"/>
      <c r="I40" s="996"/>
      <c r="J40" s="996"/>
      <c r="K40" s="996"/>
      <c r="L40" s="1072"/>
      <c r="M40" s="1072"/>
      <c r="N40" s="1072"/>
      <c r="O40" s="1072"/>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996"/>
      <c r="I41" s="996"/>
      <c r="J41" s="996"/>
      <c r="K41" s="996"/>
      <c r="L41" s="1072"/>
      <c r="M41" s="1072"/>
      <c r="N41" s="1072"/>
      <c r="O41" s="1072"/>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996"/>
      <c r="I42" s="996"/>
      <c r="J42" s="996"/>
      <c r="K42" s="996"/>
      <c r="L42" s="1072"/>
      <c r="M42" s="1072"/>
      <c r="N42" s="1072"/>
      <c r="O42" s="1072"/>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996"/>
      <c r="I43" s="996"/>
      <c r="J43" s="996"/>
      <c r="K43" s="996"/>
      <c r="L43" s="1072"/>
      <c r="M43" s="1072"/>
      <c r="N43" s="1072"/>
      <c r="O43" s="1072"/>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996"/>
      <c r="I44" s="996"/>
      <c r="J44" s="996"/>
      <c r="K44" s="996"/>
      <c r="L44" s="1072"/>
      <c r="M44" s="1072"/>
      <c r="N44" s="1072"/>
      <c r="O44" s="1072"/>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996"/>
      <c r="I45" s="996"/>
      <c r="J45" s="996"/>
      <c r="K45" s="996"/>
      <c r="L45" s="1072"/>
      <c r="M45" s="1072"/>
      <c r="N45" s="1072"/>
      <c r="O45" s="1072"/>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996"/>
      <c r="I46" s="996"/>
      <c r="J46" s="996"/>
      <c r="K46" s="996"/>
      <c r="L46" s="1072"/>
      <c r="M46" s="1072"/>
      <c r="N46" s="1072"/>
      <c r="O46" s="1072"/>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996"/>
      <c r="I47" s="996"/>
      <c r="J47" s="996"/>
      <c r="K47" s="996"/>
      <c r="L47" s="1072"/>
      <c r="M47" s="1072"/>
      <c r="N47" s="1072"/>
      <c r="O47" s="1072"/>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996"/>
      <c r="I48" s="996"/>
      <c r="J48" s="996"/>
      <c r="K48" s="996"/>
      <c r="L48" s="1072"/>
      <c r="M48" s="1072"/>
      <c r="N48" s="1072"/>
      <c r="O48" s="1072"/>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996"/>
      <c r="I49" s="996"/>
      <c r="J49" s="996"/>
      <c r="K49" s="996"/>
      <c r="L49" s="1072"/>
      <c r="M49" s="1072"/>
      <c r="N49" s="1072"/>
      <c r="O49" s="1072"/>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996"/>
      <c r="I50" s="996"/>
      <c r="J50" s="996"/>
      <c r="K50" s="996"/>
      <c r="L50" s="1072"/>
      <c r="M50" s="1072"/>
      <c r="N50" s="1072"/>
      <c r="O50" s="1072"/>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996"/>
      <c r="I51" s="996"/>
      <c r="J51" s="996"/>
      <c r="K51" s="996"/>
      <c r="L51" s="1072"/>
      <c r="M51" s="1072"/>
      <c r="N51" s="1072"/>
      <c r="O51" s="1072"/>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996"/>
      <c r="I52" s="996"/>
      <c r="J52" s="996"/>
      <c r="K52" s="996"/>
      <c r="L52" s="1072"/>
      <c r="M52" s="1072"/>
      <c r="N52" s="1072"/>
      <c r="O52" s="1072"/>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996"/>
      <c r="I53" s="996"/>
      <c r="J53" s="996"/>
      <c r="K53" s="996"/>
      <c r="L53" s="1072"/>
      <c r="M53" s="1072"/>
      <c r="N53" s="1072"/>
      <c r="O53" s="1072"/>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996"/>
      <c r="I54" s="996"/>
      <c r="J54" s="996"/>
      <c r="K54" s="996"/>
      <c r="L54" s="1072"/>
      <c r="M54" s="1072"/>
      <c r="N54" s="1072"/>
      <c r="O54" s="1072"/>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996"/>
      <c r="I55" s="996"/>
      <c r="J55" s="996"/>
      <c r="K55" s="996"/>
      <c r="L55" s="1072"/>
      <c r="M55" s="1072"/>
      <c r="N55" s="1072"/>
      <c r="O55" s="1072"/>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996"/>
      <c r="I56" s="996"/>
      <c r="J56" s="996"/>
      <c r="K56" s="996"/>
      <c r="L56" s="1072"/>
      <c r="M56" s="1072"/>
      <c r="N56" s="1072"/>
      <c r="O56" s="1072"/>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996"/>
      <c r="I57" s="996"/>
      <c r="J57" s="996"/>
      <c r="K57" s="996"/>
      <c r="L57" s="1072"/>
      <c r="M57" s="1072"/>
      <c r="N57" s="1072"/>
      <c r="O57" s="1072"/>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996"/>
      <c r="I58" s="996"/>
      <c r="J58" s="996"/>
      <c r="K58" s="996"/>
      <c r="L58" s="1072"/>
      <c r="M58" s="1072"/>
      <c r="N58" s="1072"/>
      <c r="O58" s="1072"/>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996"/>
      <c r="I59" s="996"/>
      <c r="J59" s="996"/>
      <c r="K59" s="996"/>
      <c r="L59" s="1072"/>
      <c r="M59" s="1072"/>
      <c r="N59" s="1072"/>
      <c r="O59" s="1072"/>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996"/>
      <c r="I60" s="996"/>
      <c r="J60" s="996"/>
      <c r="K60" s="996"/>
      <c r="L60" s="1072"/>
      <c r="M60" s="1072"/>
      <c r="N60" s="1072"/>
      <c r="O60" s="1072"/>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996"/>
      <c r="I61" s="996"/>
      <c r="J61" s="996"/>
      <c r="K61" s="996"/>
      <c r="L61" s="1072"/>
      <c r="M61" s="1072"/>
      <c r="N61" s="1072"/>
      <c r="O61" s="1072"/>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996"/>
      <c r="I62" s="996"/>
      <c r="J62" s="996"/>
      <c r="K62" s="996"/>
      <c r="L62" s="1072"/>
      <c r="M62" s="1072"/>
      <c r="N62" s="1072"/>
      <c r="O62" s="1072"/>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996"/>
      <c r="I63" s="996"/>
      <c r="J63" s="996"/>
      <c r="K63" s="996"/>
      <c r="L63" s="1072"/>
      <c r="M63" s="1072"/>
      <c r="N63" s="1072"/>
      <c r="O63" s="1072"/>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996"/>
      <c r="I64" s="996"/>
      <c r="J64" s="996"/>
      <c r="K64" s="996"/>
      <c r="L64" s="1072"/>
      <c r="M64" s="1072"/>
      <c r="N64" s="1072"/>
      <c r="O64" s="1072"/>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996"/>
      <c r="I65" s="996"/>
      <c r="J65" s="996"/>
      <c r="K65" s="996"/>
      <c r="L65" s="1072"/>
      <c r="M65" s="1072"/>
      <c r="N65" s="1072"/>
      <c r="O65" s="1072"/>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996"/>
      <c r="I66" s="996"/>
      <c r="J66" s="996"/>
      <c r="K66" s="996"/>
      <c r="L66" s="1072"/>
      <c r="M66" s="1072"/>
      <c r="N66" s="1072"/>
      <c r="O66" s="1072"/>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996"/>
      <c r="I67" s="996"/>
      <c r="J67" s="996"/>
      <c r="K67" s="996"/>
      <c r="L67" s="1072"/>
      <c r="M67" s="1072"/>
      <c r="N67" s="1072"/>
      <c r="O67" s="1072"/>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996"/>
      <c r="I68" s="996"/>
      <c r="J68" s="996"/>
      <c r="K68" s="996"/>
      <c r="L68" s="1072"/>
      <c r="M68" s="1072"/>
      <c r="N68" s="1072"/>
      <c r="O68" s="1072"/>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996"/>
      <c r="I69" s="996"/>
      <c r="J69" s="996"/>
      <c r="K69" s="996"/>
      <c r="L69" s="1072"/>
      <c r="M69" s="1072"/>
      <c r="N69" s="1072"/>
      <c r="O69" s="1072"/>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996"/>
      <c r="I70" s="996"/>
      <c r="J70" s="996"/>
      <c r="K70" s="996"/>
      <c r="L70" s="1072"/>
      <c r="M70" s="1072"/>
      <c r="N70" s="1072"/>
      <c r="O70" s="1072"/>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996"/>
      <c r="I71" s="996"/>
      <c r="J71" s="996"/>
      <c r="K71" s="996"/>
      <c r="L71" s="1072"/>
      <c r="M71" s="1072"/>
      <c r="N71" s="1072"/>
      <c r="O71" s="1072"/>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996"/>
      <c r="I72" s="996"/>
      <c r="J72" s="996"/>
      <c r="K72" s="996"/>
      <c r="L72" s="1072"/>
      <c r="M72" s="1072"/>
      <c r="N72" s="1072"/>
      <c r="O72" s="1072"/>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996"/>
      <c r="I73" s="996"/>
      <c r="J73" s="996"/>
      <c r="K73" s="996"/>
      <c r="L73" s="1072"/>
      <c r="M73" s="1072"/>
      <c r="N73" s="1072"/>
      <c r="O73" s="1072"/>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996"/>
      <c r="I74" s="996"/>
      <c r="J74" s="996"/>
      <c r="K74" s="996"/>
      <c r="L74" s="1072"/>
      <c r="M74" s="1072"/>
      <c r="N74" s="1072"/>
      <c r="O74" s="1072"/>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996"/>
      <c r="I75" s="996"/>
      <c r="J75" s="996"/>
      <c r="K75" s="996"/>
      <c r="L75" s="1072"/>
      <c r="M75" s="1072"/>
      <c r="N75" s="1072"/>
      <c r="O75" s="1072"/>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996"/>
      <c r="I76" s="996"/>
      <c r="J76" s="996"/>
      <c r="K76" s="996"/>
      <c r="L76" s="1072"/>
      <c r="M76" s="1072"/>
      <c r="N76" s="1072"/>
      <c r="O76" s="1072"/>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996"/>
      <c r="I77" s="996"/>
      <c r="J77" s="996"/>
      <c r="K77" s="996"/>
      <c r="L77" s="1072"/>
      <c r="M77" s="1072"/>
      <c r="N77" s="1072"/>
      <c r="O77" s="1072"/>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996"/>
      <c r="I78" s="996"/>
      <c r="J78" s="996"/>
      <c r="K78" s="996"/>
      <c r="L78" s="1072"/>
      <c r="M78" s="1072"/>
      <c r="N78" s="1072"/>
      <c r="O78" s="1072"/>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996"/>
      <c r="I79" s="996"/>
      <c r="J79" s="996"/>
      <c r="K79" s="996"/>
      <c r="L79" s="1072"/>
      <c r="M79" s="1072"/>
      <c r="N79" s="1072"/>
      <c r="O79" s="1072"/>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996"/>
      <c r="I80" s="996"/>
      <c r="J80" s="996"/>
      <c r="K80" s="996"/>
      <c r="L80" s="1072"/>
      <c r="M80" s="1072"/>
      <c r="N80" s="1072"/>
      <c r="O80" s="1072"/>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996"/>
      <c r="I81" s="996"/>
      <c r="J81" s="996"/>
      <c r="K81" s="996"/>
      <c r="L81" s="1072"/>
      <c r="M81" s="1072"/>
      <c r="N81" s="1072"/>
      <c r="O81" s="1072"/>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996"/>
      <c r="I82" s="996"/>
      <c r="J82" s="996"/>
      <c r="K82" s="996"/>
      <c r="L82" s="1072"/>
      <c r="M82" s="1072"/>
      <c r="N82" s="1072"/>
      <c r="O82" s="1072"/>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996"/>
      <c r="I83" s="996"/>
      <c r="J83" s="996"/>
      <c r="K83" s="996"/>
      <c r="L83" s="1072"/>
      <c r="M83" s="1072"/>
      <c r="N83" s="1072"/>
      <c r="O83" s="1072"/>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996"/>
      <c r="I84" s="996"/>
      <c r="J84" s="996"/>
      <c r="K84" s="996"/>
      <c r="L84" s="1072"/>
      <c r="M84" s="1072"/>
      <c r="N84" s="1072"/>
      <c r="O84" s="1072"/>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996"/>
      <c r="I85" s="996"/>
      <c r="J85" s="996"/>
      <c r="K85" s="996"/>
      <c r="L85" s="1072"/>
      <c r="M85" s="1072"/>
      <c r="N85" s="1072"/>
      <c r="O85" s="1072"/>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996"/>
      <c r="I86" s="996"/>
      <c r="J86" s="996"/>
      <c r="K86" s="996"/>
      <c r="L86" s="1072"/>
      <c r="M86" s="1072"/>
      <c r="N86" s="1072"/>
      <c r="O86" s="1072"/>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996"/>
      <c r="I87" s="996"/>
      <c r="J87" s="996"/>
      <c r="K87" s="996"/>
      <c r="L87" s="1072"/>
      <c r="M87" s="1072"/>
      <c r="N87" s="1072"/>
      <c r="O87" s="1072"/>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996"/>
      <c r="I88" s="996"/>
      <c r="J88" s="996"/>
      <c r="K88" s="996"/>
      <c r="L88" s="1072"/>
      <c r="M88" s="1072"/>
      <c r="N88" s="1072"/>
      <c r="O88" s="1072"/>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996"/>
      <c r="I89" s="996"/>
      <c r="J89" s="996"/>
      <c r="K89" s="996"/>
      <c r="L89" s="1072"/>
      <c r="M89" s="1072"/>
      <c r="N89" s="1072"/>
      <c r="O89" s="1072"/>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996"/>
      <c r="I90" s="996"/>
      <c r="J90" s="996"/>
      <c r="K90" s="996"/>
      <c r="L90" s="1072"/>
      <c r="M90" s="1072"/>
      <c r="N90" s="1072"/>
      <c r="O90" s="1072"/>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996"/>
      <c r="I91" s="996"/>
      <c r="J91" s="996"/>
      <c r="K91" s="996"/>
      <c r="L91" s="1072"/>
      <c r="M91" s="1072"/>
      <c r="N91" s="1072"/>
      <c r="O91" s="1072"/>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996"/>
      <c r="I92" s="996"/>
      <c r="J92" s="996"/>
      <c r="K92" s="996"/>
      <c r="L92" s="1072"/>
      <c r="M92" s="1072"/>
      <c r="N92" s="1072"/>
      <c r="O92" s="1072"/>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996"/>
      <c r="I93" s="996"/>
      <c r="J93" s="996"/>
      <c r="K93" s="996"/>
      <c r="L93" s="1072"/>
      <c r="M93" s="1072"/>
      <c r="N93" s="1072"/>
      <c r="O93" s="1072"/>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996"/>
      <c r="I94" s="996"/>
      <c r="J94" s="996"/>
      <c r="K94" s="996"/>
      <c r="L94" s="1072"/>
      <c r="M94" s="1072"/>
      <c r="N94" s="1072"/>
      <c r="O94" s="1072"/>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996"/>
      <c r="I95" s="996"/>
      <c r="J95" s="996"/>
      <c r="K95" s="996"/>
      <c r="L95" s="1072"/>
      <c r="M95" s="1072"/>
      <c r="N95" s="1072"/>
      <c r="O95" s="1072"/>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996"/>
      <c r="I96" s="996"/>
      <c r="J96" s="996"/>
      <c r="K96" s="996"/>
      <c r="L96" s="1072"/>
      <c r="M96" s="1072"/>
      <c r="N96" s="1072"/>
      <c r="O96" s="1072"/>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996"/>
      <c r="I97" s="996"/>
      <c r="J97" s="996"/>
      <c r="K97" s="996"/>
      <c r="L97" s="1072"/>
      <c r="M97" s="1072"/>
      <c r="N97" s="1072"/>
      <c r="O97" s="1072"/>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996"/>
      <c r="I98" s="996"/>
      <c r="J98" s="996"/>
      <c r="K98" s="996"/>
      <c r="L98" s="1072"/>
      <c r="M98" s="1072"/>
      <c r="N98" s="1072"/>
      <c r="O98" s="1072"/>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996"/>
      <c r="I99" s="996"/>
      <c r="J99" s="996"/>
      <c r="K99" s="996"/>
      <c r="L99" s="1072"/>
      <c r="M99" s="1072"/>
      <c r="N99" s="1072"/>
      <c r="O99" s="1072"/>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996"/>
      <c r="I100" s="996"/>
      <c r="J100" s="996"/>
      <c r="K100" s="996"/>
      <c r="L100" s="1072"/>
      <c r="M100" s="1072"/>
      <c r="N100" s="1072"/>
      <c r="O100" s="1072"/>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996"/>
      <c r="I101" s="996"/>
      <c r="J101" s="996"/>
      <c r="K101" s="996"/>
      <c r="L101" s="1072"/>
      <c r="M101" s="1072"/>
      <c r="N101" s="1072"/>
      <c r="O101" s="1072"/>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996"/>
      <c r="I102" s="996"/>
      <c r="J102" s="996"/>
      <c r="K102" s="996"/>
      <c r="L102" s="1072"/>
      <c r="M102" s="1072"/>
      <c r="N102" s="1072"/>
      <c r="O102" s="1072"/>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996"/>
      <c r="I103" s="996"/>
      <c r="J103" s="996"/>
      <c r="K103" s="996"/>
      <c r="L103" s="1072"/>
      <c r="M103" s="1072"/>
      <c r="N103" s="1072"/>
      <c r="O103" s="1072"/>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75" t="s">
        <v>126</v>
      </c>
      <c r="D105" s="1075"/>
      <c r="E105" s="1075"/>
      <c r="F105" s="1075"/>
      <c r="G105" s="1075"/>
      <c r="H105" s="1075"/>
      <c r="I105" s="1075"/>
      <c r="J105" s="1075"/>
      <c r="K105" s="1075"/>
      <c r="L105" s="1075"/>
      <c r="M105" s="1075"/>
      <c r="N105" s="1075"/>
      <c r="O105" s="1075"/>
      <c r="P105" s="1075"/>
      <c r="Q105" s="1075"/>
      <c r="R105" s="1075"/>
      <c r="S105" s="1075"/>
      <c r="T105" s="1075"/>
      <c r="U105" s="1075"/>
      <c r="V105" s="1075"/>
      <c r="W105" s="1075"/>
      <c r="X105" s="1075"/>
      <c r="Y105" s="1075"/>
      <c r="Z105" s="1075"/>
      <c r="AA105" s="1075"/>
      <c r="AB105" s="1075"/>
      <c r="AC105" s="1075"/>
      <c r="AD105" s="1075"/>
      <c r="AE105" s="1075"/>
      <c r="AF105" s="1075"/>
      <c r="AG105" s="1075"/>
      <c r="AH105" s="1075"/>
      <c r="AI105" s="1075"/>
      <c r="AJ105" s="1075"/>
      <c r="AK105" s="1075"/>
      <c r="AL105" s="1075"/>
      <c r="AM105" s="1075"/>
      <c r="AN105" s="1075"/>
      <c r="AO105" s="1075"/>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105:AO105"/>
    <mergeCell ref="AL9:AM9"/>
    <mergeCell ref="H43:K43"/>
    <mergeCell ref="L43:O43"/>
    <mergeCell ref="H38:K38"/>
    <mergeCell ref="L38:O38"/>
    <mergeCell ref="H39:K39"/>
    <mergeCell ref="L39:O39"/>
    <mergeCell ref="H40:K40"/>
    <mergeCell ref="L40:O40"/>
    <mergeCell ref="H41:K41"/>
    <mergeCell ref="AL10:AM10"/>
    <mergeCell ref="AH11:AI11"/>
    <mergeCell ref="AJ11:AK11"/>
    <mergeCell ref="AB10:AC10"/>
    <mergeCell ref="AD10:AE10"/>
    <mergeCell ref="AD12:AE12"/>
    <mergeCell ref="AF12:AG12"/>
    <mergeCell ref="AB12:AC12"/>
    <mergeCell ref="AF10:AG10"/>
    <mergeCell ref="AL11:AM11"/>
    <mergeCell ref="AH10:AI10"/>
    <mergeCell ref="AJ10:AK10"/>
    <mergeCell ref="Z12:AA12"/>
    <mergeCell ref="AL8:AM8"/>
    <mergeCell ref="AJ9:AK9"/>
    <mergeCell ref="AH9:AI9"/>
    <mergeCell ref="Z6:AM6"/>
    <mergeCell ref="Z7:AA7"/>
    <mergeCell ref="AB7:AC7"/>
    <mergeCell ref="AD7:AE7"/>
    <mergeCell ref="AF7:AG7"/>
    <mergeCell ref="AH7:AI7"/>
    <mergeCell ref="AJ7:AK7"/>
    <mergeCell ref="Z9:AA9"/>
    <mergeCell ref="H9:I9"/>
    <mergeCell ref="T9:U9"/>
    <mergeCell ref="R9:S9"/>
    <mergeCell ref="T11:U11"/>
    <mergeCell ref="T10:U10"/>
    <mergeCell ref="R10:S10"/>
    <mergeCell ref="Z8:AA8"/>
    <mergeCell ref="AB8:AC8"/>
    <mergeCell ref="AL7:AM7"/>
    <mergeCell ref="N9:O9"/>
    <mergeCell ref="Z10:AA10"/>
    <mergeCell ref="P9:Q9"/>
    <mergeCell ref="AD8:AE8"/>
    <mergeCell ref="AF8:AG8"/>
    <mergeCell ref="AH8:AI8"/>
    <mergeCell ref="AF11:AG11"/>
    <mergeCell ref="AB11:AC11"/>
    <mergeCell ref="AD11:AE11"/>
    <mergeCell ref="AB9:AC9"/>
    <mergeCell ref="AD9:AE9"/>
    <mergeCell ref="AF9:AG9"/>
    <mergeCell ref="N11:O11"/>
    <mergeCell ref="N10:O10"/>
    <mergeCell ref="AJ8:AK8"/>
    <mergeCell ref="R11:S11"/>
    <mergeCell ref="H23:K23"/>
    <mergeCell ref="H6:U6"/>
    <mergeCell ref="T8:U8"/>
    <mergeCell ref="R8:S8"/>
    <mergeCell ref="P8:Q8"/>
    <mergeCell ref="N8:O8"/>
    <mergeCell ref="L8:M8"/>
    <mergeCell ref="J8:K8"/>
    <mergeCell ref="H8:I8"/>
    <mergeCell ref="T7:U7"/>
    <mergeCell ref="R7:S7"/>
    <mergeCell ref="L10:M10"/>
    <mergeCell ref="H10:I10"/>
    <mergeCell ref="H11:I11"/>
    <mergeCell ref="L9:M9"/>
    <mergeCell ref="J9:K9"/>
    <mergeCell ref="J11:K11"/>
    <mergeCell ref="J7:K7"/>
    <mergeCell ref="H7:I7"/>
    <mergeCell ref="P7:Q7"/>
    <mergeCell ref="N7:O7"/>
    <mergeCell ref="L7:M7"/>
    <mergeCell ref="J10:K10"/>
    <mergeCell ref="L12:M12"/>
    <mergeCell ref="P12:Q12"/>
    <mergeCell ref="L11:M11"/>
    <mergeCell ref="H12:I12"/>
    <mergeCell ref="H13:I13"/>
    <mergeCell ref="J13:K13"/>
    <mergeCell ref="N12:O12"/>
    <mergeCell ref="L13:M13"/>
    <mergeCell ref="P11:Q11"/>
    <mergeCell ref="AJ13:AK13"/>
    <mergeCell ref="H37:K37"/>
    <mergeCell ref="L37:O37"/>
    <mergeCell ref="L30:O30"/>
    <mergeCell ref="H28:K28"/>
    <mergeCell ref="Z13:AA13"/>
    <mergeCell ref="H22:K22"/>
    <mergeCell ref="H35:K35"/>
    <mergeCell ref="L35:O35"/>
    <mergeCell ref="L29:O29"/>
    <mergeCell ref="L22:O22"/>
    <mergeCell ref="L23:O23"/>
    <mergeCell ref="L32:O32"/>
    <mergeCell ref="H25:K25"/>
    <mergeCell ref="L25:O25"/>
    <mergeCell ref="H26:K26"/>
    <mergeCell ref="L31:O31"/>
    <mergeCell ref="H27:K27"/>
    <mergeCell ref="L27:O27"/>
    <mergeCell ref="H30:K30"/>
    <mergeCell ref="L28:O28"/>
    <mergeCell ref="R13:S13"/>
    <mergeCell ref="L26:O26"/>
    <mergeCell ref="L46:O46"/>
    <mergeCell ref="H47:K47"/>
    <mergeCell ref="L41:O41"/>
    <mergeCell ref="H44:K44"/>
    <mergeCell ref="H48:K48"/>
    <mergeCell ref="L42:O42"/>
    <mergeCell ref="L49:O49"/>
    <mergeCell ref="H33:K33"/>
    <mergeCell ref="L33:O33"/>
    <mergeCell ref="H34:K34"/>
    <mergeCell ref="L34:O34"/>
    <mergeCell ref="L59:O59"/>
    <mergeCell ref="H63:K63"/>
    <mergeCell ref="AH12:AI12"/>
    <mergeCell ref="AJ12:AK12"/>
    <mergeCell ref="L24:O24"/>
    <mergeCell ref="AF13:AG13"/>
    <mergeCell ref="AB13:AC13"/>
    <mergeCell ref="AD13:AE13"/>
    <mergeCell ref="P15:V15"/>
    <mergeCell ref="X15:AD15"/>
    <mergeCell ref="AH13:AI13"/>
    <mergeCell ref="AF15:AL15"/>
    <mergeCell ref="AL13:AM13"/>
    <mergeCell ref="N13:O13"/>
    <mergeCell ref="P13:Q13"/>
    <mergeCell ref="L44:O44"/>
    <mergeCell ref="L48:O48"/>
    <mergeCell ref="L50:O50"/>
    <mergeCell ref="L51:O51"/>
    <mergeCell ref="H36:K36"/>
    <mergeCell ref="L36:O36"/>
    <mergeCell ref="H45:K45"/>
    <mergeCell ref="L45:O45"/>
    <mergeCell ref="H46:K46"/>
    <mergeCell ref="L53:O53"/>
    <mergeCell ref="L54:O54"/>
    <mergeCell ref="H64:K64"/>
    <mergeCell ref="H67:K67"/>
    <mergeCell ref="L67:O67"/>
    <mergeCell ref="H68:K68"/>
    <mergeCell ref="L68:O68"/>
    <mergeCell ref="H60:K60"/>
    <mergeCell ref="L61:O61"/>
    <mergeCell ref="H66:K66"/>
    <mergeCell ref="L56:O56"/>
    <mergeCell ref="L57:O57"/>
    <mergeCell ref="H56:K56"/>
    <mergeCell ref="H57:K57"/>
    <mergeCell ref="L66:O66"/>
    <mergeCell ref="L63:O63"/>
    <mergeCell ref="H62:K62"/>
    <mergeCell ref="L62:O62"/>
    <mergeCell ref="H61:K61"/>
    <mergeCell ref="L64:O64"/>
    <mergeCell ref="L58:O58"/>
    <mergeCell ref="H58:K58"/>
    <mergeCell ref="H59:K59"/>
    <mergeCell ref="L60:O60"/>
    <mergeCell ref="H72:K72"/>
    <mergeCell ref="L72:O72"/>
    <mergeCell ref="L69:O69"/>
    <mergeCell ref="L81:O81"/>
    <mergeCell ref="H70:K70"/>
    <mergeCell ref="L70:O70"/>
    <mergeCell ref="H71:K71"/>
    <mergeCell ref="L71:O71"/>
    <mergeCell ref="H65:K65"/>
    <mergeCell ref="L65:O65"/>
    <mergeCell ref="H75:K75"/>
    <mergeCell ref="L75:O75"/>
    <mergeCell ref="H73:K73"/>
    <mergeCell ref="L73:O73"/>
    <mergeCell ref="H74:K74"/>
    <mergeCell ref="L74:O74"/>
    <mergeCell ref="H80:K80"/>
    <mergeCell ref="L80:O80"/>
    <mergeCell ref="H81:K81"/>
    <mergeCell ref="H78:K78"/>
    <mergeCell ref="L78:O78"/>
    <mergeCell ref="H79:K79"/>
    <mergeCell ref="L79:O79"/>
    <mergeCell ref="H69:K69"/>
    <mergeCell ref="H103:K103"/>
    <mergeCell ref="L103:O103"/>
    <mergeCell ref="L99:O99"/>
    <mergeCell ref="H100:K100"/>
    <mergeCell ref="L100:O100"/>
    <mergeCell ref="H101:K101"/>
    <mergeCell ref="L101:O101"/>
    <mergeCell ref="H99:K99"/>
    <mergeCell ref="H102:K102"/>
    <mergeCell ref="L102:O102"/>
    <mergeCell ref="C2:AP2"/>
    <mergeCell ref="H55:K55"/>
    <mergeCell ref="L55:O55"/>
    <mergeCell ref="H31:K31"/>
    <mergeCell ref="H52:K52"/>
    <mergeCell ref="H53:K53"/>
    <mergeCell ref="H54:K54"/>
    <mergeCell ref="H24:K24"/>
    <mergeCell ref="R12:S12"/>
    <mergeCell ref="C4:AP4"/>
    <mergeCell ref="C3:AP3"/>
    <mergeCell ref="T13:U13"/>
    <mergeCell ref="T12:U12"/>
    <mergeCell ref="AL12:AM12"/>
    <mergeCell ref="P10:Q10"/>
    <mergeCell ref="J12:K12"/>
    <mergeCell ref="Z11:AA11"/>
    <mergeCell ref="H50:K50"/>
    <mergeCell ref="H51:K51"/>
    <mergeCell ref="H32:K32"/>
    <mergeCell ref="L47:O47"/>
    <mergeCell ref="L52:O52"/>
    <mergeCell ref="H49:K49"/>
    <mergeCell ref="H42:K42"/>
    <mergeCell ref="H98:K98"/>
    <mergeCell ref="L98:O98"/>
    <mergeCell ref="H96:K96"/>
    <mergeCell ref="L96:O96"/>
    <mergeCell ref="H97:K97"/>
    <mergeCell ref="L97:O97"/>
    <mergeCell ref="H91:K91"/>
    <mergeCell ref="L91:O91"/>
    <mergeCell ref="H76:K76"/>
    <mergeCell ref="L76:O76"/>
    <mergeCell ref="H77:K77"/>
    <mergeCell ref="L77:O77"/>
    <mergeCell ref="H86:K86"/>
    <mergeCell ref="L86:O86"/>
    <mergeCell ref="H87:K87"/>
    <mergeCell ref="L87:O87"/>
    <mergeCell ref="H84:K84"/>
    <mergeCell ref="L84:O84"/>
    <mergeCell ref="H85:K85"/>
    <mergeCell ref="L85:O85"/>
    <mergeCell ref="H82:K82"/>
    <mergeCell ref="L82:O82"/>
    <mergeCell ref="H83:K83"/>
    <mergeCell ref="L83:O83"/>
    <mergeCell ref="H88:K88"/>
    <mergeCell ref="L88:O88"/>
    <mergeCell ref="H89:K89"/>
    <mergeCell ref="L89:O89"/>
    <mergeCell ref="H94:K94"/>
    <mergeCell ref="L94:O94"/>
    <mergeCell ref="H95:K95"/>
    <mergeCell ref="L95:O95"/>
    <mergeCell ref="H92:K92"/>
    <mergeCell ref="L92:O92"/>
    <mergeCell ref="H93:K93"/>
    <mergeCell ref="L93:O93"/>
    <mergeCell ref="H90:K90"/>
    <mergeCell ref="L90:O90"/>
    <mergeCell ref="R21:U21"/>
    <mergeCell ref="V21:AG21"/>
    <mergeCell ref="AH21:AO21"/>
    <mergeCell ref="H29:K29"/>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7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31362888</Manager>
  <Company>131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26</vt:i4>
      </vt:variant>
      <vt:variant>
        <vt:lpstr>Named Ranges</vt:lpstr>
      </vt:variant>
      <vt:variant>
        <vt:i4>26</vt:i4>
      </vt:variant>
    </vt:vector>
  </HeadingPairs>
  <TitlesOfParts>
    <vt:vector baseType="lpstr" size="52">
      <vt:lpstr>Table of Contents</vt:lpstr>
      <vt:lpstr>Glance</vt:lpstr>
      <vt:lpstr>Summary</vt:lpstr>
      <vt:lpstr>Trend</vt:lpstr>
      <vt:lpstr>Trend Ind</vt:lpstr>
      <vt:lpstr>Raw Data</vt:lpstr>
      <vt:lpstr>Day of Week</vt:lpstr>
      <vt:lpstr>Day of Week Rank</vt:lpstr>
      <vt:lpstr>Daily by Month</vt:lpstr>
      <vt:lpstr>Daily by Month Rk</vt:lpstr>
      <vt:lpstr>Daily by DOW</vt:lpstr>
      <vt:lpstr>Plus Summary</vt:lpstr>
      <vt:lpstr>Occ Plus</vt:lpstr>
      <vt:lpstr>ADR Plus</vt:lpstr>
      <vt:lpstr>RevPAR Plus</vt:lpstr>
      <vt:lpstr>Plus Indexes</vt:lpstr>
      <vt:lpstr>Plus Ranking</vt:lpstr>
      <vt:lpstr>Plus DOW Month</vt:lpstr>
      <vt:lpstr>Segmentation DOW YTD_copy</vt:lpstr>
      <vt:lpstr>Add Rev ADR</vt:lpstr>
      <vt:lpstr>Add Rev RevPAR</vt:lpstr>
      <vt:lpstr>Additional Revenue obsolete</vt:lpstr>
      <vt:lpstr>Response</vt:lpstr>
      <vt:lpstr>Plus Response</vt:lpstr>
      <vt:lpstr>Hyatt Glance</vt:lpstr>
      <vt:lpstr>Help</vt:lpstr>
      <vt:lpstr>'Add Rev ADR'!Print_Area</vt:lpstr>
      <vt:lpstr>'Add Rev RevPAR'!Print_Area</vt:lpstr>
      <vt:lpstr>'Additional Revenue obsolete'!Print_Area</vt:lpstr>
      <vt:lpstr>'ADR Plus'!Print_Area</vt:lpstr>
      <vt:lpstr>'Daily by DOW'!Print_Area</vt:lpstr>
      <vt:lpstr>'Daily by Month'!Print_Area</vt:lpstr>
      <vt:lpstr>'Daily by Month Rk'!Print_Area</vt:lpstr>
      <vt:lpstr>'Day of Week'!Print_Area</vt:lpstr>
      <vt:lpstr>'Day of Week Rank'!Print_Area</vt:lpstr>
      <vt:lpstr>Glance!Print_Area</vt:lpstr>
      <vt:lpstr>Help!Print_Area</vt:lpstr>
      <vt:lpstr>'Hyatt Glance'!Print_Area</vt:lpstr>
      <vt:lpstr>'Occ Plus'!Print_Area</vt:lpstr>
      <vt:lpstr>'Plus DOW Month'!Print_Area</vt:lpstr>
      <vt:lpstr>'Plus Indexes'!Print_Area</vt:lpstr>
      <vt:lpstr>'Plus Ranking'!Print_Area</vt:lpstr>
      <vt:lpstr>'Plus Response'!Print_Area</vt:lpstr>
      <vt:lpstr>'Plus Summary'!Print_Area</vt:lpstr>
      <vt:lpstr>'Raw Data'!Print_Area</vt:lpstr>
      <vt:lpstr>Response!Print_Area</vt:lpstr>
      <vt:lpstr>'RevPAR Plus'!Print_Area</vt:lpstr>
      <vt:lpstr>'Segmentation DOW YTD_copy'!Print_Area</vt:lpstr>
      <vt:lpstr>Summary!Print_Area</vt:lpstr>
      <vt:lpstr>'Table of Contents'!Print_Area</vt:lpstr>
      <vt:lpstr>Trend!Print_Area</vt:lpstr>
      <vt:lpstr>'Trend Ind'!Print_Area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804,836,748,808</cp:category>
  <dcterms:created xsi:type="dcterms:W3CDTF">2003-06-11T18:24:11Z</dcterms:created>
  <dc:creator>STR, Inc.</dc:creator>
  <cp:keywords>60180</cp:keywords>
  <cp:lastModifiedBy>Jim Hawkins</cp:lastModifiedBy>
  <cp:lastPrinted>2016-02-11T20:47:50Z</cp:lastPrinted>
  <dcterms:modified xsi:type="dcterms:W3CDTF">2021-08-10T14:36:44Z</dcterms:modified>
  <dc:subject>60180</dc:subject>
  <dc:title>eSTAR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