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8.xml" ContentType="application/vnd.openxmlformats-officedocument.spreadsheetml.worksheet+xml"/>
  <Override PartName="/xl/printerSettings/printerSettings19.bin" ContentType="application/vnd.openxmlformats-officedocument.spreadsheetml.printerSettings"/>
  <Override PartName="/xl/drawings/drawing20.xml" ContentType="application/vnd.openxmlformats-officedocument.drawing+xml"/>
  <Override PartName="/xl/worksheets/sheet22.xml" ContentType="application/vnd.openxmlformats-officedocument.spreadsheetml.worksheet+xml"/>
  <Override PartName="/xl/printerSettings/printerSettings23.bin" ContentType="application/vnd.openxmlformats-officedocument.spreadsheetml.printerSettings"/>
  <Override PartName="/xl/drawings/drawing24.xml" ContentType="application/vnd.openxmlformats-officedocument.drawing+xml"/>
  <Override PartName="/xl/worksheets/sheet26.xml" ContentType="application/vnd.openxmlformats-officedocument.spreadsheetml.worksheet+xml"/>
  <Override PartName="/xl/printerSettings/printerSettings27.bin" ContentType="application/vnd.openxmlformats-officedocument.spreadsheetml.printerSettings"/>
  <Override PartName="/xl/drawings/drawing28.xml" ContentType="application/vnd.openxmlformats-officedocument.drawing+xml"/>
  <Override PartName="/xl/worksheets/sheet30.xml" ContentType="application/vnd.openxmlformats-officedocument.spreadsheetml.worksheet+xml"/>
  <Override PartName="/xl/printerSettings/printerSettings31.bin" ContentType="application/vnd.openxmlformats-officedocument.spreadsheetml.printerSettings"/>
  <Override PartName="/xl/drawings/drawing32.xml" ContentType="application/vnd.openxmlformats-officedocument.drawing+xml"/>
  <Override PartName="/xl/worksheets/sheet34.xml" ContentType="application/vnd.openxmlformats-officedocument.spreadsheetml.worksheet+xml"/>
  <Override PartName="/xl/printerSettings/printerSettings35.bin" ContentType="application/vnd.openxmlformats-officedocument.spreadsheetml.printerSettings"/>
  <Override PartName="/xl/drawings/drawing36.xml" ContentType="application/vnd.openxmlformats-officedocument.drawing+xml"/>
  <Override PartName="/xl/worksheets/sheet38.xml" ContentType="application/vnd.openxmlformats-officedocument.spreadsheetml.worksheet+xml"/>
  <Override PartName="/xl/printerSettings/printerSettings39.bin" ContentType="application/vnd.openxmlformats-officedocument.spreadsheetml.printerSettings"/>
  <Override PartName="/xl/drawings/drawing40.xml" ContentType="application/vnd.openxmlformats-officedocument.drawing+xml"/>
  <Override PartName="/xl/worksheets/sheet42.xml" ContentType="application/vnd.openxmlformats-officedocument.spreadsheetml.worksheet+xml"/>
  <Override PartName="/xl/printerSettings/printerSettings43.bin" ContentType="application/vnd.openxmlformats-officedocument.spreadsheetml.printerSettings"/>
  <Override PartName="/xl/drawings/drawing44.xml" ContentType="application/vnd.openxmlformats-officedocument.drawing+xml"/>
  <Override PartName="/xl/worksheets/sheet46.xml" ContentType="application/vnd.openxmlformats-officedocument.spreadsheetml.worksheet+xml"/>
  <Override PartName="/xl/printerSettings/printerSettings47.bin" ContentType="application/vnd.openxmlformats-officedocument.spreadsheetml.printerSettings"/>
  <Override PartName="/xl/drawings/drawing48.xml" ContentType="application/vnd.openxmlformats-officedocument.drawing+xml"/>
  <Override PartName="/xl/charts/chart49.xml" ContentType="application/vnd.openxmlformats-officedocument.drawingml.chart+xml"/>
  <Override PartName="/xl/drawings/drawing50.xml" ContentType="application/vnd.openxmlformats-officedocument.drawing+xml"/>
  <Override PartName="/xl/charts/chart51.xml" ContentType="application/vnd.openxmlformats-officedocument.drawingml.chart+xml"/>
  <Override PartName="/xl/drawings/drawing52.xml" ContentType="application/vnd.openxmlformats-officedocument.drawing+xml"/>
  <Override PartName="/xl/charts/chart53.xml" ContentType="application/vnd.openxmlformats-officedocument.drawingml.chart+xml"/>
  <Override PartName="/xl/drawings/drawing54.xml" ContentType="application/vnd.openxmlformats-officedocument.drawing+xml"/>
  <Override PartName="/xl/charts/chart55.xml" ContentType="application/vnd.openxmlformats-officedocument.drawingml.chart+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21"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7" lowestEdited="6" rupBuild="26026"/>
  <workbookPr codeName="ThisWorkbook"/>
  <bookViews>
    <workbookView xWindow="4080" yWindow="1170" windowWidth="21420" windowHeight="11400" tabRatio="898"/>
  </bookViews>
  <sheets>
    <sheet name="Table of Contents" sheetId="1" r:id="rId9"/>
    <sheet name="Glance" sheetId="19" r:id="rId8"/>
    <sheet name="Segmentation Glance" sheetId="20" r:id="rId7"/>
    <sheet name="Daily by Month" sheetId="21" r:id="rId6"/>
    <sheet name="Occ" sheetId="4" r:id="rId10"/>
    <sheet name="Segmentation Occ" sheetId="22" r:id="rId5"/>
    <sheet name="ADR" sheetId="6" r:id="rId11"/>
    <sheet name="Segmentation ADR" sheetId="23" r:id="rId4"/>
    <sheet name="RevPAR" sheetId="8" r:id="rId12"/>
    <sheet name="Segmentation RevPAR" sheetId="24" r:id="rId3"/>
    <sheet name="Additional Revenue" sheetId="25" r:id="rId2"/>
    <sheet name="Response" sheetId="26" r:id="rId1"/>
    <sheet name="Help" sheetId="18" r:id="rId13"/>
  </sheets>
  <definedNames>
    <definedName name="_xlnm.Print_Area" localSheetId="6">ADR!$A$1:$AI$61</definedName>
    <definedName name="_xlnm.Print_Area" localSheetId="12">Help!$A$1:$J$16</definedName>
    <definedName name="_xlnm.Print_Area" localSheetId="4">Occ!$A$1:$AI$58</definedName>
    <definedName name="_xlnm.Print_Area" localSheetId="8">RevPAR!$A$1:$AI$61</definedName>
    <definedName name="_xlnm.Print_Area" localSheetId="0">'Table of Contents'!$A$1:$H$48</definedName>
    <definedName name="_xlnm.Print_Area" localSheetId="1">Glance!$A$1:$AC$42</definedName>
    <definedName name="_xlnm.Print_Area" localSheetId="2">'Segmentation Glance'!$A$1:$T$42</definedName>
    <definedName name="_xlnm.Print_Area" localSheetId="3">'Daily by Month'!$A$1:$AL$63</definedName>
    <definedName name="_xlnm.Print_Area" localSheetId="5">'Segmentation Occ'!$A$1:$AB$54</definedName>
    <definedName name="_xlnm.Print_Area" localSheetId="7">'Segmentation ADR'!$A$1:$AC$54</definedName>
    <definedName name="_xlnm.Print_Area" localSheetId="9">'Segmentation RevPAR'!$A$1:$AC$54</definedName>
    <definedName name="_xlnm.Print_Area" localSheetId="10">'Additional Revenue'!$A$1:$AC$54</definedName>
    <definedName name="_xlnm.Print_Area" localSheetId="11">Response!$A$1:$AR$104</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<sst xmlns="http://schemas.openxmlformats.org/spreadsheetml/2006/main" xmlns:r="http://schemas.openxmlformats.org/officeDocument/2006/relationships" xmlns:xdr="http://schemas.openxmlformats.org/drawingml/2006/spreadsheetDrawing" xmlns:s="http://schemas.openxmlformats.org/officeDocument/2006/sharedTypes" xmlns:vt="http://schemas.openxmlformats.org/officeDocument/2006/docPropsVTypes" xmlns:a="http://schemas.openxmlformats.org/drawingml/2006/main" xmlns:cdr="http://schemas.openxmlformats.org/drawingml/2006/chartDrawing" count="969" uniqueCount="114">
  <si>
    <t>Sun</t>
  </si>
  <si>
    <t>Mon</t>
  </si>
  <si>
    <t>Tue</t>
  </si>
  <si>
    <t>Wed</t>
  </si>
  <si>
    <t>Thu</t>
  </si>
  <si>
    <t>Fri</t>
  </si>
  <si>
    <t>Sat</t>
  </si>
  <si>
    <t>This Year</t>
  </si>
  <si>
    <t>Last Year</t>
  </si>
  <si>
    <t>Last Week</t>
  </si>
  <si>
    <t>ADR ($)</t>
  </si>
  <si>
    <t>RevPAR ($)</t>
  </si>
  <si>
    <t>ADR</t>
  </si>
  <si>
    <t>RevPAR</t>
  </si>
  <si>
    <t>Last 4 Sundays</t>
  </si>
  <si>
    <t>Last 4 Mondays</t>
  </si>
  <si>
    <t>Last 4 Tuesdays</t>
  </si>
  <si>
    <t>Last 4 Wednesdays</t>
  </si>
  <si>
    <t>Last 4 Thursdays</t>
  </si>
  <si>
    <t>Last 4 Fridays</t>
  </si>
  <si>
    <t>Last 4 Saturdays</t>
  </si>
  <si>
    <t>Transient</t>
  </si>
  <si>
    <t>Index</t>
  </si>
  <si>
    <t>Total</t>
  </si>
  <si>
    <t>Group</t>
  </si>
  <si>
    <t>Contract</t>
  </si>
  <si>
    <t>Comp Set</t>
  </si>
  <si>
    <t>Comp set</t>
  </si>
  <si>
    <t>Occupancy</t>
  </si>
  <si>
    <t>Other</t>
  </si>
  <si>
    <t>F&amp;B</t>
  </si>
  <si>
    <t>MTD</t>
  </si>
  <si>
    <t>My Property</t>
  </si>
  <si>
    <t>Room</t>
  </si>
  <si>
    <t>STR ID</t>
  </si>
  <si>
    <t>Name</t>
  </si>
  <si>
    <t>City, State</t>
  </si>
  <si>
    <t>PLUS Default</t>
  </si>
  <si>
    <t>Plus Default</t>
  </si>
  <si>
    <t>Monday</t>
  </si>
  <si>
    <t>Sunday</t>
  </si>
  <si>
    <t>Tuesday</t>
  </si>
  <si>
    <t>Wednesday</t>
  </si>
  <si>
    <t>Thursday</t>
  </si>
  <si>
    <t>Friday</t>
  </si>
  <si>
    <t>Saturday</t>
  </si>
  <si>
    <t xml:space="preserve"> </t>
  </si>
  <si>
    <t>Mo</t>
  </si>
  <si>
    <t>Tu</t>
  </si>
  <si>
    <t>Su</t>
  </si>
  <si>
    <t>We</t>
  </si>
  <si>
    <t>Th</t>
  </si>
  <si>
    <t>Fr</t>
  </si>
  <si>
    <t>Sa</t>
  </si>
  <si>
    <t>Occupancy (%)</t>
  </si>
  <si>
    <t>Rank</t>
  </si>
  <si>
    <t>Your rank</t>
  </si>
  <si>
    <t>% Chg</t>
  </si>
  <si>
    <t>Current</t>
  </si>
  <si>
    <t>Run</t>
  </si>
  <si>
    <t>Week</t>
  </si>
  <si>
    <t>Running 28 Days</t>
  </si>
  <si>
    <t>% of Total Revenue</t>
  </si>
  <si>
    <t>My Prop</t>
  </si>
  <si>
    <t>This Week</t>
  </si>
  <si>
    <t>TY</t>
  </si>
  <si>
    <t>LY</t>
  </si>
  <si>
    <t>Property</t>
  </si>
  <si>
    <t>Compset</t>
  </si>
  <si>
    <t>Running 28 Days (by Day of Week)</t>
  </si>
  <si>
    <t>Rooms</t>
  </si>
  <si>
    <t>Open Date</t>
  </si>
  <si>
    <t>Current Week</t>
  </si>
  <si>
    <t>Phone</t>
  </si>
  <si>
    <t>Zip</t>
  </si>
  <si>
    <t>Occ (%)</t>
  </si>
  <si>
    <t>Occ % Chg</t>
  </si>
  <si>
    <t>Index % Chg</t>
  </si>
  <si>
    <t>ADR % Chg</t>
  </si>
  <si>
    <t>RevPAR % Chg</t>
  </si>
  <si>
    <t>Start Date - EndDate</t>
  </si>
  <si>
    <t>Combined Summary - My Hotel vs. Comp Set 2</t>
  </si>
  <si>
    <t>Exchange Rate*</t>
  </si>
  <si>
    <t>Revenue Per Room Sold</t>
  </si>
  <si>
    <t xml:space="preserve">Segmentation </t>
  </si>
  <si>
    <t>Additional Revenue</t>
  </si>
  <si>
    <t>Percent Change (%)</t>
  </si>
  <si>
    <t xml:space="preserve">     % Chg</t>
  </si>
  <si>
    <t>WD</t>
  </si>
  <si>
    <t>WE</t>
  </si>
  <si>
    <t>Weekly STAR</t>
  </si>
  <si>
    <t>Index (MPI)</t>
  </si>
  <si>
    <t>Index (ARI)</t>
  </si>
  <si>
    <t>Index (RGI)</t>
  </si>
  <si>
    <t>Total (TrevPOR**)</t>
  </si>
  <si>
    <t xml:space="preserve">** TrevPOR = Total revenue per occupied room (sum of Room, F&amp;B, and Other revenue divided by total occupied rooms).  </t>
  </si>
  <si>
    <t>Job #</t>
  </si>
  <si>
    <t>Title</t>
  </si>
  <si>
    <t>Options</t>
  </si>
  <si>
    <t>Table Of Contents</t>
  </si>
  <si>
    <t>support@str.com     www.str.com</t>
  </si>
  <si>
    <t>Period</t>
  </si>
  <si>
    <t>Glossary:</t>
  </si>
  <si>
    <t>Frequently Asked Questions (FAQ):</t>
  </si>
  <si>
    <r>
      <t xml:space="preserve">For the latest in industry news, visit </t>
    </r>
    <r>
      <rPr>
        <u/>
        <sz val="11"/>
        <rFont val="Arial"/>
        <family val="2"/>
      </rPr>
      <t xml:space="preserve">HotelNewsNow.com</t>
    </r>
    <r>
      <rPr>
        <sz val="11"/>
        <rFont val="Arial"/>
        <family val="2"/>
      </rPr>
      <t xml:space="preserve">.</t>
    </r>
  </si>
  <si>
    <r>
      <t xml:space="preserve">To learn more about the Hotel Data Conference, visit </t>
    </r>
    <r>
      <rPr>
        <u/>
        <sz val="11"/>
        <rFont val="Arial"/>
        <family val="2"/>
      </rPr>
      <t xml:space="preserve">HotelDataConference.com</t>
    </r>
    <r>
      <rPr>
        <sz val="11"/>
        <rFont val="Arial"/>
        <family val="2"/>
      </rPr>
      <t xml:space="preserve">.</t>
    </r>
  </si>
  <si>
    <t>Corporate North American Headquarters</t>
  </si>
  <si>
    <t>International Headquarters</t>
  </si>
  <si>
    <t>T: +44 (0) 207 922 1930</t>
  </si>
  <si>
    <r>
      <t xml:space="preserve">For all STR definitions, please click here or visit </t>
    </r>
    <r>
      <rPr>
        <u/>
        <sz val="11"/>
        <rFont val="Arial"/>
        <family val="2"/>
      </rPr>
      <t xml:space="preserve">www.str.com/data-insights/resources/glossary</t>
    </r>
  </si>
  <si>
    <r>
      <t xml:space="preserve">For all STR FAQs, please click here or visit </t>
    </r>
    <r>
      <rPr>
        <u/>
        <sz val="11"/>
        <rFont val="Arial"/>
        <family val="2"/>
      </rPr>
      <t xml:space="preserve">www.str.com/data-insights/resources/FAQ</t>
    </r>
  </si>
  <si>
    <r>
      <t xml:space="preserve">For additional support, please </t>
    </r>
    <r>
      <rPr>
        <u/>
        <sz val="11"/>
        <rFont val="Arial"/>
        <family val="2"/>
      </rPr>
      <t xml:space="preserve">contact</t>
    </r>
    <r>
      <rPr>
        <sz val="11"/>
        <rFont val="Arial"/>
        <family val="2"/>
      </rPr>
      <t xml:space="preserve"> your regional office.</t>
    </r>
  </si>
  <si>
    <t>T: +1 (615) 824 8664</t>
  </si>
  <si>
    <t>hotelinfo@str.com     www.str.com</t>
  </si>
  <si>
    <t>2025 © CoStar Group. This STR Report is a publication of STR, LLC and STR Global, Ltd., CoStar Group companies, and is intended solely for use by paid subscribers. The information in the STR Report is provided on an “as is” and “as available” basis and should not be construed as investment, tax, accounting or legal advice. Reproduction or distribution of this STR Report, in whole or part, without written permission is prohibited and subject to legal action. If you have received this report and are NOT a subscriber to this STR Report, please contact us immediately. Source: 2025 STR, LLC / STR Global, Ltd. trading as “STR”.</t>
  </si>
  <si>
    <t>Tab 2 - Weekly Performance at a Glance - My Property vs. Competitive Set</t>
  </si>
  <si>
    <t>Weekly Performance at a Glance</t>
  </si>
  <si>
    <t>Tab 3 - Segmentation at a Glance - My Property vs. Competitive Set</t>
  </si>
  <si>
    <t>Segmentation at a Glance</t>
  </si>
  <si>
    <t>Tab 4 - Daily Data for the Month</t>
  </si>
  <si>
    <t>Daily Data for the Month</t>
  </si>
  <si>
    <t>Tab 5 - Occupancy Perspectives</t>
  </si>
  <si>
    <t>Occupancy Perspectives</t>
  </si>
  <si>
    <t>Tab 6 - Segmentation Occupancy Analysis</t>
  </si>
  <si>
    <t>Segmentation Occupancy Analysis</t>
  </si>
  <si>
    <t>Tab 7 - ADR Perspectives</t>
  </si>
  <si>
    <t>ADR Perspectives</t>
  </si>
  <si>
    <t>Tab 8 - Segmentation ADR Analysis</t>
  </si>
  <si>
    <t>Segmentation ADR Analysis</t>
  </si>
  <si>
    <t>Tab 9 - RevPAR Perspectives</t>
  </si>
  <si>
    <t>RevPAR Perspectives</t>
  </si>
  <si>
    <t>Tab 10 - Segmentation RevPAR Analysis</t>
  </si>
  <si>
    <t>Segmentation RevPAR Analysis</t>
  </si>
  <si>
    <t>Tab 11 - Additional Revenue</t>
  </si>
  <si>
    <t>Tab 12 - Response Report</t>
  </si>
  <si>
    <t>Response Report</t>
  </si>
  <si>
    <t>Help</t>
  </si>
  <si>
    <t>Weekly STAR Report : Hilton Garden Inn Jackson Downtown</t>
  </si>
  <si>
    <t>STR # 60180 / Created August 12, 2025</t>
  </si>
  <si>
    <t>For the Week of: August 03, 2025 - August 09, 2025</t>
  </si>
  <si>
    <t>Currency: US Dollar  /  Competitive Set Data Excludes Subject Property</t>
  </si>
  <si>
    <t>Hilton Garden Inn Jackson Downtown        235 W Capitol St        Jackson, MS 39201        Phone: (601) 353-5464</t>
  </si>
  <si>
    <t>STR # 60180        Chain ID: 000043085        Mgt Co: Dellisart Hospitality        Owner: Desai Hotel Group</t>
  </si>
  <si>
    <t>For the Week of: August 03, 2025 - August 09, 2025        Date Created: August 12, 2025        Competitive Set Data Excludes Subject Property</t>
  </si>
  <si>
    <t>August 03, 2025 - August 09, 2025</t>
  </si>
  <si>
    <t>Aug</t>
  </si>
  <si>
    <t>Market Scale: Jackson, MS Upscale Chains</t>
  </si>
  <si>
    <t>Market Scale</t>
  </si>
  <si>
    <t>Jul</t>
  </si>
  <si>
    <t>7 of 8</t>
  </si>
  <si>
    <t>3 of 8</t>
  </si>
  <si>
    <t>4 of 8</t>
  </si>
  <si>
    <t>5 of 8</t>
  </si>
  <si>
    <t>8 of 8</t>
  </si>
  <si>
    <t>2 of 8</t>
  </si>
  <si>
    <t>1 of 8</t>
  </si>
  <si>
    <t>6 of 8</t>
  </si>
  <si>
    <t>Market Scale*: Jackson, MS Upscale Chains</t>
  </si>
  <si>
    <t>For the Week of: August 03, 2025 - August 09, 2025        Date Created: August 12, 2025</t>
  </si>
  <si>
    <t>Hilton Garden Inn Jackson Downtown</t>
  </si>
  <si>
    <t>Jackson, MS</t>
  </si>
  <si>
    <t>39201</t>
  </si>
  <si>
    <t>(601) 353-5464</t>
  </si>
  <si>
    <t>192312</t>
  </si>
  <si>
    <t>X</t>
  </si>
  <si>
    <t/>
  </si>
  <si>
    <t>Hilton Jackson</t>
  </si>
  <si>
    <t>39211</t>
  </si>
  <si>
    <t>(601) 957-2800</t>
  </si>
  <si>
    <t>198406</t>
  </si>
  <si>
    <t>T</t>
  </si>
  <si>
    <t>Holiday Inn Express &amp; Suites Jackson Downtown Coliseum</t>
  </si>
  <si>
    <t>39202</t>
  </si>
  <si>
    <t>(601) 948-4466</t>
  </si>
  <si>
    <t>198905</t>
  </si>
  <si>
    <t>Courtyard Jackson Ridgeland</t>
  </si>
  <si>
    <t>(601) 956-9991</t>
  </si>
  <si>
    <t>199505</t>
  </si>
  <si>
    <t>Hampton Inn &amp; Suites Jackson Downtown-Coliseum</t>
  </si>
  <si>
    <t>(601) 352-1700</t>
  </si>
  <si>
    <t>199611</t>
  </si>
  <si>
    <t>Embassy Suites by Hilton Jackson North Ridgeland</t>
  </si>
  <si>
    <t>Ridgeland, MS</t>
  </si>
  <si>
    <t>39157</t>
  </si>
  <si>
    <t>(601) 607-7112</t>
  </si>
  <si>
    <t>200812</t>
  </si>
  <si>
    <t>Hyatt Place Jackson/Ridgeland</t>
  </si>
  <si>
    <t>39157-8719</t>
  </si>
  <si>
    <t>(601) 898-8815</t>
  </si>
  <si>
    <t>200810</t>
  </si>
  <si>
    <t>L</t>
  </si>
  <si>
    <t>The Westin Jackson</t>
  </si>
  <si>
    <t>39201-4904</t>
  </si>
  <si>
    <t>(601) 968-8200</t>
  </si>
  <si>
    <t>201708</t>
  </si>
  <si>
    <t>Data received: X = Both years, T = This year only, L = Last year only, blank = No data</t>
  </si>
  <si>
    <t>2025 (This Year)</t>
  </si>
  <si>
    <t>Jun/Jul</t>
  </si>
  <si>
    <t>Jul/Aug</t>
  </si>
  <si>
    <t>2024 (Last Year)</t>
  </si>
  <si>
    <t>July 4th</t>
  </si>
  <si>
    <t>- Independence Day</t>
  </si>
  <si>
    <t>Sep 2nd</t>
  </si>
  <si>
    <t>- Labor Day</t>
  </si>
  <si>
    <t>Oct 3rd</t>
  </si>
  <si>
    <t>- Rosh Hashanah</t>
  </si>
  <si>
    <t>Oct 12th</t>
  </si>
  <si>
    <t>- Yom Kippur</t>
  </si>
  <si>
    <t>Oct 14th</t>
  </si>
  <si>
    <t>- Columbus Day</t>
  </si>
  <si>
    <t>Oct 31st</t>
  </si>
  <si>
    <t>- Halloween</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</si>
</sst>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1">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0.0"/>
    <numFmt numFmtId="167" formatCode="&quot;$&quot;#,##0.00"/>
    <numFmt numFmtId="168" formatCode="#,##0.0_);\(#,##0.0\);_(* &quot;&quot;??_);"/>
    <numFmt numFmtId="169" formatCode="mmm\ dd"/>
    <numFmt numFmtId="170" formatCode="[$-409]d\-mmm;@"/>
  </numFmts>
  <fonts count="84">
    <font>
      <sz val="10"/>
      <name val="Arial"/>
    </font>
    <font>
      <sz val="10"/>
      <name val="Arial"/>
    </font>
    <font>
      <u/>
      <sz val="10"/>
      <color indexed="36"/>
      <name val="Arial"/>
      <family val="2"/>
    </font>
    <font>
      <b/>
      <sz val="11"/>
      <color indexed="9"/>
      <name val="Arial"/>
      <family val="2"/>
    </font>
    <font>
      <sz val="10"/>
      <name val="Arial"/>
      <family val="2"/>
    </font>
    <font>
      <sz val="11"/>
      <name val="Arial"/>
      <family val="2"/>
    </font>
    <font>
      <b/>
      <sz val="12"/>
      <name val="Arial"/>
      <family val="2"/>
    </font>
    <font>
      <sz val="16"/>
      <name val="Arial"/>
      <family val="2"/>
    </font>
    <font>
      <sz val="14"/>
      <name val="Arial"/>
      <family val="2"/>
    </font>
    <font>
      <sz val="9"/>
      <name val="Arial"/>
      <family val="2"/>
    </font>
    <font>
      <b/>
      <sz val="9"/>
      <name val="Arial"/>
      <family val="2"/>
    </font>
    <font>
      <b/>
      <sz val="10"/>
      <name val="Arial"/>
      <family val="2"/>
    </font>
    <font>
      <sz val="8"/>
      <name val="Arial"/>
      <family val="2"/>
    </font>
    <font>
      <sz val="18"/>
      <name val="Arial"/>
      <family val="2"/>
    </font>
    <font>
      <sz val="12"/>
      <name val="Arial"/>
      <family val="2"/>
    </font>
    <font>
      <sz val="25"/>
      <name val="Arial"/>
      <family val="2"/>
    </font>
    <font>
      <b/>
      <sz val="13"/>
      <name val="Arial"/>
      <family val="2"/>
    </font>
    <font>
      <sz val="7.5"/>
      <name val="Arial"/>
      <family val="2"/>
    </font>
    <font>
      <sz val="10"/>
      <color indexed="8"/>
      <name val="Arial"/>
      <family val="2"/>
    </font>
    <font>
      <b/>
      <sz val="12"/>
      <color indexed="9"/>
      <name val="Arial"/>
      <family val="2"/>
    </font>
    <font>
      <b/>
      <sz val="14"/>
      <name val="Arial"/>
      <family val="2"/>
    </font>
    <font>
      <b/>
      <sz val="12"/>
      <color indexed="8"/>
      <name val="Arial"/>
      <family val="2"/>
    </font>
    <font>
      <b/>
      <i/>
      <sz val="14"/>
      <color indexed="10"/>
      <name val="Arial"/>
      <family val="2"/>
    </font>
    <font>
      <b/>
      <sz val="14"/>
      <color indexed="8"/>
      <name val="Arial"/>
      <family val="2"/>
    </font>
    <font>
      <b/>
      <sz val="9"/>
      <color indexed="8"/>
      <name val="Arial"/>
      <family val="2"/>
    </font>
    <font>
      <sz val="13"/>
      <name val="Arial"/>
      <family val="2"/>
    </font>
    <font>
      <sz val="8"/>
      <name val="Wingdings"/>
      <charset val="2"/>
    </font>
    <font>
      <b/>
      <sz val="18"/>
      <name val="Arial"/>
      <family val="2"/>
    </font>
    <font>
      <b/>
      <sz val="14"/>
      <color indexed="9"/>
      <name val="Arial"/>
      <family val="2"/>
    </font>
    <font>
      <sz val="10"/>
      <color indexed="9"/>
      <name val="Arial"/>
      <family val="2"/>
    </font>
    <font>
      <sz val="10"/>
      <color indexed="55"/>
      <name val="Arial"/>
      <family val="2"/>
    </font>
    <font>
      <b/>
      <sz val="8"/>
      <name val="Arial"/>
      <family val="2"/>
    </font>
    <font>
      <sz val="14"/>
      <name val="Arial"/>
      <family val="2"/>
    </font>
    <font>
      <b/>
      <sz val="9"/>
      <name val="Arial"/>
      <family val="2"/>
    </font>
    <font>
      <sz val="9"/>
      <name val="Arial"/>
      <family val="2"/>
    </font>
    <font>
      <sz val="18"/>
      <name val="Arial"/>
      <family val="2"/>
    </font>
    <font>
      <b/>
      <sz val="10"/>
      <name val="Arial"/>
      <family val="2"/>
    </font>
    <font>
      <sz val="12"/>
      <name val="Arial"/>
      <family val="2"/>
    </font>
    <font>
      <sz val="7"/>
      <name val="Webdings"/>
      <family val="1"/>
      <charset val="2"/>
    </font>
    <font>
      <sz val="8"/>
      <name val="Arial"/>
      <family val="2"/>
    </font>
    <font>
      <b/>
      <sz val="12"/>
      <name val="Arial"/>
      <family val="2"/>
    </font>
    <font>
      <sz val="10"/>
      <name val="Webdings"/>
      <family val="1"/>
      <charset val="2"/>
    </font>
    <font>
      <sz val="11"/>
      <name val="Arial"/>
      <family val="2"/>
    </font>
    <font>
      <b/>
      <sz val="11"/>
      <name val="Arial"/>
      <family val="2"/>
    </font>
    <font>
      <b/>
      <sz val="11"/>
      <name val="Arial"/>
      <family val="2"/>
    </font>
    <font>
      <sz val="13"/>
      <name val="Arial"/>
      <family val="2"/>
    </font>
    <font>
      <b/>
      <sz val="13"/>
      <name val="Arial"/>
      <family val="2"/>
    </font>
    <font>
      <sz val="10"/>
      <name val="Webdings"/>
      <family val="1"/>
      <charset val="2"/>
    </font>
    <font>
      <u/>
      <sz val="10"/>
      <color indexed="39"/>
      <name val="Arial"/>
      <family val="2"/>
    </font>
    <font>
      <sz val="24"/>
      <color indexed="9"/>
      <name val="Arial"/>
      <family val="2"/>
    </font>
    <font>
      <b/>
      <sz val="14"/>
      <name val="Arial"/>
      <family val="2"/>
    </font>
    <font>
      <b/>
      <sz val="14"/>
      <color indexed="8"/>
      <name val="Arial"/>
      <family val="2"/>
    </font>
    <font>
      <sz val="10"/>
      <color indexed="8"/>
      <name val="Arial"/>
      <family val="2"/>
    </font>
    <font>
      <b/>
      <sz val="9"/>
      <color indexed="8"/>
      <name val="Arial"/>
      <family val="2"/>
    </font>
    <font>
      <sz val="10"/>
      <color indexed="9"/>
      <name val="Arial"/>
      <family val="2"/>
    </font>
    <font>
      <b/>
      <sz val="14"/>
      <color indexed="9"/>
      <name val="Arial"/>
      <family val="2"/>
    </font>
    <font>
      <b/>
      <sz val="13"/>
      <color indexed="9"/>
      <name val="Arial"/>
      <family val="2"/>
    </font>
    <font>
      <b/>
      <sz val="16"/>
      <color indexed="9"/>
      <name val="Arial"/>
      <family val="2"/>
    </font>
    <font>
      <sz val="11"/>
      <color indexed="55"/>
      <name val="Arial"/>
      <family val="2"/>
    </font>
    <font>
      <sz val="10"/>
      <name val="Arial"/>
      <family val="2"/>
    </font>
    <font>
      <b/>
      <sz val="16"/>
      <name val="Arial"/>
      <family val="2"/>
    </font>
    <font>
      <sz val="13"/>
      <color indexed="9"/>
      <name val="Arial"/>
      <family val="2"/>
    </font>
    <font>
      <b/>
      <sz val="12"/>
      <color indexed="38"/>
      <name val="Arial"/>
      <family val="2"/>
    </font>
    <font>
      <sz val="9"/>
      <color indexed="9"/>
      <name val="Arial"/>
      <family val="2"/>
    </font>
    <font>
      <sz val="12"/>
      <color indexed="38"/>
      <name val="Arial"/>
      <family val="2"/>
    </font>
    <font>
      <sz val="24"/>
      <color indexed="9"/>
      <name val="Arial"/>
      <family val="2"/>
    </font>
    <font>
      <b/>
      <sz val="10"/>
      <color indexed="9"/>
      <name val="Arial"/>
      <family val="2"/>
    </font>
    <font>
      <sz val="8"/>
      <color indexed="9"/>
      <name val="Arial"/>
      <family val="2"/>
    </font>
    <font>
      <sz val="19"/>
      <color indexed="9"/>
      <name val="Arial"/>
      <family val="2"/>
    </font>
    <font>
      <sz val="10"/>
      <name val="Arial"/>
      <family val="2"/>
    </font>
    <font>
      <u/>
      <sz val="11"/>
      <name val="Arial"/>
      <family val="2"/>
    </font>
    <font>
      <b/>
      <i/>
      <sz val="10"/>
      <color indexed="10"/>
      <name val="Arial"/>
      <family val="2"/>
    </font>
    <font>
      <b/>
      <i/>
      <sz val="9"/>
      <color indexed="10"/>
      <name val="Arial"/>
      <family val="2"/>
    </font>
    <font>
      <sz val="11"/>
      <color theme="1"/>
      <name val="Calibri"/>
      <family val="2"/>
      <scheme val="minor"/>
    </font>
    <font>
      <u/>
      <sz val="11"/>
      <color theme="10"/>
      <name val="Calibri"/>
      <family val="2"/>
      <scheme val="minor"/>
    </font>
    <font>
      <sz val="11"/>
      <color rgb="FFFF0000"/>
      <name val="Calibri"/>
      <family val="2"/>
      <scheme val="minor"/>
    </font>
    <font>
      <b/>
      <sz val="18"/>
      <color theme="1"/>
      <name val="Arial"/>
      <family val="2"/>
    </font>
    <font>
      <sz val="18"/>
      <color theme="1"/>
      <name val="Arial"/>
      <family val="2"/>
    </font>
    <font>
      <b/>
      <sz val="11"/>
      <color theme="1"/>
      <name val="Arial"/>
      <family val="2"/>
    </font>
    <font>
      <sz val="11"/>
      <color theme="1"/>
      <name val="Arial"/>
      <family val="2"/>
    </font>
    <font>
      <u/>
      <color rgb="FF0000FF"/>
    </font>
    <font>
      <color rgb="FFFFFFFF"/>
    </font>
    <font>
      <color rgb="FFA0A0A0"/>
    </font>
    <font/>
  </fonts>
  <fills count="18">
    <fill>
      <patternFill patternType="none"/>
    </fill>
    <fill>
      <patternFill patternType="gray125"/>
    </fill>
    <fill>
      <patternFill patternType="solid">
        <fgColor indexed="59"/>
      </patternFill>
    </fill>
    <fill>
      <patternFill patternType="solid">
        <fgColor indexed="9"/>
      </patternFill>
    </fill>
    <fill>
      <patternFill patternType="solid">
        <fgColor indexed="63"/>
      </patternFill>
    </fill>
    <fill>
      <patternFill patternType="solid">
        <fgColor indexed="55"/>
      </patternFill>
    </fill>
    <fill>
      <patternFill patternType="solid">
        <fgColor indexed="22"/>
      </patternFill>
    </fill>
    <fill>
      <patternFill patternType="solid">
        <fgColor indexed="61"/>
      </patternFill>
    </fill>
    <fill>
      <patternFill patternType="solid">
        <fgColor indexed="60"/>
      </patternFill>
    </fill>
    <fill>
      <patternFill patternType="solid">
        <fgColor indexed="57"/>
      </patternFill>
    </fill>
    <fill>
      <patternFill patternType="solid">
        <fgColor indexed="31"/>
      </patternFill>
    </fill>
    <fill>
      <patternFill patternType="solid">
        <fgColor indexed="39"/>
      </patternFill>
    </fill>
    <fill>
      <patternFill patternType="solid">
        <fgColor indexed="45"/>
      </patternFill>
    </fill>
    <fill>
      <patternFill patternType="solid">
        <fgColor theme="0"/>
      </patternFill>
    </fill>
    <fill>
      <patternFill patternType="solid">
        <fgColor rgb="FFFFFFFF"/>
      </patternFill>
    </fill>
    <fill>
      <patternFill patternType="solid">
        <fgColor rgb="FFFFFFFF"/>
      </patternFill>
    </fill>
    <fill>
      <patternFill patternType="solid">
        <fgColor rgb="FFA0A0A0"/>
      </patternFill>
    </fill>
    <fill>
      <patternFill patternType="solid">
        <fgColor rgb="FFEAEAEA"/>
      </patternFill>
    </fill>
  </fills>
  <borders count="71">
    <border>
      <left>
        <color/>
      </left>
      <right>
        <color/>
      </right>
      <top>
        <color/>
      </top>
      <bottom>
        <color/>
      </bottom>
      <diagonal>
        <color/>
      </diagonal>
    </border>
    <border>
      <left style="thin">
        <color indexed="39"/>
      </left>
      <right style="thin">
        <color indexed="39"/>
      </right>
      <top style="thin">
        <color indexed="39"/>
      </top>
      <bottom style="thin">
        <color indexed="39"/>
      </bottom>
      <diagonal>
        <color/>
      </diagonal>
    </border>
    <border>
      <left style="thin">
        <color indexed="55"/>
      </left>
      <right style="thin">
        <color indexed="55"/>
      </right>
      <top style="thin">
        <color indexed="55"/>
      </top>
      <bottom style="thin">
        <color indexed="55"/>
      </bottom>
      <diagonal>
        <color/>
      </diagonal>
    </border>
    <border>
      <left>
        <color/>
      </left>
      <right>
        <color/>
      </right>
      <top style="thin">
        <color indexed="55"/>
      </top>
      <bottom style="thin">
        <color indexed="55"/>
      </bottom>
      <diagonal>
        <color/>
      </diagonal>
    </border>
    <border>
      <left style="thin">
        <color indexed="55"/>
      </left>
      <right>
        <color/>
      </right>
      <top style="thin">
        <color indexed="55"/>
      </top>
      <bottom style="thin">
        <color indexed="55"/>
      </bottom>
      <diagonal>
        <color/>
      </diagonal>
    </border>
    <border>
      <left>
        <color/>
      </left>
      <right style="thin">
        <color indexed="55"/>
      </right>
      <top style="thin">
        <color indexed="55"/>
      </top>
      <bottom style="thin">
        <color indexed="55"/>
      </bottom>
      <diagonal>
        <color/>
      </diagonal>
    </border>
    <border>
      <left style="medium">
        <color indexed="64"/>
      </left>
      <right>
        <color/>
      </right>
      <top>
        <color/>
      </top>
      <bottom>
        <color/>
      </bottom>
      <diagonal>
        <color/>
      </diagonal>
    </border>
    <border>
      <left>
        <color/>
      </left>
      <right style="medium">
        <color indexed="64"/>
      </right>
      <top>
        <color/>
      </top>
      <bottom>
        <color/>
      </bottom>
      <diagonal>
        <color/>
      </diagonal>
    </border>
    <border>
      <left>
        <color/>
      </left>
      <right style="thin">
        <color indexed="55"/>
      </right>
      <top>
        <color/>
      </top>
      <bottom>
        <color/>
      </bottom>
      <diagonal>
        <color/>
      </diagonal>
    </border>
    <border>
      <left>
        <color/>
      </left>
      <right style="thin">
        <color indexed="55"/>
      </right>
      <top>
        <color/>
      </top>
      <bottom style="thin">
        <color indexed="55"/>
      </bottom>
      <diagonal>
        <color/>
      </diagonal>
    </border>
    <border>
      <left>
        <color/>
      </left>
      <right style="thin">
        <color indexed="55"/>
      </right>
      <top style="thin">
        <color indexed="55"/>
      </top>
      <bottom>
        <color/>
      </bottom>
      <diagonal>
        <color/>
      </diagonal>
    </border>
    <border>
      <left>
        <color/>
      </left>
      <right>
        <color/>
      </right>
      <top>
        <color/>
      </top>
      <bottom style="thin">
        <color indexed="55"/>
      </bottom>
      <diagonal>
        <color/>
      </diagonal>
    </border>
    <border>
      <left>
        <color/>
      </left>
      <right>
        <color/>
      </right>
      <top style="thin">
        <color indexed="55"/>
      </top>
      <bottom>
        <color/>
      </bottom>
      <diagonal>
        <color/>
      </diagonal>
    </border>
    <border>
      <left style="thin">
        <color indexed="22"/>
      </left>
      <right>
        <color/>
      </right>
      <top style="thin">
        <color indexed="22"/>
      </top>
      <bottom>
        <color/>
      </bottom>
      <diagonal>
        <color/>
      </diagonal>
    </border>
    <border>
      <left style="thin">
        <color indexed="22"/>
      </left>
      <right>
        <color/>
      </right>
      <top>
        <color/>
      </top>
      <bottom>
        <color/>
      </bottom>
      <diagonal>
        <color/>
      </diagonal>
    </border>
    <border>
      <left style="thin">
        <color indexed="22"/>
      </left>
      <right>
        <color/>
      </right>
      <top>
        <color/>
      </top>
      <bottom style="thin">
        <color indexed="22"/>
      </bottom>
      <diagonal>
        <color/>
      </diagonal>
    </border>
    <border>
      <left style="medium">
        <color indexed="64"/>
      </left>
      <right>
        <color/>
      </right>
      <top>
        <color/>
      </top>
      <bottom style="medium">
        <color indexed="64"/>
      </bottom>
      <diagonal>
        <color/>
      </diagonal>
    </border>
    <border>
      <left>
        <color/>
      </left>
      <right>
        <color/>
      </right>
      <top>
        <color/>
      </top>
      <bottom style="medium">
        <color indexed="64"/>
      </bottom>
      <diagonal>
        <color/>
      </diagonal>
    </border>
    <border>
      <left>
        <color/>
      </left>
      <right style="medium">
        <color indexed="64"/>
      </right>
      <top>
        <color/>
      </top>
      <bottom style="medium">
        <color indexed="64"/>
      </bottom>
      <diagonal>
        <color/>
      </diagonal>
    </border>
    <border>
      <left>
        <color/>
      </left>
      <right>
        <color/>
      </right>
      <top>
        <color/>
      </top>
      <bottom style="thin">
        <color indexed="64"/>
      </bottom>
      <diagonal>
        <color/>
      </diagonal>
    </border>
    <border>
      <left style="thin">
        <color indexed="64"/>
      </left>
      <right>
        <color/>
      </right>
      <top>
        <color/>
      </top>
      <bottom>
        <color/>
      </bottom>
      <diagonal>
        <color/>
      </diagonal>
    </border>
    <border>
      <left style="thin">
        <color indexed="64"/>
      </left>
      <right>
        <color/>
      </right>
      <top>
        <color/>
      </top>
      <bottom style="thin">
        <color indexed="64"/>
      </bottom>
      <diagonal>
        <color/>
      </diagonal>
    </border>
    <border>
      <left style="thin">
        <color indexed="39"/>
      </left>
      <right>
        <color/>
      </right>
      <top>
        <color/>
      </top>
      <bottom>
        <color/>
      </bottom>
      <diagonal>
        <color/>
      </diagonal>
    </border>
    <border>
      <left>
        <color/>
      </left>
      <right style="thin">
        <color indexed="39"/>
      </right>
      <top>
        <color/>
      </top>
      <bottom>
        <color/>
      </bottom>
      <diagonal>
        <color/>
      </diagonal>
    </border>
    <border>
      <left style="thin">
        <color indexed="39"/>
      </left>
      <right>
        <color/>
      </right>
      <top style="thin">
        <color indexed="39"/>
      </top>
      <bottom>
        <color/>
      </bottom>
      <diagonal>
        <color/>
      </diagonal>
    </border>
    <border>
      <left>
        <color/>
      </left>
      <right>
        <color/>
      </right>
      <top style="thin">
        <color indexed="39"/>
      </top>
      <bottom>
        <color/>
      </bottom>
      <diagonal>
        <color/>
      </diagonal>
    </border>
    <border>
      <left>
        <color/>
      </left>
      <right style="thin">
        <color indexed="39"/>
      </right>
      <top style="thin">
        <color indexed="39"/>
      </top>
      <bottom>
        <color/>
      </bottom>
      <diagonal>
        <color/>
      </diagonal>
    </border>
    <border>
      <left style="thin">
        <color indexed="39"/>
      </left>
      <right>
        <color/>
      </right>
      <top>
        <color/>
      </top>
      <bottom style="thin">
        <color indexed="39"/>
      </bottom>
      <diagonal>
        <color/>
      </diagonal>
    </border>
    <border>
      <left>
        <color/>
      </left>
      <right>
        <color/>
      </right>
      <top>
        <color/>
      </top>
      <bottom style="thin">
        <color indexed="39"/>
      </bottom>
      <diagonal>
        <color/>
      </diagonal>
    </border>
    <border>
      <left>
        <color/>
      </left>
      <right style="thin">
        <color indexed="39"/>
      </right>
      <top>
        <color/>
      </top>
      <bottom style="thin">
        <color indexed="39"/>
      </bottom>
      <diagonal>
        <color/>
      </diagonal>
    </border>
    <border>
      <left style="thin">
        <color indexed="39"/>
      </left>
      <right>
        <color/>
      </right>
      <top style="thin">
        <color indexed="39"/>
      </top>
      <bottom style="thin">
        <color indexed="39"/>
      </bottom>
      <diagonal>
        <color/>
      </diagonal>
    </border>
    <border>
      <left>
        <color/>
      </left>
      <right>
        <color/>
      </right>
      <top style="thin">
        <color indexed="39"/>
      </top>
      <bottom style="thin">
        <color indexed="39"/>
      </bottom>
      <diagonal>
        <color/>
      </diagonal>
    </border>
    <border>
      <left>
        <color/>
      </left>
      <right style="thin">
        <color indexed="39"/>
      </right>
      <top style="thin">
        <color indexed="39"/>
      </top>
      <bottom style="thin">
        <color indexed="39"/>
      </bottom>
      <diagonal>
        <color/>
      </diagonal>
    </border>
    <border>
      <left style="thin">
        <color indexed="39"/>
      </left>
      <right style="thin">
        <color indexed="39"/>
      </right>
      <top style="thin">
        <color indexed="39"/>
      </top>
      <bottom>
        <color/>
      </bottom>
      <diagonal>
        <color/>
      </diagonal>
    </border>
    <border>
      <left style="thin">
        <color indexed="39"/>
      </left>
      <right style="thin">
        <color indexed="39"/>
      </right>
      <top>
        <color/>
      </top>
      <bottom>
        <color/>
      </bottom>
      <diagonal>
        <color/>
      </diagonal>
    </border>
    <border>
      <left style="thin">
        <color indexed="39"/>
      </left>
      <right style="thin">
        <color indexed="39"/>
      </right>
      <top>
        <color/>
      </top>
      <bottom style="thin">
        <color indexed="39"/>
      </bottom>
      <diagonal>
        <color/>
      </diagonal>
    </border>
    <border>
      <left style="medium">
        <color indexed="64"/>
      </left>
      <right>
        <color/>
      </right>
      <top style="thin">
        <color indexed="39"/>
      </top>
      <bottom>
        <color/>
      </bottom>
      <diagonal>
        <color/>
      </diagonal>
    </border>
    <border>
      <left style="medium">
        <color indexed="64"/>
      </left>
      <right>
        <color/>
      </right>
      <top>
        <color/>
      </top>
      <bottom style="thin">
        <color indexed="39"/>
      </bottom>
      <diagonal>
        <color/>
      </diagonal>
    </border>
    <border>
      <left>
        <color/>
      </left>
      <right style="medium">
        <color indexed="64"/>
      </right>
      <top style="thin">
        <color indexed="39"/>
      </top>
      <bottom>
        <color/>
      </bottom>
      <diagonal>
        <color/>
      </diagonal>
    </border>
    <border>
      <left>
        <color/>
      </left>
      <right style="medium">
        <color indexed="64"/>
      </right>
      <top>
        <color/>
      </top>
      <bottom style="thin">
        <color indexed="39"/>
      </bottom>
      <diagonal>
        <color/>
      </diagonal>
    </border>
    <border>
      <left style="medium">
        <color indexed="64"/>
      </left>
      <right>
        <color/>
      </right>
      <top style="thin">
        <color indexed="39"/>
      </top>
      <bottom style="thin">
        <color indexed="39"/>
      </bottom>
      <diagonal>
        <color/>
      </diagonal>
    </border>
    <border>
      <left>
        <color/>
      </left>
      <right style="medium">
        <color indexed="64"/>
      </right>
      <top style="thin">
        <color indexed="39"/>
      </top>
      <bottom style="thin">
        <color indexed="39"/>
      </bottom>
      <diagonal>
        <color/>
      </diagonal>
    </border>
    <border>
      <left style="medium">
        <color indexed="64"/>
      </left>
      <right>
        <color/>
      </right>
      <top style="medium">
        <color indexed="64"/>
      </top>
      <bottom>
        <color/>
      </bottom>
      <diagonal>
        <color/>
      </diagonal>
    </border>
    <border>
      <left>
        <color/>
      </left>
      <right>
        <color/>
      </right>
      <top style="medium">
        <color indexed="64"/>
      </top>
      <bottom>
        <color/>
      </bottom>
      <diagonal>
        <color/>
      </diagonal>
    </border>
    <border>
      <left>
        <color/>
      </left>
      <right style="medium">
        <color indexed="64"/>
      </right>
      <top style="medium">
        <color indexed="64"/>
      </top>
      <bottom>
        <color/>
      </bottom>
      <diagonal>
        <color/>
      </diagonal>
    </border>
    <border>
      <left style="medium">
        <color indexed="64"/>
      </left>
      <right style="medium">
        <color indexed="64"/>
      </right>
      <top style="medium">
        <color indexed="64"/>
      </top>
      <bottom>
        <color/>
      </bottom>
      <diagonal>
        <color/>
      </diagonal>
    </border>
    <border>
      <left style="medium">
        <color indexed="64"/>
      </left>
      <right style="medium">
        <color indexed="64"/>
      </right>
      <top>
        <color/>
      </top>
      <bottom>
        <color/>
      </bottom>
      <diagonal>
        <color/>
      </diagonal>
    </border>
    <border diagonalUp="0" diagonalDown="0">
      <left>
        <color auto="1" indexed="64"/>
      </left>
      <right>
        <color auto="1" indexed="64"/>
      </right>
      <top>
        <color auto="1" indexed="64"/>
      </top>
      <bottom>
        <color auto="1" indexed="64"/>
      </bottom>
      <diagonal>
        <color/>
      </diagonal>
    </border>
    <border diagonalUp="1" diagonalDown="1">
      <left>
        <color rgb="FFFFFFFF"/>
      </left>
      <right>
        <color rgb="FFFFFFFF"/>
      </right>
      <top>
        <color rgb="FFFFFFFF"/>
      </top>
      <bottom>
        <color rgb="FFFFFFFF"/>
      </bottom>
      <diagonal>
        <color rgb="FFFFFFFF"/>
      </diagonal>
    </border>
    <border>
      <left style="thin">
        <color rgb="FFA0A0A0"/>
      </left>
      <right>
        <color/>
      </right>
      <top style="thin">
        <color indexed="39"/>
      </top>
      <bottom>
        <color/>
      </bottom>
      <diagonal>
        <color/>
      </diagonal>
    </border>
    <border>
      <left style="thin">
        <color rgb="FFA0A0A0"/>
      </left>
      <right>
        <color/>
      </right>
      <top>
        <color/>
      </top>
      <bottom>
        <color/>
      </bottom>
      <diagonal>
        <color/>
      </diagonal>
    </border>
    <border>
      <left style="thin">
        <color rgb="FFA0A0A0"/>
      </left>
      <right>
        <color/>
      </right>
      <top>
        <color/>
      </top>
      <bottom style="thin">
        <color indexed="39"/>
      </bottom>
      <diagonal>
        <color/>
      </diagonal>
    </border>
    <border>
      <left style="thin">
        <color indexed="39"/>
      </left>
      <right>
        <color/>
      </right>
      <top style="thin">
        <color rgb="FFA0A0A0"/>
      </top>
      <bottom>
        <color/>
      </bottom>
      <diagonal>
        <color/>
      </diagonal>
    </border>
    <border>
      <left>
        <color/>
      </left>
      <right>
        <color/>
      </right>
      <top style="thin">
        <color rgb="FFA0A0A0"/>
      </top>
      <bottom>
        <color/>
      </bottom>
      <diagonal>
        <color/>
      </diagonal>
    </border>
    <border>
      <left>
        <color/>
      </left>
      <right style="thin">
        <color indexed="39"/>
      </right>
      <top style="thin">
        <color rgb="FFA0A0A0"/>
      </top>
      <bottom>
        <color/>
      </bottom>
      <diagonal>
        <color/>
      </diagonal>
    </border>
    <border diagonalUp="0" diagonalDown="0">
      <left style="thin">
        <color indexed="39"/>
      </left>
      <right style="thin">
        <color indexed="39"/>
      </right>
      <top style="thin">
        <color indexed="39"/>
      </top>
      <bottom>
        <color auto="1" indexed="64"/>
      </bottom>
      <diagonal>
        <color/>
      </diagonal>
    </border>
    <border diagonalUp="0" diagonalDown="0">
      <left style="thin">
        <color indexed="39"/>
      </left>
      <right style="thin">
        <color indexed="39"/>
      </right>
      <top>
        <color auto="1" indexed="64"/>
      </top>
      <bottom style="thin">
        <color indexed="39"/>
      </bottom>
      <diagonal>
        <color/>
      </diagonal>
    </border>
    <border diagonalUp="0" diagonalDown="0">
      <left>
        <color auto="1" indexed="64"/>
      </left>
      <right style="thin">
        <color indexed="55"/>
      </right>
      <top>
        <color auto="1" indexed="64"/>
      </top>
      <bottom style="thin">
        <color indexed="55"/>
      </bottom>
      <diagonal>
        <color/>
      </diagonal>
    </border>
    <border>
      <left>
        <color/>
      </left>
      <right style="thin">
        <color indexed="55"/>
      </right>
      <top style="thin">
        <color rgb="FFA0A0A0"/>
      </top>
      <bottom>
        <color/>
      </bottom>
      <diagonal>
        <color/>
      </diagonal>
    </border>
    <border diagonalUp="0" diagonalDown="0">
      <left style="thin">
        <color indexed="39"/>
      </left>
      <right>
        <color auto="1" indexed="64"/>
      </right>
      <top style="thin">
        <color indexed="39"/>
      </top>
      <bottom>
        <color auto="1" indexed="64"/>
      </bottom>
      <diagonal>
        <color/>
      </diagonal>
    </border>
    <border diagonalUp="0" diagonalDown="0">
      <left>
        <color auto="1" indexed="64"/>
      </left>
      <right>
        <color auto="1" indexed="64"/>
      </right>
      <top style="thin">
        <color indexed="39"/>
      </top>
      <bottom>
        <color auto="1" indexed="64"/>
      </bottom>
      <diagonal>
        <color/>
      </diagonal>
    </border>
    <border diagonalUp="0" diagonalDown="0">
      <left>
        <color auto="1" indexed="64"/>
      </left>
      <right style="thin">
        <color indexed="39"/>
      </right>
      <top style="thin">
        <color indexed="39"/>
      </top>
      <bottom>
        <color auto="1" indexed="64"/>
      </bottom>
      <diagonal>
        <color/>
      </diagonal>
    </border>
    <border diagonalUp="0" diagonalDown="0">
      <left style="thin">
        <color indexed="39"/>
      </left>
      <right>
        <color auto="1" indexed="64"/>
      </right>
      <top>
        <color auto="1" indexed="64"/>
      </top>
      <bottom>
        <color auto="1" indexed="64"/>
      </bottom>
      <diagonal>
        <color/>
      </diagonal>
    </border>
    <border diagonalUp="0" diagonalDown="0">
      <left>
        <color auto="1" indexed="64"/>
      </left>
      <right style="thin">
        <color indexed="39"/>
      </right>
      <top>
        <color auto="1" indexed="64"/>
      </top>
      <bottom>
        <color auto="1" indexed="64"/>
      </bottom>
      <diagonal>
        <color/>
      </diagonal>
    </border>
    <border diagonalUp="0" diagonalDown="0">
      <left style="thin">
        <color indexed="39"/>
      </left>
      <right>
        <color auto="1" indexed="64"/>
      </right>
      <top>
        <color auto="1" indexed="64"/>
      </top>
      <bottom style="thin">
        <color indexed="39"/>
      </bottom>
      <diagonal>
        <color/>
      </diagonal>
    </border>
    <border diagonalUp="0" diagonalDown="0">
      <left>
        <color auto="1" indexed="64"/>
      </left>
      <right>
        <color auto="1" indexed="64"/>
      </right>
      <top>
        <color auto="1" indexed="64"/>
      </top>
      <bottom style="thin">
        <color indexed="39"/>
      </bottom>
      <diagonal>
        <color/>
      </diagonal>
    </border>
    <border diagonalUp="0" diagonalDown="0">
      <left>
        <color auto="1" indexed="64"/>
      </left>
      <right style="thin">
        <color indexed="39"/>
      </right>
      <top>
        <color auto="1" indexed="64"/>
      </top>
      <bottom style="thin">
        <color indexed="39"/>
      </bottom>
      <diagonal>
        <color/>
      </diagonal>
    </border>
    <border diagonalUp="1" diagonalDown="1">
      <left style="thin">
        <color rgb="FFA0A0A0"/>
      </left>
      <right style="thin">
        <color rgb="FFA0A0A0"/>
      </right>
      <top style="thin">
        <color rgb="FFA0A0A0"/>
      </top>
      <bottom style="thin">
        <color rgb="FFA0A0A0"/>
      </bottom>
      <diagonal>
        <color rgb="FFA0A0A0"/>
      </diagonal>
    </border>
    <border diagonalUp="1" diagonalDown="1">
      <left style="thin">
        <color rgb="FFA0A0A0"/>
      </left>
      <right>
        <color rgb="FFA0A0A0"/>
      </right>
      <top style="thin">
        <color rgb="FFA0A0A0"/>
      </top>
      <bottom style="thin">
        <color rgb="FFA0A0A0"/>
      </bottom>
      <diagonal>
        <color rgb="FFA0A0A0"/>
      </diagonal>
    </border>
    <border diagonalUp="1" diagonalDown="1">
      <left>
        <color rgb="FFA0A0A0"/>
      </left>
      <right>
        <color rgb="FFA0A0A0"/>
      </right>
      <top style="thin">
        <color rgb="FFA0A0A0"/>
      </top>
      <bottom style="thin">
        <color rgb="FFA0A0A0"/>
      </bottom>
      <diagonal>
        <color rgb="FFA0A0A0"/>
      </diagonal>
    </border>
    <border diagonalUp="1" diagonalDown="1">
      <left>
        <color rgb="FFA0A0A0"/>
      </left>
      <right style="thin">
        <color rgb="FFA0A0A0"/>
      </right>
      <top style="thin">
        <color rgb="FFA0A0A0"/>
      </top>
      <bottom style="thin">
        <color rgb="FFA0A0A0"/>
      </bottom>
      <diagonal>
        <color rgb="FFA0A0A0"/>
      </diagonal>
    </border>
  </borders>
  <cellStyleXfs count="176">
    <xf numFmtId="0" fontId="1" fillId="0" borderId="0" applyFont="1" applyFill="1"/>
    <xf numFmtId="43" fontId="1" fillId="0" borderId="0" applyNumberFormat="1" applyFont="1" applyFill="1" applyBorder="0"/>
    <xf numFmtId="43" fontId="1" fillId="0" borderId="0" applyNumberFormat="1" applyFont="1" applyFill="1" applyBorder="0"/>
    <xf numFmtId="44" fontId="1" fillId="0" borderId="0" applyNumberFormat="1" applyFont="1" applyFill="1" applyBorder="0"/>
    <xf numFmtId="0" fontId="1" fillId="0" borderId="0" applyFont="1" applyFill="1"/>
    <xf numFmtId="43" fontId="1" fillId="0" borderId="0" applyNumberFormat="1" applyFont="1" applyFill="1" applyBorder="0"/>
    <xf numFmtId="41" fontId="1" fillId="0" borderId="0" applyNumberFormat="1" applyFont="1" applyFill="1" applyBorder="0"/>
    <xf numFmtId="44" fontId="1" fillId="0" borderId="0" applyNumberFormat="1" applyFont="1" applyFill="1" applyBorder="0"/>
    <xf numFmtId="42"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2" fillId="0" borderId="0" applyNumberFormat="0" applyFont="1" applyFill="1" applyBorder="0"/>
    <xf numFmtId="0" fontId="48" fillId="0" borderId="0" applyNumberFormat="0" applyFont="1" applyFill="1" applyBorder="0"/>
    <xf numFmtId="9" fontId="1" fillId="0" borderId="0" applyNumberFormat="1" applyFont="1" applyFill="1" applyBorder="0"/>
    <xf numFmtId="0" fontId="74" fillId="0" borderId="0" applyNumberFormat="0" applyFont="1" applyFill="1" applyBorder="0"/>
    <xf numFmtId="0" fontId="73" fillId="0" borderId="0" applyFont="1" applyFill="1"/>
    <xf numFmtId="9" fontId="1" fillId="0" borderId="0" applyNumberFormat="1" applyFont="1" applyFill="1" applyBorder="0"/>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0" fillId="3" borderId="5" applyNumberFormat="0" applyFont="1" applyFill="1" applyBorder="1" applyAlignment="1">
      <alignment horizontal="center" vertical="center"/>
    </xf>
    <xf numFmtId="0" fontId="60" fillId="4"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9" fillId="3" borderId="3" applyNumberFormat="0" applyFont="1" applyFill="1" applyBorder="1"/>
    <xf numFmtId="0" fontId="69" fillId="6" borderId="3" applyNumberFormat="0" applyFont="1" applyFill="1" applyBorder="1"/>
    <xf numFmtId="0" fontId="65" fillId="2" borderId="0" applyNumberFormat="0" applyFont="1" applyFill="1" applyBorder="0" applyAlignment="1">
      <alignment horizontal="center" wrapText="1"/>
    </xf>
    <xf numFmtId="0" fontId="65" fillId="2" borderId="0" applyNumberFormat="0" applyFont="1" applyFill="1" applyBorder="0" applyAlignment="1">
      <alignment horizontal="center" wrapText="1"/>
    </xf>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6" borderId="2" applyNumberFormat="0" applyFont="1" applyFill="1" applyBorder="1"/>
    <xf numFmtId="0" fontId="1" fillId="6" borderId="3" applyNumberFormat="0" applyFont="1" applyFill="1" applyBorder="1"/>
    <xf numFmtId="0" fontId="1" fillId="6" borderId="4" applyNumberFormat="0" applyFont="1" applyFill="1" applyBorder="1"/>
    <xf numFmtId="0" fontId="1" fillId="6" borderId="5" applyNumberFormat="0" applyFont="1" applyFill="1" applyBorder="1"/>
    <xf numFmtId="0" fontId="1" fillId="3" borderId="2" applyNumberFormat="0" applyFont="1" applyFill="1" applyBorder="1"/>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65" fillId="2" borderId="0" applyNumberFormat="0" applyFont="1" applyFill="1" applyBorder="0" applyAlignment="1">
      <alignment horizontal="center" wrapText="1"/>
    </xf>
    <xf numFmtId="0" fontId="1" fillId="3" borderId="2" applyNumberFormat="0" applyFont="1" applyFill="1" applyBorder="1" applyAlignment="1">
      <alignment horizontal="left"/>
    </xf>
    <xf numFmtId="0" fontId="1" fillId="3" borderId="3" applyNumberFormat="0" applyFont="1" applyFill="1" applyBorder="1"/>
    <xf numFmtId="0" fontId="1" fillId="3" borderId="4" applyNumberFormat="0" applyFont="1" applyFill="1" applyBorder="1"/>
    <xf numFmtId="0" fontId="1" fillId="3" borderId="5" applyNumberFormat="0" applyFont="1" applyFill="1" applyBorder="1"/>
    <xf numFmtId="0" fontId="1" fillId="4" borderId="2" applyNumberFormat="0" applyFont="1" applyFill="1" applyBorder="1" applyAlignment="1">
      <alignment horizontal="left"/>
    </xf>
    <xf numFmtId="0" fontId="1" fillId="4" borderId="3" applyNumberFormat="0" applyFont="1" applyFill="1" applyBorder="1"/>
    <xf numFmtId="0" fontId="1" fillId="4" borderId="4" applyNumberFormat="0" applyFont="1" applyFill="1" applyBorder="1"/>
    <xf numFmtId="0" fontId="1" fillId="4" borderId="5" applyNumberFormat="0" applyFont="1" applyFill="1" applyBorder="1"/>
    <xf numFmtId="0" fontId="56" fillId="7" borderId="0" applyNumberFormat="0" applyFont="1" applyFill="1" applyBorder="0" applyAlignment="1">
      <alignment horizontal="left"/>
    </xf>
    <xf numFmtId="0" fontId="61" fillId="8" borderId="0" applyNumberFormat="0" applyFont="1" applyFill="1" applyBorder="0" applyAlignment="1">
      <alignment horizontal="center"/>
    </xf>
    <xf numFmtId="0" fontId="65" fillId="2" borderId="0" applyNumberFormat="0" applyFont="1" applyFill="1" applyBorder="0" applyAlignment="1">
      <alignment horizontal="center" wrapText="1"/>
    </xf>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1" fillId="9" borderId="0" applyNumberFormat="0" applyFont="1" applyFill="1" applyBorder="0"/>
    <xf numFmtId="0" fontId="1" fillId="9" borderId="0" applyNumberFormat="0" applyFont="1" applyFill="1" applyBorder="0" applyAlignment="1">
      <alignment horizontal="center"/>
    </xf>
    <xf numFmtId="0" fontId="1" fillId="3" borderId="0" applyNumberFormat="0" applyFont="1" applyFill="1" applyBorder="0"/>
    <xf numFmtId="0" fontId="1" fillId="5" borderId="0" applyNumberFormat="0" applyFont="1" applyFill="1" applyBorder="0"/>
    <xf numFmtId="0" fontId="54" fillId="3" borderId="0" applyNumberFormat="0" applyFont="1" applyFill="1"/>
    <xf numFmtId="0" fontId="1" fillId="3" borderId="2" applyNumberFormat="0" applyFont="1" applyFill="1" applyBorder="1" applyAlignment="1">
      <alignment horizontal="left" vertical="center"/>
    </xf>
    <xf numFmtId="0" fontId="1" fillId="3" borderId="3" applyNumberFormat="0" applyFont="1" applyFill="1" applyBorder="1" applyAlignment="1">
      <alignment horizontal="center" vertical="center"/>
    </xf>
    <xf numFmtId="0" fontId="1" fillId="3" borderId="4" applyNumberFormat="0" applyFont="1" applyFill="1" applyBorder="1" applyAlignment="1">
      <alignment horizontal="center" vertical="center"/>
    </xf>
    <xf numFmtId="0" fontId="1" fillId="3" borderId="5" applyNumberFormat="0" applyFont="1" applyFill="1" applyBorder="1" applyAlignment="1">
      <alignment horizontal="center" vertical="center"/>
    </xf>
    <xf numFmtId="0" fontId="1" fillId="4" borderId="2" applyNumberFormat="0" applyFont="1" applyFill="1" applyBorder="1" applyAlignment="1">
      <alignment horizontal="left" vertical="center"/>
    </xf>
    <xf numFmtId="0" fontId="1" fillId="4" borderId="3" applyNumberFormat="0" applyFont="1" applyFill="1" applyBorder="1" applyAlignment="1">
      <alignment horizontal="center" vertical="center"/>
    </xf>
    <xf numFmtId="0" fontId="1" fillId="4" borderId="4" applyNumberFormat="0" applyFont="1" applyFill="1" applyBorder="1" applyAlignment="1">
      <alignment horizontal="center" vertical="center"/>
    </xf>
    <xf numFmtId="0" fontId="1" fillId="4" borderId="5" applyNumberFormat="0" applyFont="1" applyFill="1" applyBorder="1" applyAlignment="1">
      <alignment horizontal="center" vertical="center"/>
    </xf>
    <xf numFmtId="0" fontId="1" fillId="5" borderId="5" applyNumberFormat="0" applyFont="1" applyFill="1" applyBorder="1" applyAlignment="1">
      <alignment horizontal="center" vertical="center"/>
    </xf>
    <xf numFmtId="0" fontId="65" fillId="2" borderId="0" applyNumberFormat="0" applyFont="1" applyFill="1" applyBorder="0" applyAlignment="1">
      <alignment horizontal="center" wrapText="1"/>
    </xf>
    <xf numFmtId="0" fontId="80" borderId="0" applyFont="1" applyAlignment="1">
      <alignment vertical="top"/>
    </xf>
  </cellStyleXfs>
  <cellXfs count="714">
    <xf numFmtId="0" fontId="1" fillId="0" borderId="0" applyFont="1" applyFill="1"/>
    <xf numFmtId="0" fontId="1" fillId="3" borderId="0" applyFont="1" applyFill="1"/>
    <xf numFmtId="0" fontId="1" fillId="3" borderId="0" applyFont="1" applyFill="1" applyAlignment="1">
      <alignment horizontal="centerContinuous"/>
    </xf>
    <xf numFmtId="0" fontId="1" fillId="3" borderId="0" applyFont="1" applyFill="1" applyAlignment="1">
      <alignment horizontal="center"/>
    </xf>
    <xf numFmtId="0" fontId="69" fillId="0" borderId="0" applyFont="1" applyFill="1"/>
    <xf numFmtId="0" fontId="35" fillId="0" borderId="0" applyFont="1" applyFill="1"/>
    <xf numFmtId="0" fontId="37" fillId="0" borderId="0" applyFont="1" applyFill="1"/>
    <xf numFmtId="164" fontId="37" fillId="3" borderId="0" applyNumberFormat="1" applyFont="1" applyFill="1" applyAlignment="1">
      <alignment horizontal="left"/>
    </xf>
    <xf numFmtId="0" fontId="40" fillId="0" borderId="0" applyFont="1" applyFill="1"/>
    <xf numFmtId="0" fontId="36" fillId="0" borderId="0" applyFont="1" applyFill="1"/>
    <xf numFmtId="164" fontId="69" fillId="3" borderId="0" applyNumberFormat="1" applyFont="1" applyFill="1" applyAlignment="1">
      <alignment horizontal="left"/>
    </xf>
    <xf numFmtId="0" fontId="46" fillId="3" borderId="0" applyFont="1" applyFill="1" applyAlignment="1">
      <alignment horizontal="left"/>
    </xf>
    <xf numFmtId="0" fontId="1" fillId="3" borderId="0" applyFont="1" applyFill="1" applyAlignment="1">
      <alignment horizontal="right"/>
    </xf>
    <xf numFmtId="0" fontId="17" fillId="3" borderId="0" applyFont="1" applyFill="1"/>
    <xf numFmtId="0" fontId="32" fillId="3" borderId="0" applyFont="1" applyFill="1" applyAlignment="1">
      <alignment horizontal="centerContinuous"/>
    </xf>
    <xf numFmtId="0" fontId="32" fillId="3" borderId="0" applyFont="1" applyFill="1" applyAlignment="1">
      <alignment horizontal="right"/>
    </xf>
    <xf numFmtId="0" fontId="7" fillId="3" borderId="0" applyFont="1" applyFill="1" applyAlignment="1">
      <alignment horizontal="right"/>
    </xf>
    <xf numFmtId="0" fontId="42" fillId="3" borderId="0" applyFont="1" applyFill="1" applyAlignment="1">
      <alignment horizontal="left"/>
    </xf>
    <xf numFmtId="44" fontId="69" fillId="3" borderId="0" applyNumberFormat="1" applyFont="1" applyFill="1" applyAlignment="1">
      <alignment horizontal="right"/>
    </xf>
    <xf numFmtId="165" fontId="69" fillId="3" borderId="0" applyNumberFormat="1" applyFont="1" applyFill="1" applyAlignment="1">
      <alignment horizontal="right"/>
    </xf>
    <xf numFmtId="0" fontId="35" fillId="3" borderId="0" applyFont="1" applyFill="1" applyAlignment="1">
      <alignment horizontal="left"/>
    </xf>
    <xf numFmtId="0" fontId="1" fillId="0" borderId="0" applyFont="1" applyFill="1" applyAlignment="1">
      <alignment horizontal="center"/>
    </xf>
    <xf numFmtId="0" fontId="42" fillId="0" borderId="0" applyFont="1" applyFill="1"/>
    <xf numFmtId="0" fontId="69" fillId="0" borderId="0" applyFont="1" applyFill="1" applyAlignment="1">
      <alignment horizontal="center"/>
    </xf>
    <xf numFmtId="0" fontId="33" fillId="3" borderId="0" applyFont="1" applyFill="1" applyAlignment="1">
      <alignment horizontal="right"/>
    </xf>
    <xf numFmtId="0" fontId="52" fillId="0" borderId="0" applyFont="1" applyFill="1"/>
    <xf numFmtId="0" fontId="1" fillId="0" borderId="0" applyFont="1" applyFill="1" applyAlignment="1">
      <alignment horizontal="centerContinuous"/>
    </xf>
    <xf numFmtId="0" fontId="1" fillId="0" borderId="6" applyFont="1" applyFill="1" applyBorder="1"/>
    <xf numFmtId="0" fontId="1" fillId="0" borderId="7" applyFont="1" applyFill="1" applyBorder="1"/>
    <xf numFmtId="0" fontId="50" fillId="0" borderId="0" applyFont="1" applyFill="1"/>
    <xf numFmtId="0" fontId="1" fillId="0" borderId="0" applyFont="1" applyFill="1" applyAlignment="1">
      <alignment horizontal="left"/>
    </xf>
    <xf numFmtId="166" fontId="42" fillId="0" borderId="8" applyNumberFormat="1" applyFont="1" applyFill="1" applyBorder="1" applyAlignment="1">
      <alignment horizontal="center"/>
    </xf>
    <xf numFmtId="166" fontId="42" fillId="10" borderId="8" applyNumberFormat="1" applyFont="1" applyFill="1" applyBorder="1" applyAlignment="1">
      <alignment horizontal="center"/>
    </xf>
    <xf numFmtId="166" fontId="42" fillId="10" borderId="9" applyNumberFormat="1" applyFont="1" applyFill="1" applyBorder="1" applyAlignment="1">
      <alignment horizontal="center"/>
    </xf>
    <xf numFmtId="166" fontId="42" fillId="0" borderId="10" applyNumberFormat="1" applyFont="1" applyFill="1" applyBorder="1" applyAlignment="1">
      <alignment horizontal="center"/>
    </xf>
    <xf numFmtId="166" fontId="42" fillId="0" borderId="0" applyNumberFormat="1" applyFont="1" applyFill="1" applyAlignment="1">
      <alignment horizontal="center"/>
    </xf>
    <xf numFmtId="166" fontId="42" fillId="10" borderId="0" applyNumberFormat="1" applyFont="1" applyFill="1" applyAlignment="1">
      <alignment horizontal="center"/>
    </xf>
    <xf numFmtId="166" fontId="42" fillId="10" borderId="11" applyNumberFormat="1" applyFont="1" applyFill="1" applyBorder="1" applyAlignment="1">
      <alignment horizontal="center"/>
    </xf>
    <xf numFmtId="166" fontId="42" fillId="0" borderId="12" applyNumberFormat="1" applyFont="1" applyFill="1" applyBorder="1" applyAlignment="1">
      <alignment horizontal="center"/>
    </xf>
    <xf numFmtId="0" fontId="35" fillId="0" borderId="0" applyFont="1" applyFill="1" applyAlignment="1">
      <alignment vertical="center"/>
    </xf>
    <xf numFmtId="0" fontId="69" fillId="0" borderId="0" applyFont="1" applyFill="1" applyAlignment="1">
      <alignment horizontal="right"/>
    </xf>
    <xf numFmtId="0" fontId="51" fillId="0" borderId="0" applyFont="1" applyFill="1"/>
    <xf numFmtId="0" fontId="53" fillId="0" borderId="0" applyFont="1" applyFill="1" applyAlignment="1">
      <alignment horizontal="center"/>
    </xf>
    <xf numFmtId="166" fontId="42" fillId="0" borderId="0" applyNumberFormat="1" applyFont="1" applyFill="1"/>
    <xf numFmtId="0" fontId="69" fillId="0" borderId="6" applyFont="1" applyFill="1" applyBorder="1" applyAlignment="1">
      <alignment horizontal="center"/>
    </xf>
    <xf numFmtId="0" fontId="69" fillId="0" borderId="7" applyFont="1" applyFill="1" applyBorder="1" applyAlignment="1">
      <alignment horizontal="center"/>
    </xf>
    <xf numFmtId="0" fontId="42" fillId="0" borderId="13" applyFont="1" applyFill="1" applyBorder="1" applyAlignment="1">
      <alignment horizontal="right"/>
    </xf>
    <xf numFmtId="0" fontId="42" fillId="10" borderId="14" applyFont="1" applyFill="1" applyBorder="1" applyAlignment="1">
      <alignment horizontal="right"/>
    </xf>
    <xf numFmtId="0" fontId="42" fillId="10" borderId="15" applyFont="1" applyFill="1" applyBorder="1" applyAlignment="1">
      <alignment horizontal="right"/>
    </xf>
    <xf numFmtId="0" fontId="42" fillId="0" borderId="15" applyFont="1" applyFill="1" applyBorder="1" applyAlignment="1">
      <alignment horizontal="right"/>
    </xf>
    <xf numFmtId="0" fontId="45" fillId="0" borderId="0" applyFont="1" applyFill="1" applyAlignment="1">
      <alignment horizontal="center"/>
    </xf>
    <xf numFmtId="0" fontId="45" fillId="0" borderId="6" applyFont="1" applyFill="1" applyBorder="1" applyAlignment="1">
      <alignment horizontal="center"/>
    </xf>
    <xf numFmtId="0" fontId="45" fillId="0" borderId="7" applyFont="1" applyFill="1" applyBorder="1" applyAlignment="1">
      <alignment horizontal="center"/>
    </xf>
    <xf numFmtId="0" fontId="42" fillId="0" borderId="0" applyFont="1" applyFill="1" applyAlignment="1">
      <alignment horizontal="right"/>
    </xf>
    <xf numFmtId="1" fontId="42" fillId="0" borderId="0" applyNumberFormat="1" applyFont="1" applyFill="1" applyAlignment="1">
      <alignment horizontal="left"/>
    </xf>
    <xf numFmtId="166" fontId="42" fillId="0" borderId="9" applyNumberFormat="1" applyFont="1" applyFill="1" applyBorder="1" applyAlignment="1">
      <alignment horizontal="center"/>
    </xf>
    <xf numFmtId="166" fontId="42" fillId="0" borderId="11" applyNumberFormat="1" applyFont="1" applyFill="1" applyBorder="1" applyAlignment="1">
      <alignment horizontal="center"/>
    </xf>
    <xf numFmtId="0" fontId="32" fillId="3" borderId="0" applyFont="1" applyFill="1" applyAlignment="1">
      <alignment horizontal="right" vertical="center"/>
    </xf>
    <xf numFmtId="0" fontId="1" fillId="3" borderId="0" applyFont="1" applyFill="1" applyAlignment="1">
      <alignment horizontal="center" vertical="center"/>
    </xf>
    <xf numFmtId="1" fontId="69" fillId="0" borderId="0" applyNumberFormat="1" applyFont="1" applyFill="1"/>
    <xf numFmtId="1" fontId="69" fillId="10" borderId="16" applyNumberFormat="1" applyFont="1" applyFill="1" applyBorder="1" applyAlignment="1">
      <alignment horizontal="center"/>
    </xf>
    <xf numFmtId="1" fontId="69" fillId="10" borderId="17" applyNumberFormat="1" applyFont="1" applyFill="1" applyBorder="1" applyAlignment="1">
      <alignment horizontal="center"/>
    </xf>
    <xf numFmtId="1" fontId="69" fillId="10" borderId="18" applyNumberFormat="1" applyFont="1" applyFill="1" applyBorder="1" applyAlignment="1">
      <alignment horizontal="center"/>
    </xf>
    <xf numFmtId="166" fontId="26" fillId="0" borderId="0" applyNumberFormat="1" applyFont="1" applyFill="1" applyAlignment="1">
      <alignment horizontal="right"/>
    </xf>
    <xf numFmtId="0" fontId="32" fillId="3" borderId="0" applyFont="1" applyFill="1"/>
    <xf numFmtId="0" fontId="32" fillId="3" borderId="0" applyFont="1" applyFill="1" applyAlignment="1">
      <alignment horizontal="center"/>
    </xf>
    <xf numFmtId="0" fontId="69" fillId="3" borderId="0" applyFont="1" applyFill="1" applyAlignment="1">
      <alignment horizontal="center"/>
    </xf>
    <xf numFmtId="165" fontId="69" fillId="3" borderId="0" applyNumberFormat="1" applyFont="1" applyFill="1" applyAlignment="1">
      <alignment horizontal="center"/>
    </xf>
    <xf numFmtId="166" fontId="69" fillId="3" borderId="0" applyNumberFormat="1" applyFont="1" applyFill="1" applyAlignment="1">
      <alignment horizontal="center"/>
    </xf>
    <xf numFmtId="166" fontId="69" fillId="3" borderId="0" applyNumberFormat="1" applyFont="1" applyFill="1" applyAlignment="1">
      <alignment horizontal="center"/>
    </xf>
    <xf numFmtId="167" fontId="69" fillId="3" borderId="0" applyNumberFormat="1" applyFont="1" applyFill="1" applyAlignment="1">
      <alignment horizontal="center"/>
    </xf>
    <xf numFmtId="167" fontId="69" fillId="3" borderId="0" applyNumberFormat="1" applyFont="1" applyFill="1" applyAlignment="1">
      <alignment horizontal="center"/>
    </xf>
    <xf numFmtId="0" fontId="27" fillId="3" borderId="0" applyFont="1" applyFill="1" applyAlignment="1">
      <alignment horizontal="left"/>
    </xf>
    <xf numFmtId="166" fontId="69" fillId="3" borderId="0" applyNumberFormat="1" applyFont="1" applyFill="1" applyBorder="1" applyAlignment="1">
      <alignment horizontal="center"/>
    </xf>
    <xf numFmtId="166" fontId="69" fillId="3" borderId="0" applyNumberFormat="1" applyFont="1" applyFill="1" applyAlignment="1">
      <alignment horizontal="right"/>
    </xf>
    <xf numFmtId="166" fontId="1" fillId="3" borderId="0" applyNumberFormat="1" applyFont="1" applyFill="1"/>
    <xf numFmtId="167" fontId="42" fillId="3" borderId="0" applyNumberFormat="1" applyFont="1" applyFill="1" applyAlignment="1">
      <alignment horizontal="left"/>
    </xf>
    <xf numFmtId="167" fontId="1" fillId="3" borderId="0" applyNumberFormat="1" applyFont="1" applyFill="1"/>
    <xf numFmtId="0" fontId="37" fillId="3" borderId="0" applyFont="1" applyFill="1"/>
    <xf numFmtId="0" fontId="69" fillId="3" borderId="0" applyFont="1" applyFill="1" applyAlignment="1">
      <alignment horizontal="right"/>
    </xf>
    <xf numFmtId="0" fontId="40" fillId="3" borderId="0" applyFont="1" applyFill="1" applyAlignment="1">
      <alignment horizontal="centerContinuous"/>
    </xf>
    <xf numFmtId="166" fontId="69" fillId="10" borderId="0" applyNumberFormat="1" applyFont="1" applyFill="1" applyBorder="1" applyAlignment="1">
      <alignment horizontal="center"/>
    </xf>
    <xf numFmtId="166" fontId="69" fillId="10" borderId="6" applyNumberFormat="1" applyFont="1" applyFill="1" applyBorder="1" applyAlignment="1">
      <alignment horizontal="center"/>
    </xf>
    <xf numFmtId="166" fontId="69" fillId="10" borderId="7" applyNumberFormat="1" applyFont="1" applyFill="1" applyBorder="1" applyAlignment="1">
      <alignment horizontal="center"/>
    </xf>
    <xf numFmtId="0" fontId="54" fillId="0" borderId="0" applyFont="1" applyFill="1"/>
    <xf numFmtId="2" fontId="69" fillId="10" borderId="0" applyNumberFormat="1" applyFont="1" applyFill="1" applyBorder="1" applyAlignment="1">
      <alignment horizontal="center"/>
    </xf>
    <xf numFmtId="2" fontId="69" fillId="10" borderId="6" applyNumberFormat="1" applyFont="1" applyFill="1" applyBorder="1" applyAlignment="1">
      <alignment horizontal="center"/>
    </xf>
    <xf numFmtId="2" fontId="69" fillId="10" borderId="7" applyNumberFormat="1" applyFont="1" applyFill="1" applyBorder="1" applyAlignment="1">
      <alignment horizontal="center"/>
    </xf>
    <xf numFmtId="166" fontId="69" fillId="0" borderId="0" applyNumberFormat="1" applyFont="1" applyFill="1"/>
    <xf numFmtId="166" fontId="69" fillId="10" borderId="16" applyNumberFormat="1" applyFont="1" applyFill="1" applyBorder="1" applyAlignment="1">
      <alignment horizontal="center"/>
    </xf>
    <xf numFmtId="166" fontId="69" fillId="10" borderId="17" applyNumberFormat="1" applyFont="1" applyFill="1" applyBorder="1" applyAlignment="1">
      <alignment horizontal="center"/>
    </xf>
    <xf numFmtId="166" fontId="69" fillId="10" borderId="18" applyNumberFormat="1" applyFont="1" applyFill="1" applyBorder="1" applyAlignment="1">
      <alignment horizontal="center"/>
    </xf>
    <xf numFmtId="0" fontId="50" fillId="0" borderId="0" applyFont="1" applyFill="1" applyAlignment="1">
      <alignment horizontal="right"/>
    </xf>
    <xf numFmtId="0" fontId="50" fillId="0" borderId="0" applyFont="1" applyFill="1" applyAlignment="1">
      <alignment horizontal="right" vertical="top"/>
    </xf>
    <xf numFmtId="0" fontId="31" fillId="0" borderId="3" applyFont="1" applyFill="1" applyBorder="1" applyAlignment="1">
      <alignment horizontal="center" wrapText="1"/>
    </xf>
    <xf numFmtId="0" fontId="31" fillId="0" borderId="5" applyFont="1" applyFill="1" applyBorder="1" applyAlignment="1">
      <alignment horizontal="center" wrapText="1"/>
    </xf>
    <xf numFmtId="0" fontId="39" fillId="0" borderId="0" applyFont="1" applyFill="1"/>
    <xf numFmtId="0" fontId="34" fillId="0" borderId="0" applyFont="1" applyFill="1" applyAlignment="1">
      <alignment horizontal="right"/>
    </xf>
    <xf numFmtId="0" fontId="35" fillId="0" borderId="0" applyFont="1" applyFill="1"/>
    <xf numFmtId="164" fontId="1" fillId="3" borderId="0" applyNumberFormat="1" applyFont="1" applyFill="1" applyAlignment="1">
      <alignment horizontal="left"/>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1" fillId="0" borderId="0" applyFont="1" applyFill="1" applyAlignment="1">
      <alignment horizontal="left"/>
    </xf>
    <xf numFmtId="49" fontId="1" fillId="0" borderId="0" applyNumberFormat="1" applyFont="1" applyFill="1" applyAlignment="1">
      <alignment horizontal="left"/>
    </xf>
    <xf numFmtId="16" fontId="1" fillId="0" borderId="0" applyNumberFormat="1" applyFont="1" applyFill="1" applyAlignment="1">
      <alignment horizontal="left"/>
    </xf>
    <xf numFmtId="49" fontId="1" fillId="0" borderId="0" applyNumberFormat="1" applyFont="1" applyFill="1"/>
    <xf numFmtId="0" fontId="37" fillId="0" borderId="0" applyFont="1" applyFill="1" applyAlignment="1">
      <alignment horizontal="center"/>
    </xf>
    <xf numFmtId="0" fontId="37" fillId="0" borderId="0" applyFont="1" applyFill="1"/>
    <xf numFmtId="0" fontId="1" fillId="0" borderId="0" applyFont="1" applyFill="1"/>
    <xf numFmtId="0" fontId="1" fillId="0" borderId="0" applyFont="1" applyFill="1" applyAlignment="1">
      <alignment horizontal="left" textRotation="90"/>
    </xf>
    <xf numFmtId="16" fontId="33" fillId="0" borderId="0" applyNumberFormat="1" applyFont="1" applyFill="1" applyAlignment="1">
      <alignment horizontal="left"/>
    </xf>
    <xf numFmtId="16" fontId="34" fillId="3" borderId="0" applyNumberFormat="1" applyFont="1" applyFill="1" applyAlignment="1">
      <alignment horizontal="left" textRotation="90" wrapText="1"/>
    </xf>
    <xf numFmtId="166" fontId="1" fillId="0" borderId="0" applyNumberFormat="1" applyFont="1" applyFill="1" applyAlignment="1">
      <alignment horizontal="left"/>
    </xf>
    <xf numFmtId="1" fontId="1" fillId="0" borderId="0" applyNumberFormat="1" applyFont="1" applyFill="1" applyAlignment="1">
      <alignment horizontal="center"/>
    </xf>
    <xf numFmtId="166" fontId="38" fillId="0" borderId="0" applyNumberFormat="1" applyFont="1" applyFill="1" applyAlignment="1">
      <alignment horizontal="right"/>
    </xf>
    <xf numFmtId="0" fontId="1" fillId="0" borderId="0" applyFont="1" applyFill="1" applyAlignment="1">
      <alignment horizontal="center"/>
    </xf>
    <xf numFmtId="0" fontId="47" fillId="0" borderId="0" applyFont="1" applyFill="1"/>
    <xf numFmtId="0" fontId="1" fillId="3" borderId="0" applyFont="1" applyFill="1" applyBorder="1"/>
    <xf numFmtId="169" fontId="34" fillId="3" borderId="0" applyNumberFormat="1" applyFont="1" applyFill="1" applyAlignment="1">
      <alignment textRotation="90" wrapText="1"/>
    </xf>
    <xf numFmtId="16" fontId="34" fillId="3" borderId="0" applyNumberFormat="1" applyFont="1" applyFill="1" applyAlignment="1">
      <alignment textRotation="90" wrapText="1"/>
    </xf>
    <xf numFmtId="166" fontId="38" fillId="0" borderId="0" applyNumberFormat="1" applyFont="1" applyFill="1"/>
    <xf numFmtId="0" fontId="15" fillId="3" borderId="0" applyFont="1" applyFill="1" applyAlignment="1">
      <alignment vertical="center"/>
    </xf>
    <xf numFmtId="0" fontId="37" fillId="3" borderId="0" applyFont="1" applyFill="1"/>
    <xf numFmtId="0" fontId="40" fillId="3" borderId="0" applyFont="1" applyFill="1" applyAlignment="1">
      <alignment horizontal="center"/>
    </xf>
    <xf numFmtId="170" fontId="42" fillId="3" borderId="0" applyNumberFormat="1" applyFont="1" applyFill="1" applyAlignment="1">
      <alignment wrapText="1"/>
    </xf>
    <xf numFmtId="0" fontId="50" fillId="3" borderId="0" applyFont="1" applyFill="1" applyAlignment="1">
      <alignment horizontal="center"/>
    </xf>
    <xf numFmtId="0" fontId="44" fillId="3" borderId="0" applyFont="1" applyFill="1" applyAlignment="1">
      <alignment horizontal="center" vertical="top"/>
    </xf>
    <xf numFmtId="0" fontId="44" fillId="3" borderId="6" applyFont="1" applyFill="1" applyBorder="1" applyAlignment="1">
      <alignment horizontal="center" vertical="top"/>
    </xf>
    <xf numFmtId="0" fontId="44" fillId="3" borderId="7" applyFont="1" applyFill="1" applyBorder="1" applyAlignment="1">
      <alignment horizontal="center" vertical="top"/>
    </xf>
    <xf numFmtId="170" fontId="44" fillId="3" borderId="0" applyNumberFormat="1" applyFont="1" applyFill="1" applyAlignment="1">
      <alignment horizontal="center" vertical="top" wrapText="1"/>
    </xf>
    <xf numFmtId="170" fontId="44" fillId="3" borderId="6" applyNumberFormat="1" applyFont="1" applyFill="1" applyBorder="1" applyAlignment="1">
      <alignment horizontal="center" vertical="top" wrapText="1"/>
    </xf>
    <xf numFmtId="170" fontId="44" fillId="3" borderId="7" applyNumberFormat="1" applyFont="1" applyFill="1" applyBorder="1" applyAlignment="1">
      <alignment horizontal="center" vertical="top" wrapText="1"/>
    </xf>
    <xf numFmtId="0" fontId="1" fillId="3" borderId="0" applyFont="1" applyFill="1" applyAlignment="1">
      <alignment wrapText="1"/>
    </xf>
    <xf numFmtId="0" fontId="44" fillId="3" borderId="0" applyFont="1" applyFill="1" applyAlignment="1">
      <alignment horizontal="center" vertical="top" wrapText="1"/>
    </xf>
    <xf numFmtId="0" fontId="44" fillId="3" borderId="6" applyFont="1" applyFill="1" applyBorder="1" applyAlignment="1">
      <alignment horizontal="center" vertical="top" wrapText="1"/>
    </xf>
    <xf numFmtId="0" fontId="44" fillId="3" borderId="7" applyFont="1" applyFill="1" applyBorder="1" applyAlignment="1">
      <alignment horizontal="center" vertical="top" wrapText="1"/>
    </xf>
    <xf numFmtId="1" fontId="45" fillId="6" borderId="0" applyNumberFormat="1" applyFont="1" applyFill="1" applyAlignment="1">
      <alignment horizontal="center"/>
    </xf>
    <xf numFmtId="1" fontId="45" fillId="6" borderId="6" applyNumberFormat="1" applyFont="1" applyFill="1" applyBorder="1" applyAlignment="1">
      <alignment horizontal="center"/>
    </xf>
    <xf numFmtId="1" fontId="45" fillId="6" borderId="7" applyNumberFormat="1" applyFont="1" applyFill="1" applyBorder="1" applyAlignment="1">
      <alignment horizontal="center"/>
    </xf>
    <xf numFmtId="1" fontId="45" fillId="3" borderId="0" applyNumberFormat="1" applyFont="1" applyFill="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46" fillId="3" borderId="0" applyFont="1" applyFill="1" applyAlignment="1">
      <alignment horizontal="center"/>
    </xf>
    <xf numFmtId="0" fontId="46" fillId="3" borderId="0" applyFont="1" applyFill="1" applyAlignment="1">
      <alignment horizontal="center" vertical="top"/>
    </xf>
    <xf numFmtId="0" fontId="46" fillId="3" borderId="6" applyFont="1" applyFill="1" applyBorder="1" applyAlignment="1">
      <alignment horizontal="center" vertical="top"/>
    </xf>
    <xf numFmtId="0" fontId="46" fillId="3" borderId="7" applyFont="1" applyFill="1" applyBorder="1" applyAlignment="1">
      <alignment horizontal="center" vertical="top"/>
    </xf>
    <xf numFmtId="0" fontId="45" fillId="3" borderId="0" applyFont="1" applyFill="1" applyAlignment="1">
      <alignment horizontal="center"/>
    </xf>
    <xf numFmtId="0" fontId="46" fillId="0" borderId="0" applyFont="1" applyFill="1" applyAlignment="1">
      <alignment horizontal="center"/>
    </xf>
    <xf numFmtId="1" fontId="45" fillId="6" borderId="16" applyNumberFormat="1" applyFont="1" applyFill="1" applyBorder="1" applyAlignment="1">
      <alignment horizontal="center"/>
    </xf>
    <xf numFmtId="1" fontId="45" fillId="6" borderId="17" applyNumberFormat="1" applyFont="1" applyFill="1" applyBorder="1" applyAlignment="1">
      <alignment horizontal="center"/>
    </xf>
    <xf numFmtId="1" fontId="45" fillId="6" borderId="18" applyNumberFormat="1" applyFont="1" applyFill="1" applyBorder="1" applyAlignment="1">
      <alignment horizontal="center"/>
    </xf>
    <xf numFmtId="1" fontId="1" fillId="3" borderId="0" applyNumberFormat="1" applyFont="1" applyFill="1" applyAlignment="1">
      <alignment horizontal="center"/>
    </xf>
    <xf numFmtId="170" fontId="42" fillId="0" borderId="0" applyNumberFormat="1" applyFont="1" applyFill="1" applyAlignment="1">
      <alignment wrapText="1"/>
    </xf>
    <xf numFmtId="0" fontId="1" fillId="0" borderId="0" applyFont="1" applyFill="1" applyAlignment="1">
      <alignment wrapText="1"/>
    </xf>
    <xf numFmtId="0" fontId="34" fillId="0" borderId="0" applyFont="1" applyFill="1"/>
    <xf numFmtId="0" fontId="36" fillId="0" borderId="0" applyFont="1" applyFill="1" applyAlignment="1">
      <alignment horizontal="left"/>
    </xf>
    <xf numFmtId="0" fontId="36" fillId="0" borderId="0" applyFont="1" applyFill="1" applyAlignment="1">
      <alignment horizontal="center"/>
    </xf>
    <xf numFmtId="0" fontId="69" fillId="0" borderId="0" applyFont="1" applyFill="1" applyAlignment="1">
      <alignment horizontal="left"/>
    </xf>
    <xf numFmtId="49" fontId="69" fillId="0" borderId="0" applyNumberFormat="1" applyFont="1" applyFill="1" applyAlignment="1">
      <alignment horizontal="left"/>
    </xf>
    <xf numFmtId="16" fontId="69" fillId="0" borderId="0" applyNumberFormat="1" applyFont="1" applyFill="1" applyAlignment="1">
      <alignment horizontal="left"/>
    </xf>
    <xf numFmtId="0" fontId="34" fillId="0" borderId="0" applyFont="1" applyFill="1" applyAlignment="1">
      <alignment horizontal="right"/>
    </xf>
    <xf numFmtId="49" fontId="69" fillId="0" borderId="0" applyNumberFormat="1" applyFont="1" applyFill="1"/>
    <xf numFmtId="0" fontId="34" fillId="3" borderId="0" applyFont="1" applyFill="1" applyAlignment="1">
      <alignment horizontal="center"/>
    </xf>
    <xf numFmtId="0" fontId="34" fillId="3" borderId="0" applyFont="1" applyFill="1" applyAlignment="1">
      <alignment horizontal="right"/>
    </xf>
    <xf numFmtId="16" fontId="33" fillId="0" borderId="0" applyNumberFormat="1" applyFont="1" applyFill="1" applyAlignment="1">
      <alignment horizontal="left"/>
    </xf>
    <xf numFmtId="169" fontId="34" fillId="3" borderId="0" applyNumberFormat="1" applyFont="1" applyFill="1" applyAlignment="1">
      <alignment textRotation="90" wrapText="1"/>
    </xf>
    <xf numFmtId="0" fontId="47" fillId="0" borderId="0" applyFont="1" applyFill="1"/>
    <xf numFmtId="166" fontId="39" fillId="0" borderId="0" applyNumberFormat="1" applyFont="1" applyFill="1" applyAlignment="1">
      <alignment horizontal="right"/>
    </xf>
    <xf numFmtId="2" fontId="69" fillId="0" borderId="0" applyNumberFormat="1" applyFont="1" applyFill="1"/>
    <xf numFmtId="166" fontId="69" fillId="0" borderId="0" applyNumberFormat="1" applyFont="1" applyFill="1" applyAlignment="1">
      <alignment horizontal="center"/>
    </xf>
    <xf numFmtId="166" fontId="69" fillId="10" borderId="0" applyNumberFormat="1" applyFont="1" applyFill="1" applyAlignment="1">
      <alignment horizontal="center"/>
    </xf>
    <xf numFmtId="2" fontId="69" fillId="10" borderId="0" applyNumberFormat="1" applyFont="1" applyFill="1" applyAlignment="1">
      <alignment horizontal="center"/>
    </xf>
    <xf numFmtId="2" fontId="69" fillId="0" borderId="0" applyNumberFormat="1" applyFont="1" applyFill="1" applyAlignment="1">
      <alignment horizontal="center"/>
    </xf>
    <xf numFmtId="166" fontId="69" fillId="3" borderId="0" applyNumberFormat="1" applyFont="1" applyFill="1" applyAlignment="1">
      <alignment horizontal="center" vertical="center"/>
    </xf>
    <xf numFmtId="0" fontId="69" fillId="3" borderId="0" applyFont="1" applyFill="1"/>
    <xf numFmtId="0" fontId="1" fillId="0" borderId="0" applyFont="1" applyFill="1" applyAlignment="1">
      <alignment horizontal="right"/>
    </xf>
    <xf numFmtId="0" fontId="69" fillId="3" borderId="0" applyFont="1" applyFill="1" applyAlignment="1">
      <alignment horizontal="center" vertical="center"/>
    </xf>
    <xf numFmtId="167" fontId="69" fillId="3" borderId="0" applyNumberFormat="1" applyFont="1" applyFill="1" applyAlignment="1">
      <alignment horizontal="center" vertical="center"/>
    </xf>
    <xf numFmtId="0" fontId="36" fillId="0" borderId="0" applyFont="1" applyFill="1"/>
    <xf numFmtId="165" fontId="69" fillId="10" borderId="0" applyNumberFormat="1" applyFont="1" applyFill="1" applyAlignment="1">
      <alignment horizontal="center"/>
    </xf>
    <xf numFmtId="0" fontId="69" fillId="10" borderId="0" applyFont="1" applyFill="1" applyAlignment="1">
      <alignment horizontal="center"/>
    </xf>
    <xf numFmtId="17" fontId="69" fillId="10" borderId="0" applyNumberFormat="1" applyFont="1" applyFill="1" applyAlignment="1">
      <alignment horizontal="center"/>
    </xf>
    <xf numFmtId="0" fontId="69" fillId="10" borderId="0" applyFont="1" applyFill="1" applyAlignment="1">
      <alignment horizontal="center" vertical="center"/>
    </xf>
    <xf numFmtId="167" fontId="69" fillId="10" borderId="0" applyNumberFormat="1" applyFont="1" applyFill="1" applyAlignment="1">
      <alignment horizontal="center"/>
    </xf>
    <xf numFmtId="167" fontId="69" fillId="10" borderId="0" applyNumberFormat="1" applyFont="1" applyFill="1" applyAlignment="1">
      <alignment horizontal="center"/>
    </xf>
    <xf numFmtId="167" fontId="69" fillId="10" borderId="0" applyNumberFormat="1" applyFont="1" applyFill="1" applyAlignment="1">
      <alignment horizontal="center" vertical="center"/>
    </xf>
    <xf numFmtId="17" fontId="42" fillId="10" borderId="0" applyNumberFormat="1" applyFont="1" applyFill="1" applyAlignment="1">
      <alignment horizontal="left"/>
    </xf>
    <xf numFmtId="167" fontId="1" fillId="10" borderId="0" applyNumberFormat="1" applyFont="1" applyFill="1"/>
    <xf numFmtId="167" fontId="42" fillId="10" borderId="0" applyNumberFormat="1" applyFont="1" applyFill="1" applyAlignment="1">
      <alignment horizontal="left"/>
    </xf>
    <xf numFmtId="165" fontId="69" fillId="10" borderId="0" applyNumberFormat="1" applyFont="1" applyFill="1" applyAlignment="1">
      <alignment horizontal="right"/>
    </xf>
    <xf numFmtId="0" fontId="1" fillId="10" borderId="0" applyFont="1" applyFill="1"/>
    <xf numFmtId="0" fontId="1" fillId="3" borderId="0" applyFont="1" applyFill="1" applyBorder="1"/>
    <xf numFmtId="0" fontId="1" fillId="0" borderId="0" applyFont="1" applyFill="1" applyAlignment="1">
      <alignment horizontal="right"/>
    </xf>
    <xf numFmtId="0" fontId="40" fillId="0" borderId="0" applyFont="1" applyFill="1"/>
    <xf numFmtId="0" fontId="50" fillId="0" borderId="0" applyFont="1" applyFill="1"/>
    <xf numFmtId="0" fontId="45" fillId="0" borderId="0" applyFont="1" applyFill="1" applyAlignment="1">
      <alignment horizontal="center"/>
    </xf>
    <xf numFmtId="0" fontId="51" fillId="0" borderId="0" applyFont="1" applyFill="1"/>
    <xf numFmtId="0" fontId="52" fillId="0" borderId="0" applyFont="1" applyFill="1"/>
    <xf numFmtId="0" fontId="53" fillId="0" borderId="0" applyFont="1" applyFill="1" applyAlignment="1">
      <alignment horizontal="center"/>
    </xf>
    <xf numFmtId="0" fontId="42" fillId="0" borderId="13" applyFont="1" applyFill="1" applyBorder="1" applyAlignment="1">
      <alignment horizontal="right"/>
    </xf>
    <xf numFmtId="0" fontId="42" fillId="6" borderId="14" applyFont="1" applyFill="1" applyBorder="1" applyAlignment="1">
      <alignment horizontal="right"/>
    </xf>
    <xf numFmtId="166" fontId="1" fillId="6" borderId="0" applyNumberFormat="1" applyFont="1" applyFill="1" applyBorder="1" applyAlignment="1">
      <alignment horizontal="center"/>
    </xf>
    <xf numFmtId="0" fontId="33" fillId="3" borderId="0" applyFont="1" applyFill="1" applyAlignment="1">
      <alignment horizontal="right"/>
    </xf>
    <xf numFmtId="0" fontId="42" fillId="0" borderId="15" applyFont="1" applyFill="1" applyBorder="1" applyAlignment="1">
      <alignment horizontal="right"/>
    </xf>
    <xf numFmtId="0" fontId="42" fillId="0" borderId="0" applyFont="1" applyFill="1"/>
    <xf numFmtId="166" fontId="42" fillId="0" borderId="0" applyNumberFormat="1" applyFont="1" applyFill="1"/>
    <xf numFmtId="2" fontId="1" fillId="6" borderId="0" applyNumberFormat="1" applyFont="1" applyFill="1" applyBorder="1" applyAlignment="1">
      <alignment horizontal="center"/>
    </xf>
    <xf numFmtId="0" fontId="54" fillId="0" borderId="0" applyFont="1" applyFill="1"/>
    <xf numFmtId="1" fontId="69" fillId="0" borderId="0" applyNumberFormat="1" applyFont="1" applyFill="1" applyAlignment="1">
      <alignment horizontal="left"/>
    </xf>
    <xf numFmtId="0" fontId="50" fillId="3" borderId="0" applyFont="1" applyFill="1"/>
    <xf numFmtId="0" fontId="22" fillId="0" borderId="0" applyFont="1" applyFill="1" applyAlignment="1">
      <alignment vertical="top"/>
    </xf>
    <xf numFmtId="0" fontId="34" fillId="0" borderId="0" applyFont="1" applyFill="1" applyAlignment="1">
      <alignment vertical="top" wrapText="1"/>
    </xf>
    <xf numFmtId="166" fontId="38" fillId="3" borderId="0" applyNumberFormat="1" applyFont="1" applyFill="1" applyAlignment="1">
      <alignment horizontal="center"/>
    </xf>
    <xf numFmtId="0" fontId="1" fillId="0" borderId="19" applyFont="1" applyFill="1" applyBorder="1"/>
    <xf numFmtId="0" fontId="1" fillId="0" borderId="20" applyFont="1" applyFill="1" applyBorder="1"/>
    <xf numFmtId="0" fontId="36" fillId="0" borderId="0" applyFont="1" applyFill="1" applyAlignment="1">
      <alignment horizontal="right"/>
    </xf>
    <xf numFmtId="0" fontId="1" fillId="6" borderId="0" applyFont="1" applyFill="1"/>
    <xf numFmtId="166" fontId="1" fillId="0" borderId="0" applyNumberFormat="1" applyFont="1" applyFill="1"/>
    <xf numFmtId="166" fontId="1" fillId="6" borderId="0" applyNumberFormat="1" applyFont="1" applyFill="1"/>
    <xf numFmtId="0" fontId="50" fillId="3" borderId="0" applyFont="1" applyFill="1" applyAlignment="1">
      <alignment horizontal="right" vertical="center"/>
    </xf>
    <xf numFmtId="165" fontId="1" fillId="6" borderId="0" applyNumberFormat="1" applyFont="1" applyFill="1"/>
    <xf numFmtId="165" fontId="1" fillId="6" borderId="20" applyNumberFormat="1" applyFont="1" applyFill="1" applyBorder="1"/>
    <xf numFmtId="166" fontId="36" fillId="0" borderId="0" applyNumberFormat="1" applyFont="1" applyFill="1"/>
    <xf numFmtId="166" fontId="36" fillId="0" borderId="20" applyNumberFormat="1" applyFont="1" applyFill="1" applyBorder="1"/>
    <xf numFmtId="167" fontId="1" fillId="6" borderId="0" applyNumberFormat="1" applyFont="1" applyFill="1"/>
    <xf numFmtId="0" fontId="1" fillId="0" borderId="20" applyFont="1" applyFill="1" applyBorder="1" applyAlignment="1">
      <alignment horizontal="right"/>
    </xf>
    <xf numFmtId="0" fontId="36" fillId="0" borderId="19" applyFont="1" applyFill="1" applyBorder="1" applyAlignment="1">
      <alignment horizontal="right"/>
    </xf>
    <xf numFmtId="166" fontId="1" fillId="0" borderId="19" applyNumberFormat="1" applyFont="1" applyFill="1" applyBorder="1" applyAlignment="1">
      <alignment horizontal="right"/>
    </xf>
    <xf numFmtId="0" fontId="1" fillId="0" borderId="19" applyFont="1" applyFill="1" applyBorder="1" applyAlignment="1">
      <alignment horizontal="right"/>
    </xf>
    <xf numFmtId="0" fontId="36" fillId="0" borderId="21" applyFont="1" applyFill="1" applyBorder="1" applyAlignment="1">
      <alignment horizontal="right"/>
    </xf>
    <xf numFmtId="166" fontId="36" fillId="0" borderId="0" applyNumberFormat="1" applyFont="1" applyFill="1" applyAlignment="1">
      <alignment horizontal="right"/>
    </xf>
    <xf numFmtId="166" fontId="1" fillId="0" borderId="0" applyNumberFormat="1" applyFont="1" applyFill="1" applyAlignment="1">
      <alignment horizontal="right"/>
    </xf>
    <xf numFmtId="166" fontId="36" fillId="0" borderId="20" applyNumberFormat="1" applyFont="1" applyFill="1" applyBorder="1" applyAlignment="1">
      <alignment horizontal="right"/>
    </xf>
    <xf numFmtId="0" fontId="36" fillId="3" borderId="0" applyFont="1" applyFill="1" applyAlignment="1">
      <alignment horizontal="right"/>
    </xf>
    <xf numFmtId="0" fontId="42" fillId="0" borderId="0" applyFont="1" applyFill="1" applyAlignment="1">
      <alignment horizontal="right"/>
    </xf>
    <xf numFmtId="0" fontId="44" fillId="10" borderId="14" applyFont="1" applyFill="1" applyBorder="1" applyAlignment="1">
      <alignment horizontal="right"/>
    </xf>
    <xf numFmtId="4" fontId="69" fillId="3" borderId="0" applyNumberFormat="1" applyFont="1" applyFill="1" applyAlignment="1">
      <alignment horizontal="center"/>
    </xf>
    <xf numFmtId="4" fontId="69" fillId="10" borderId="0" applyNumberFormat="1" applyFont="1" applyFill="1" applyAlignment="1">
      <alignment horizontal="center"/>
    </xf>
    <xf numFmtId="4" fontId="69" fillId="3" borderId="0" applyNumberFormat="1" applyFont="1" applyFill="1" applyAlignment="1">
      <alignment horizontal="right"/>
    </xf>
    <xf numFmtId="4" fontId="69" fillId="10" borderId="0" applyNumberFormat="1" applyFont="1" applyFill="1" applyAlignment="1">
      <alignment horizontal="right"/>
    </xf>
    <xf numFmtId="0" fontId="40" fillId="3" borderId="0" applyFont="1" applyFill="1" applyAlignment="1">
      <alignment horizontal="right"/>
    </xf>
    <xf numFmtId="0" fontId="40" fillId="0" borderId="0" applyFont="1" applyFill="1" applyAlignment="1">
      <alignment horizontal="right"/>
    </xf>
    <xf numFmtId="0" fontId="69" fillId="0" borderId="0" applyFont="1" applyFill="1"/>
    <xf numFmtId="0" fontId="1" fillId="11" borderId="0" applyFont="1" applyFill="1"/>
    <xf numFmtId="0" fontId="37" fillId="11" borderId="0" applyFont="1" applyFill="1"/>
    <xf numFmtId="0" fontId="1" fillId="11" borderId="0" applyFont="1" applyFill="1" applyAlignment="1">
      <alignment horizontal="center"/>
    </xf>
    <xf numFmtId="0" fontId="47" fillId="11" borderId="0" applyFont="1" applyFill="1"/>
    <xf numFmtId="0" fontId="52" fillId="11" borderId="0" applyFont="1" applyFill="1"/>
    <xf numFmtId="0" fontId="54" fillId="11" borderId="0" applyFont="1" applyFill="1"/>
    <xf numFmtId="168" fontId="54" fillId="11" borderId="0" applyNumberFormat="1" applyFont="1" applyFill="1"/>
    <xf numFmtId="0" fontId="1" fillId="11" borderId="0" applyFont="1" applyFill="1"/>
    <xf numFmtId="0" fontId="1" fillId="11" borderId="0" applyFont="1" applyFill="1" applyAlignment="1">
      <alignment horizontal="center"/>
    </xf>
    <xf numFmtId="0" fontId="51" fillId="11" borderId="0" applyFont="1" applyFill="1"/>
    <xf numFmtId="0" fontId="53" fillId="11" borderId="0" applyFont="1" applyFill="1" applyAlignment="1">
      <alignment horizontal="center"/>
    </xf>
    <xf numFmtId="0" fontId="52" fillId="11" borderId="0" applyFont="1" applyFill="1"/>
    <xf numFmtId="0" fontId="30" fillId="11" borderId="0" applyFont="1" applyFill="1"/>
    <xf numFmtId="0" fontId="54" fillId="11" borderId="0" applyFont="1" applyFill="1"/>
    <xf numFmtId="16" fontId="30" fillId="11" borderId="0" applyNumberFormat="1" applyFont="1" applyFill="1"/>
    <xf numFmtId="168" fontId="30" fillId="11" borderId="0" applyNumberFormat="1" applyFont="1" applyFill="1"/>
    <xf numFmtId="0" fontId="58" fillId="11" borderId="0" applyFont="1" applyFill="1" applyAlignment="1">
      <alignment horizontal="right"/>
    </xf>
    <xf numFmtId="0" fontId="69" fillId="11" borderId="0" applyFont="1" applyFill="1"/>
    <xf numFmtId="0" fontId="69" fillId="11" borderId="0" applyFont="1" applyFill="1" applyAlignment="1">
      <alignment horizontal="center"/>
    </xf>
    <xf numFmtId="0" fontId="51" fillId="11" borderId="0" applyFont="1" applyFill="1"/>
    <xf numFmtId="0" fontId="53" fillId="11" borderId="0" applyFont="1" applyFill="1" applyAlignment="1">
      <alignment horizontal="center"/>
    </xf>
    <xf numFmtId="0" fontId="1" fillId="11" borderId="0" applyFont="1" applyFill="1" applyAlignment="1">
      <alignment horizontal="left"/>
    </xf>
    <xf numFmtId="0" fontId="19" fillId="11" borderId="0" applyFont="1" applyFill="1" applyAlignment="1">
      <alignment horizontal="center"/>
    </xf>
    <xf numFmtId="0" fontId="37" fillId="11" borderId="0" applyFont="1" applyFill="1"/>
    <xf numFmtId="170" fontId="42" fillId="11" borderId="0" applyNumberFormat="1" applyFont="1" applyFill="1" applyAlignment="1">
      <alignment wrapText="1"/>
    </xf>
    <xf numFmtId="0" fontId="1" fillId="11" borderId="0" applyFont="1" applyFill="1" applyAlignment="1">
      <alignment wrapText="1"/>
    </xf>
    <xf numFmtId="16" fontId="34" fillId="11" borderId="0" applyNumberFormat="1" applyFont="1" applyFill="1" applyAlignment="1">
      <alignment horizontal="left" textRotation="90" wrapText="1"/>
    </xf>
    <xf numFmtId="166" fontId="38" fillId="11" borderId="0" applyNumberFormat="1" applyFont="1" applyFill="1" applyAlignment="1">
      <alignment horizontal="center"/>
    </xf>
    <xf numFmtId="0" fontId="47" fillId="11" borderId="0" applyFont="1" applyFill="1"/>
    <xf numFmtId="1" fontId="45" fillId="3" borderId="22" applyNumberFormat="1" applyFont="1" applyFill="1" applyBorder="1" applyAlignment="1">
      <alignment horizontal="center"/>
    </xf>
    <xf numFmtId="1" fontId="45" fillId="3" borderId="23" applyNumberFormat="1"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2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29" applyFont="1" applyFill="1" applyBorder="1" applyAlignment="1">
      <alignment horizontal="center"/>
    </xf>
    <xf numFmtId="0" fontId="44" fillId="6" borderId="0" applyFont="1" applyFill="1" applyAlignment="1">
      <alignment horizontal="right"/>
    </xf>
    <xf numFmtId="166" fontId="1" fillId="0" borderId="0" applyNumberFormat="1" applyFont="1" applyFill="1"/>
    <xf numFmtId="0" fontId="53" fillId="0" borderId="22" applyFont="1" applyFill="1" applyBorder="1" applyAlignment="1">
      <alignment horizontal="center"/>
    </xf>
    <xf numFmtId="0" fontId="53" fillId="0" borderId="23" applyFont="1" applyFill="1" applyBorder="1" applyAlignment="1">
      <alignment horizontal="center"/>
    </xf>
    <xf numFmtId="166" fontId="1" fillId="0" borderId="24" applyNumberFormat="1" applyFont="1" applyFill="1" applyBorder="1" applyAlignment="1">
      <alignment horizontal="center"/>
    </xf>
    <xf numFmtId="166" fontId="1" fillId="0" borderId="25" applyNumberFormat="1" applyFont="1" applyFill="1" applyBorder="1" applyAlignment="1">
      <alignment horizontal="center"/>
    </xf>
    <xf numFmtId="166" fontId="1" fillId="0" borderId="26" applyNumberFormat="1" applyFont="1" applyFill="1" applyBorder="1" applyAlignment="1">
      <alignment horizontal="center"/>
    </xf>
    <xf numFmtId="166" fontId="1" fillId="6" borderId="22" applyNumberFormat="1" applyFont="1" applyFill="1" applyBorder="1" applyAlignment="1">
      <alignment horizontal="center"/>
    </xf>
    <xf numFmtId="166" fontId="1" fillId="6" borderId="23" applyNumberFormat="1" applyFont="1" applyFill="1" applyBorder="1" applyAlignment="1">
      <alignment horizontal="center"/>
    </xf>
    <xf numFmtId="166" fontId="1" fillId="0" borderId="27" applyNumberFormat="1" applyFont="1" applyFill="1" applyBorder="1" applyAlignment="1">
      <alignment horizontal="center"/>
    </xf>
    <xf numFmtId="166" fontId="1" fillId="0" borderId="28" applyNumberFormat="1" applyFont="1" applyFill="1" applyBorder="1" applyAlignment="1">
      <alignment horizontal="center"/>
    </xf>
    <xf numFmtId="166" fontId="1" fillId="0" borderId="29" applyNumberFormat="1" applyFont="1" applyFill="1" applyBorder="1" applyAlignment="1">
      <alignment horizontal="center"/>
    </xf>
    <xf numFmtId="2" fontId="1" fillId="0" borderId="24" applyNumberFormat="1" applyFont="1" applyFill="1" applyBorder="1" applyAlignment="1">
      <alignment horizontal="center"/>
    </xf>
    <xf numFmtId="2" fontId="1" fillId="0" borderId="25" applyNumberFormat="1" applyFont="1" applyFill="1" applyBorder="1" applyAlignment="1">
      <alignment horizontal="center"/>
    </xf>
    <xf numFmtId="2" fontId="1" fillId="0" borderId="26" applyNumberFormat="1" applyFont="1" applyFill="1" applyBorder="1" applyAlignment="1">
      <alignment horizontal="center"/>
    </xf>
    <xf numFmtId="2" fontId="1" fillId="6" borderId="22" applyNumberFormat="1" applyFont="1" applyFill="1" applyBorder="1" applyAlignment="1">
      <alignment horizontal="center"/>
    </xf>
    <xf numFmtId="2" fontId="1" fillId="6" borderId="23" applyNumberFormat="1" applyFont="1" applyFill="1" applyBorder="1" applyAlignment="1">
      <alignment horizontal="center"/>
    </xf>
    <xf numFmtId="0" fontId="36" fillId="6" borderId="30" applyFont="1" applyFill="1" applyBorder="1"/>
    <xf numFmtId="0" fontId="36" fillId="6" borderId="31" applyFont="1" applyFill="1" applyBorder="1"/>
    <xf numFmtId="0" fontId="36" fillId="6" borderId="32" applyFont="1" applyFill="1" applyBorder="1"/>
    <xf numFmtId="166" fontId="1" fillId="0" borderId="33" applyNumberFormat="1" applyFont="1" applyFill="1" applyBorder="1" applyAlignment="1">
      <alignment horizontal="center"/>
    </xf>
    <xf numFmtId="166" fontId="1" fillId="6" borderId="34" applyNumberFormat="1" applyFont="1" applyFill="1" applyBorder="1" applyAlignment="1">
      <alignment horizontal="center"/>
    </xf>
    <xf numFmtId="166" fontId="1" fillId="0" borderId="35" applyNumberFormat="1" applyFont="1" applyFill="1" applyBorder="1" applyAlignment="1">
      <alignment horizontal="center"/>
    </xf>
    <xf numFmtId="2" fontId="1" fillId="0" borderId="33" applyNumberFormat="1" applyFont="1" applyFill="1" applyBorder="1" applyAlignment="1">
      <alignment horizontal="center"/>
    </xf>
    <xf numFmtId="2" fontId="1" fillId="6" borderId="34" applyNumberFormat="1" applyFont="1" applyFill="1" applyBorder="1" applyAlignment="1">
      <alignment horizontal="center"/>
    </xf>
    <xf numFmtId="0" fontId="52" fillId="0" borderId="33" applyFont="1" applyFill="1" applyBorder="1" applyAlignment="1">
      <alignment horizontal="center"/>
    </xf>
    <xf numFmtId="0" fontId="52" fillId="0" borderId="35" applyFont="1" applyFill="1" applyBorder="1" applyAlignment="1">
      <alignment horizontal="center"/>
    </xf>
    <xf numFmtId="0" fontId="51" fillId="0" borderId="24" applyFont="1" applyFill="1" applyBorder="1" applyAlignment="1">
      <alignment horizontal="left"/>
    </xf>
    <xf numFmtId="0" fontId="51" fillId="0" borderId="25" applyFont="1" applyFill="1" applyBorder="1" applyAlignment="1">
      <alignment horizontal="left"/>
    </xf>
    <xf numFmtId="0" fontId="51" fillId="0" borderId="25" applyFont="1" applyFill="1" applyBorder="1"/>
    <xf numFmtId="0" fontId="51" fillId="0" borderId="36" applyFont="1" applyFill="1" applyBorder="1"/>
    <xf numFmtId="0" fontId="53" fillId="0" borderId="27" applyFont="1" applyFill="1" applyBorder="1" applyAlignment="1">
      <alignment horizontal="center"/>
    </xf>
    <xf numFmtId="0" fontId="53" fillId="0" borderId="28" applyFont="1" applyFill="1" applyBorder="1" applyAlignment="1">
      <alignment horizontal="center"/>
    </xf>
    <xf numFmtId="0" fontId="53" fillId="0" borderId="37" applyFont="1" applyFill="1" applyBorder="1" applyAlignment="1">
      <alignment horizontal="center"/>
    </xf>
    <xf numFmtId="0" fontId="52" fillId="0" borderId="24" applyFont="1" applyFill="1" applyBorder="1" applyAlignment="1">
      <alignment horizontal="center"/>
    </xf>
    <xf numFmtId="0" fontId="52" fillId="0" borderId="25" applyFont="1" applyFill="1" applyBorder="1" applyAlignment="1">
      <alignment horizontal="center"/>
    </xf>
    <xf numFmtId="0" fontId="52" fillId="0" borderId="26" applyFont="1" applyFill="1" applyBorder="1" applyAlignment="1">
      <alignment horizontal="center"/>
    </xf>
    <xf numFmtId="0" fontId="52" fillId="0" borderId="27" applyFont="1" applyFill="1" applyBorder="1" applyAlignment="1">
      <alignment horizontal="center"/>
    </xf>
    <xf numFmtId="0" fontId="52" fillId="0" borderId="28" applyFont="1" applyFill="1" applyBorder="1" applyAlignment="1">
      <alignment horizontal="center"/>
    </xf>
    <xf numFmtId="0" fontId="52" fillId="0" borderId="29" applyFont="1" applyFill="1" applyBorder="1" applyAlignment="1">
      <alignment horizontal="center"/>
    </xf>
    <xf numFmtId="0" fontId="53" fillId="0" borderId="22" applyFont="1" applyFill="1" applyBorder="1" applyAlignment="1">
      <alignment horizontal="center"/>
    </xf>
    <xf numFmtId="0" fontId="53" fillId="0" borderId="6" applyFont="1" applyFill="1" applyBorder="1" applyAlignment="1">
      <alignment horizontal="center"/>
    </xf>
    <xf numFmtId="0" fontId="52" fillId="0" borderId="22" applyFont="1" applyFill="1" applyBorder="1" applyAlignment="1">
      <alignment horizontal="center"/>
    </xf>
    <xf numFmtId="0" fontId="52" fillId="0" borderId="0" applyFont="1" applyFill="1" applyAlignment="1">
      <alignment horizontal="center"/>
    </xf>
    <xf numFmtId="0" fontId="52" fillId="0" borderId="23"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37" applyNumberFormat="1" applyFont="1" applyFill="1" applyBorder="1" applyAlignment="1">
      <alignment horizontal="center"/>
    </xf>
    <xf numFmtId="166" fontId="69" fillId="10" borderId="29" applyNumberFormat="1" applyFont="1" applyFill="1" applyBorder="1" applyAlignment="1">
      <alignment horizontal="center"/>
    </xf>
    <xf numFmtId="1" fontId="69" fillId="10" borderId="27" applyNumberFormat="1" applyFont="1" applyFill="1" applyBorder="1" applyAlignment="1">
      <alignment horizontal="center"/>
    </xf>
    <xf numFmtId="1" fontId="69" fillId="10" borderId="28" applyNumberFormat="1" applyFont="1" applyFill="1" applyBorder="1" applyAlignment="1">
      <alignment horizontal="center"/>
    </xf>
    <xf numFmtId="1" fontId="69" fillId="10" borderId="29" applyNumberFormat="1" applyFont="1" applyFill="1" applyBorder="1" applyAlignment="1">
      <alignment horizontal="center"/>
    </xf>
    <xf numFmtId="0" fontId="51" fillId="0" borderId="38" applyFont="1" applyFill="1" applyBorder="1"/>
    <xf numFmtId="0" fontId="53" fillId="0" borderId="7" applyFont="1" applyFill="1" applyBorder="1" applyAlignment="1">
      <alignment horizontal="center"/>
    </xf>
    <xf numFmtId="166" fontId="69" fillId="10" borderId="39" applyNumberFormat="1" applyFont="1" applyFill="1" applyBorder="1" applyAlignment="1">
      <alignment horizontal="center"/>
    </xf>
    <xf numFmtId="0" fontId="31" fillId="0" borderId="30" applyFont="1" applyFill="1" applyBorder="1" applyAlignment="1">
      <alignment horizontal="center" wrapText="1"/>
    </xf>
    <xf numFmtId="0" fontId="31" fillId="0" borderId="31" applyFont="1" applyFill="1" applyBorder="1" applyAlignment="1">
      <alignment horizontal="center" wrapText="1"/>
    </xf>
    <xf numFmtId="0" fontId="31" fillId="0" borderId="32" applyFont="1" applyFill="1" applyBorder="1" applyAlignment="1">
      <alignment horizontal="center" wrapText="1"/>
    </xf>
    <xf numFmtId="0" fontId="42" fillId="0" borderId="24" applyFont="1" applyFill="1" applyBorder="1" applyAlignment="1">
      <alignment horizontal="center"/>
    </xf>
    <xf numFmtId="0" fontId="42" fillId="0" borderId="26" applyFont="1" applyFill="1" applyBorder="1" applyAlignment="1">
      <alignment horizontal="center"/>
    </xf>
    <xf numFmtId="0" fontId="42" fillId="10" borderId="22" applyFont="1" applyFill="1" applyBorder="1" applyAlignment="1">
      <alignment horizontal="center"/>
    </xf>
    <xf numFmtId="0" fontId="42" fillId="10" borderId="23" applyFont="1" applyFill="1" applyBorder="1" applyAlignment="1">
      <alignment horizontal="center"/>
    </xf>
    <xf numFmtId="0" fontId="42" fillId="0" borderId="22" applyFont="1" applyFill="1" applyBorder="1" applyAlignment="1">
      <alignment horizontal="center"/>
    </xf>
    <xf numFmtId="0" fontId="42" fillId="0" borderId="23" applyFont="1" applyFill="1" applyBorder="1" applyAlignment="1">
      <alignment horizontal="center"/>
    </xf>
    <xf numFmtId="0" fontId="42" fillId="10" borderId="27" applyFont="1" applyFill="1" applyBorder="1" applyAlignment="1">
      <alignment horizontal="center"/>
    </xf>
    <xf numFmtId="0" fontId="42" fillId="10" borderId="29" applyFont="1" applyFill="1" applyBorder="1" applyAlignment="1">
      <alignment horizontal="center"/>
    </xf>
    <xf numFmtId="0" fontId="42" fillId="0" borderId="25" applyFont="1" applyFill="1" applyBorder="1" applyAlignment="1">
      <alignment horizontal="center"/>
    </xf>
    <xf numFmtId="0" fontId="42" fillId="10" borderId="0" applyFont="1" applyFill="1" applyAlignment="1">
      <alignment horizontal="center"/>
    </xf>
    <xf numFmtId="0" fontId="42" fillId="0" borderId="0" applyFont="1" applyFill="1" applyAlignment="1">
      <alignment horizontal="center"/>
    </xf>
    <xf numFmtId="0" fontId="42" fillId="10" borderId="28" applyFont="1" applyFill="1" applyBorder="1" applyAlignment="1">
      <alignment horizontal="center"/>
    </xf>
    <xf numFmtId="166" fontId="69" fillId="0" borderId="24" applyNumberFormat="1" applyFont="1" applyFill="1" applyBorder="1" applyAlignment="1">
      <alignment horizontal="center"/>
    </xf>
    <xf numFmtId="166" fontId="69" fillId="0" borderId="25" applyNumberFormat="1" applyFont="1" applyFill="1" applyBorder="1" applyAlignment="1">
      <alignment horizontal="center"/>
    </xf>
    <xf numFmtId="166" fontId="69" fillId="0" borderId="26" applyNumberFormat="1" applyFont="1" applyFill="1" applyBorder="1" applyAlignment="1">
      <alignment horizontal="center"/>
    </xf>
    <xf numFmtId="166" fontId="69" fillId="10" borderId="22" applyNumberFormat="1" applyFont="1" applyFill="1" applyBorder="1" applyAlignment="1">
      <alignment horizontal="center"/>
    </xf>
    <xf numFmtId="166" fontId="69" fillId="10" borderId="23" applyNumberFormat="1" applyFont="1" applyFill="1" applyBorder="1" applyAlignment="1">
      <alignment horizontal="center"/>
    </xf>
    <xf numFmtId="166" fontId="69" fillId="0" borderId="22" applyNumberFormat="1" applyFont="1" applyFill="1" applyBorder="1" applyAlignment="1">
      <alignment horizontal="center"/>
    </xf>
    <xf numFmtId="166" fontId="69" fillId="0" borderId="23" applyNumberFormat="1" applyFont="1" applyFill="1" applyBorder="1" applyAlignment="1">
      <alignment horizontal="center"/>
    </xf>
    <xf numFmtId="166" fontId="69" fillId="10" borderId="27" applyNumberFormat="1" applyFont="1" applyFill="1" applyBorder="1" applyAlignment="1">
      <alignment horizontal="center"/>
    </xf>
    <xf numFmtId="166" fontId="69" fillId="10" borderId="28" applyNumberFormat="1" applyFont="1" applyFill="1" applyBorder="1" applyAlignment="1">
      <alignment horizontal="center"/>
    </xf>
    <xf numFmtId="166" fontId="69" fillId="10" borderId="29" applyNumberFormat="1" applyFont="1" applyFill="1" applyBorder="1" applyAlignment="1">
      <alignment horizontal="center"/>
    </xf>
    <xf numFmtId="166" fontId="69" fillId="0" borderId="27" applyNumberFormat="1" applyFont="1" applyFill="1" applyBorder="1" applyAlignment="1">
      <alignment horizontal="center"/>
    </xf>
    <xf numFmtId="166" fontId="69" fillId="0" borderId="28" applyNumberFormat="1" applyFont="1" applyFill="1" applyBorder="1" applyAlignment="1">
      <alignment horizontal="center"/>
    </xf>
    <xf numFmtId="166" fontId="69" fillId="0" borderId="29" applyNumberFormat="1" applyFont="1" applyFill="1" applyBorder="1" applyAlignment="1">
      <alignment horizontal="center"/>
    </xf>
    <xf numFmtId="2" fontId="69" fillId="10" borderId="30" applyNumberFormat="1" applyFont="1" applyFill="1" applyBorder="1" applyAlignment="1">
      <alignment horizontal="center"/>
    </xf>
    <xf numFmtId="2" fontId="69" fillId="10" borderId="31" applyNumberFormat="1" applyFont="1" applyFill="1" applyBorder="1" applyAlignment="1">
      <alignment horizontal="center"/>
    </xf>
    <xf numFmtId="2" fontId="69" fillId="10" borderId="40"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10" borderId="41" applyNumberFormat="1" applyFont="1" applyFill="1" applyBorder="1" applyAlignment="1">
      <alignment horizontal="center"/>
    </xf>
    <xf numFmtId="0" fontId="53" fillId="0" borderId="39" applyFont="1" applyFill="1" applyBorder="1" applyAlignment="1">
      <alignment horizontal="center"/>
    </xf>
    <xf numFmtId="2" fontId="69" fillId="0" borderId="24" applyNumberFormat="1" applyFont="1" applyFill="1" applyBorder="1" applyAlignment="1">
      <alignment horizontal="center"/>
    </xf>
    <xf numFmtId="2" fontId="69" fillId="0" borderId="26" applyNumberFormat="1" applyFont="1" applyFill="1" applyBorder="1" applyAlignment="1">
      <alignment horizontal="center"/>
    </xf>
    <xf numFmtId="2" fontId="69" fillId="10" borderId="22" applyNumberFormat="1" applyFont="1" applyFill="1" applyBorder="1" applyAlignment="1">
      <alignment horizontal="center"/>
    </xf>
    <xf numFmtId="2" fontId="69" fillId="10" borderId="23" applyNumberFormat="1" applyFont="1" applyFill="1" applyBorder="1" applyAlignment="1">
      <alignment horizontal="center"/>
    </xf>
    <xf numFmtId="2" fontId="69" fillId="0" borderId="22" applyNumberFormat="1" applyFont="1" applyFill="1" applyBorder="1" applyAlignment="1">
      <alignment horizontal="center"/>
    </xf>
    <xf numFmtId="2" fontId="69" fillId="0" borderId="23" applyNumberFormat="1" applyFont="1" applyFill="1" applyBorder="1" applyAlignment="1">
      <alignment horizontal="center"/>
    </xf>
    <xf numFmtId="2" fontId="69" fillId="10" borderId="27" applyNumberFormat="1" applyFont="1" applyFill="1" applyBorder="1" applyAlignment="1">
      <alignment horizontal="center"/>
    </xf>
    <xf numFmtId="2" fontId="69" fillId="10" borderId="29" applyNumberFormat="1" applyFont="1" applyFill="1" applyBorder="1" applyAlignment="1">
      <alignment horizontal="center"/>
    </xf>
    <xf numFmtId="2" fontId="69" fillId="0" borderId="25" applyNumberFormat="1" applyFont="1" applyFill="1" applyBorder="1" applyAlignment="1">
      <alignment horizontal="center"/>
    </xf>
    <xf numFmtId="2" fontId="69" fillId="10" borderId="28" applyNumberFormat="1" applyFont="1" applyFill="1" applyBorder="1" applyAlignment="1">
      <alignment horizontal="center"/>
    </xf>
    <xf numFmtId="2" fontId="69" fillId="0" borderId="27" applyNumberFormat="1" applyFont="1" applyFill="1" applyBorder="1" applyAlignment="1">
      <alignment horizontal="center"/>
    </xf>
    <xf numFmtId="2" fontId="69" fillId="0" borderId="28" applyNumberFormat="1" applyFont="1" applyFill="1" applyBorder="1" applyAlignment="1">
      <alignment horizontal="center"/>
    </xf>
    <xf numFmtId="2" fontId="69" fillId="0" borderId="29" applyNumberFormat="1" applyFont="1" applyFill="1" applyBorder="1" applyAlignment="1">
      <alignment horizontal="center"/>
    </xf>
    <xf numFmtId="0" fontId="46" fillId="3" borderId="0" applyFont="1" applyFill="1"/>
    <xf numFmtId="0" fontId="45" fillId="3" borderId="33" applyFont="1" applyFill="1" applyBorder="1" applyAlignment="1">
      <alignment horizontal="center"/>
    </xf>
    <xf numFmtId="0" fontId="45" fillId="6" borderId="34" applyFont="1" applyFill="1" applyBorder="1" applyAlignment="1">
      <alignment horizontal="center"/>
    </xf>
    <xf numFmtId="0" fontId="45" fillId="3" borderId="34" applyFont="1" applyFill="1" applyBorder="1" applyAlignment="1">
      <alignment horizontal="center"/>
    </xf>
    <xf numFmtId="0" fontId="45" fillId="6" borderId="35" applyFont="1" applyFill="1" applyBorder="1" applyAlignment="1">
      <alignment horizontal="center"/>
    </xf>
    <xf numFmtId="1" fontId="45" fillId="3" borderId="24" applyNumberFormat="1" applyFont="1" applyFill="1" applyBorder="1" applyAlignment="1">
      <alignment horizontal="center"/>
    </xf>
    <xf numFmtId="1" fontId="45" fillId="3" borderId="25" applyNumberFormat="1" applyFont="1" applyFill="1" applyBorder="1" applyAlignment="1">
      <alignment horizontal="center"/>
    </xf>
    <xf numFmtId="1" fontId="45" fillId="3" borderId="26" applyNumberFormat="1" applyFont="1" applyFill="1" applyBorder="1" applyAlignment="1">
      <alignment horizontal="center"/>
    </xf>
    <xf numFmtId="1" fontId="45" fillId="6" borderId="22" applyNumberFormat="1" applyFont="1" applyFill="1" applyBorder="1" applyAlignment="1">
      <alignment horizontal="center"/>
    </xf>
    <xf numFmtId="1" fontId="45" fillId="6" borderId="23" applyNumberFormat="1" applyFont="1" applyFill="1" applyBorder="1" applyAlignment="1">
      <alignment horizontal="center"/>
    </xf>
    <xf numFmtId="1" fontId="45" fillId="6" borderId="27" applyNumberFormat="1" applyFont="1" applyFill="1" applyBorder="1" applyAlignment="1">
      <alignment horizontal="center"/>
    </xf>
    <xf numFmtId="1" fontId="45" fillId="6" borderId="28" applyNumberFormat="1" applyFont="1" applyFill="1" applyBorder="1" applyAlignment="1">
      <alignment horizontal="center"/>
    </xf>
    <xf numFmtId="1" fontId="45" fillId="6" borderId="29" applyNumberFormat="1" applyFont="1" applyFill="1" applyBorder="1" applyAlignment="1">
      <alignment horizontal="center"/>
    </xf>
    <xf numFmtId="1" fontId="45" fillId="3" borderId="36" applyNumberFormat="1" applyFont="1" applyFill="1" applyBorder="1" applyAlignment="1">
      <alignment horizontal="center"/>
    </xf>
    <xf numFmtId="1" fontId="45" fillId="3" borderId="38" applyNumberFormat="1" applyFont="1" applyFill="1" applyBorder="1" applyAlignment="1">
      <alignment horizontal="center"/>
    </xf>
    <xf numFmtId="1" fontId="45" fillId="6" borderId="37" applyNumberFormat="1" applyFont="1" applyFill="1" applyBorder="1" applyAlignment="1">
      <alignment horizontal="center"/>
    </xf>
    <xf numFmtId="1" fontId="45" fillId="6" borderId="39" applyNumberFormat="1" applyFont="1" applyFill="1" applyBorder="1" applyAlignment="1">
      <alignment horizontal="center"/>
    </xf>
    <xf numFmtId="0" fontId="42" fillId="0" borderId="14" applyFont="1" applyFill="1" applyBorder="1" applyAlignment="1">
      <alignment horizontal="right"/>
    </xf>
    <xf numFmtId="0" fontId="32" fillId="0" borderId="0" applyFont="1" applyFill="1"/>
    <xf numFmtId="17" fontId="42" fillId="0" borderId="0" applyNumberFormat="1" applyFont="1" applyFill="1" applyAlignment="1">
      <alignment horizontal="left"/>
    </xf>
    <xf numFmtId="0" fontId="1" fillId="12" borderId="0" applyFont="1" applyFill="1"/>
    <xf numFmtId="0" fontId="62" fillId="12" borderId="0" applyFont="1" applyFill="1" applyAlignment="1">
      <alignment horizontal="right"/>
    </xf>
    <xf numFmtId="0" fontId="63" fillId="12" borderId="0" applyFont="1" applyFill="1" applyAlignment="1">
      <alignment horizontal="left" vertical="top"/>
    </xf>
    <xf numFmtId="0" fontId="64" fillId="12" borderId="0" applyFont="1" applyFill="1" applyAlignment="1">
      <alignment horizontal="right"/>
    </xf>
    <xf numFmtId="0" fontId="65" fillId="12" borderId="0" applyFont="1" applyFill="1"/>
    <xf numFmtId="0" fontId="63" fillId="12" borderId="0" applyFont="1" applyFill="1"/>
    <xf numFmtId="0" fontId="65" fillId="12" borderId="0" applyFont="1" applyFill="1" applyAlignment="1">
      <alignment wrapText="1"/>
    </xf>
    <xf numFmtId="0" fontId="66" fillId="12" borderId="0" applyFont="1" applyFill="1"/>
    <xf numFmtId="0" fontId="69" fillId="12" borderId="0" applyFont="1" applyFill="1"/>
    <xf numFmtId="0" fontId="36" fillId="12" borderId="0" applyFont="1" applyFill="1"/>
    <xf numFmtId="0" fontId="55" fillId="12" borderId="1" applyFont="1" applyFill="1" applyBorder="1"/>
    <xf numFmtId="0" fontId="55" fillId="12" borderId="30" applyFont="1" applyFill="1" applyBorder="1"/>
    <xf numFmtId="0" fontId="56" fillId="12" borderId="1" applyFont="1" applyFill="1" applyBorder="1" applyAlignment="1">
      <alignment horizontal="center"/>
    </xf>
    <xf numFmtId="0" fontId="1" fillId="12" borderId="0" applyFont="1" applyFill="1" applyAlignment="1">
      <alignment horizontal="right"/>
    </xf>
    <xf numFmtId="0" fontId="63" fillId="12" borderId="0" applyFont="1" applyFill="1" applyAlignment="1">
      <alignment horizontal="right" vertical="top"/>
    </xf>
    <xf numFmtId="0" fontId="65" fillId="12" borderId="0" applyFont="1" applyFill="1" applyAlignment="1">
      <alignment horizontal="right"/>
    </xf>
    <xf numFmtId="0" fontId="54" fillId="12" borderId="0" applyFont="1" applyFill="1" applyAlignment="1">
      <alignment horizontal="right"/>
    </xf>
    <xf numFmtId="0" fontId="63" fillId="12" borderId="0" applyFont="1" applyFill="1" applyAlignment="1">
      <alignment horizontal="right"/>
    </xf>
    <xf numFmtId="0" fontId="1" fillId="11" borderId="0" applyFont="1" applyFill="1" applyAlignment="1">
      <alignment horizontal="right"/>
    </xf>
    <xf numFmtId="0" fontId="33" fillId="3" borderId="0" applyFont="1" applyFill="1" applyAlignment="1">
      <alignment horizontal="centerContinuous"/>
    </xf>
    <xf numFmtId="0" fontId="34" fillId="11" borderId="0" applyFont="1" applyFill="1"/>
    <xf numFmtId="0" fontId="54" fillId="12" borderId="0" applyFont="1" applyFill="1" applyAlignment="1">
      <alignment horizontal="left" vertical="top"/>
    </xf>
    <xf numFmtId="0" fontId="68" fillId="12" borderId="0" applyFont="1" applyFill="1"/>
    <xf numFmtId="0" fontId="63" fillId="12" borderId="0" applyFont="1" applyFill="1" applyAlignment="1">
      <alignment vertical="top"/>
    </xf>
    <xf numFmtId="0" fontId="34" fillId="12" borderId="0" applyFont="1" applyFill="1" applyAlignment="1">
      <alignment horizontal="right" vertical="top"/>
    </xf>
    <xf numFmtId="0" fontId="69" fillId="3" borderId="0" applyFont="1" applyFill="1" applyAlignment="1">
      <alignment horizontal="left"/>
    </xf>
    <xf numFmtId="0" fontId="73" fillId="0" borderId="0" applyFont="1" applyFill="1"/>
    <xf numFmtId="0" fontId="76" fillId="0" borderId="0" applyFont="1" applyFill="1"/>
    <xf numFmtId="0" fontId="77" fillId="0" borderId="0" applyFont="1" applyFill="1"/>
    <xf numFmtId="0" fontId="75" fillId="0" borderId="0" applyFont="1" applyFill="1" applyAlignment="1">
      <alignment vertical="top"/>
    </xf>
    <xf numFmtId="0" fontId="78" fillId="0" borderId="0" applyFont="1" applyFill="1"/>
    <xf numFmtId="0" fontId="79" fillId="0" borderId="0" applyFont="1" applyFill="1"/>
    <xf numFmtId="0" fontId="79" fillId="0" borderId="0" applyFont="1" applyFill="1" applyAlignment="1">
      <alignment vertical="top" wrapText="1"/>
    </xf>
    <xf numFmtId="0" fontId="73" fillId="0" borderId="0" applyFont="1" applyFill="1" applyAlignment="1">
      <alignment vertical="top" wrapText="1"/>
    </xf>
    <xf numFmtId="0" fontId="35" fillId="3" borderId="0" applyFont="1" applyFill="1" applyAlignment="1">
      <alignment vertical="center"/>
    </xf>
    <xf numFmtId="0" fontId="71" fillId="0" borderId="0" applyFont="1" applyFill="1" applyAlignment="1">
      <alignment vertical="top"/>
    </xf>
    <xf numFmtId="0" fontId="72" fillId="0" borderId="0" applyFont="1" applyFill="1" applyAlignment="1">
      <alignment vertical="top"/>
    </xf>
    <xf numFmtId="166" fontId="69" fillId="13" borderId="24" applyNumberFormat="1" applyFont="1" applyFill="1" applyBorder="1" applyAlignment="1">
      <alignment horizontal="center"/>
    </xf>
    <xf numFmtId="166" fontId="69" fillId="13" borderId="25" applyNumberFormat="1" applyFont="1" applyFill="1" applyBorder="1" applyAlignment="1">
      <alignment horizontal="center"/>
    </xf>
    <xf numFmtId="166" fontId="69" fillId="13" borderId="36" applyNumberFormat="1" applyFont="1" applyFill="1" applyBorder="1" applyAlignment="1">
      <alignment horizontal="center"/>
    </xf>
    <xf numFmtId="166" fontId="69" fillId="13" borderId="38" applyNumberFormat="1" applyFont="1" applyFill="1" applyBorder="1" applyAlignment="1">
      <alignment horizontal="center"/>
    </xf>
    <xf numFmtId="166" fontId="69" fillId="13" borderId="0" applyNumberFormat="1" applyFont="1" applyFill="1"/>
    <xf numFmtId="166" fontId="69" fillId="13" borderId="26" applyNumberFormat="1" applyFont="1" applyFill="1" applyBorder="1" applyAlignment="1">
      <alignment horizontal="center"/>
    </xf>
    <xf numFmtId="166" fontId="69" fillId="13" borderId="27" applyNumberFormat="1" applyFont="1" applyFill="1" applyBorder="1" applyAlignment="1">
      <alignment horizontal="center"/>
    </xf>
    <xf numFmtId="166" fontId="69" fillId="13" borderId="28" applyNumberFormat="1" applyFont="1" applyFill="1" applyBorder="1" applyAlignment="1">
      <alignment horizontal="center"/>
    </xf>
    <xf numFmtId="166" fontId="69" fillId="13" borderId="37" applyNumberFormat="1" applyFont="1" applyFill="1" applyBorder="1" applyAlignment="1">
      <alignment horizontal="center"/>
    </xf>
    <xf numFmtId="166" fontId="69" fillId="13" borderId="39" applyNumberFormat="1" applyFont="1" applyFill="1" applyBorder="1" applyAlignment="1">
      <alignment horizontal="center"/>
    </xf>
    <xf numFmtId="166" fontId="69" fillId="13" borderId="29" applyNumberFormat="1" applyFont="1" applyFill="1" applyBorder="1" applyAlignment="1">
      <alignment horizontal="center"/>
    </xf>
    <xf numFmtId="1" fontId="69" fillId="13" borderId="24" applyNumberFormat="1" applyFont="1" applyFill="1" applyBorder="1" applyAlignment="1">
      <alignment horizontal="center"/>
    </xf>
    <xf numFmtId="1" fontId="69" fillId="13" borderId="25" applyNumberFormat="1" applyFont="1" applyFill="1" applyBorder="1" applyAlignment="1">
      <alignment horizontal="center"/>
    </xf>
    <xf numFmtId="1" fontId="69" fillId="13" borderId="36" applyNumberFormat="1" applyFont="1" applyFill="1" applyBorder="1" applyAlignment="1">
      <alignment horizontal="center"/>
    </xf>
    <xf numFmtId="1" fontId="69" fillId="13" borderId="38" applyNumberFormat="1" applyFont="1" applyFill="1" applyBorder="1" applyAlignment="1">
      <alignment horizontal="center"/>
    </xf>
    <xf numFmtId="1" fontId="69" fillId="13" borderId="0" applyNumberFormat="1" applyFont="1" applyFill="1"/>
    <xf numFmtId="1" fontId="69" fillId="13" borderId="26" applyNumberFormat="1" applyFont="1" applyFill="1" applyBorder="1" applyAlignment="1">
      <alignment horizontal="center"/>
    </xf>
    <xf numFmtId="2" fontId="69" fillId="13" borderId="24" applyNumberFormat="1" applyFont="1" applyFill="1" applyBorder="1" applyAlignment="1">
      <alignment horizontal="center"/>
    </xf>
    <xf numFmtId="2" fontId="69" fillId="13" borderId="25" applyNumberFormat="1" applyFont="1" applyFill="1" applyBorder="1" applyAlignment="1">
      <alignment horizontal="center"/>
    </xf>
    <xf numFmtId="2" fontId="69" fillId="13" borderId="36" applyNumberFormat="1" applyFont="1" applyFill="1" applyBorder="1" applyAlignment="1">
      <alignment horizontal="center"/>
    </xf>
    <xf numFmtId="2" fontId="69" fillId="13" borderId="38" applyNumberFormat="1" applyFont="1" applyFill="1" applyBorder="1" applyAlignment="1">
      <alignment horizontal="center"/>
    </xf>
    <xf numFmtId="2" fontId="69" fillId="13" borderId="0" applyNumberFormat="1" applyFont="1" applyFill="1"/>
    <xf numFmtId="2" fontId="69" fillId="13" borderId="26" applyNumberFormat="1" applyFont="1" applyFill="1" applyBorder="1" applyAlignment="1">
      <alignment horizontal="center"/>
    </xf>
    <xf numFmtId="2" fontId="69" fillId="13" borderId="27" applyNumberFormat="1" applyFont="1" applyFill="1" applyBorder="1" applyAlignment="1">
      <alignment horizontal="center"/>
    </xf>
    <xf numFmtId="2" fontId="69" fillId="13" borderId="28" applyNumberFormat="1" applyFont="1" applyFill="1" applyBorder="1" applyAlignment="1">
      <alignment horizontal="center"/>
    </xf>
    <xf numFmtId="2" fontId="69" fillId="13" borderId="37" applyNumberFormat="1" applyFont="1" applyFill="1" applyBorder="1" applyAlignment="1">
      <alignment horizontal="center"/>
    </xf>
    <xf numFmtId="2" fontId="69" fillId="13" borderId="39" applyNumberFormat="1" applyFont="1" applyFill="1" applyBorder="1" applyAlignment="1">
      <alignment horizontal="center"/>
    </xf>
    <xf numFmtId="2" fontId="69" fillId="13" borderId="29" applyNumberFormat="1" applyFont="1" applyFill="1" applyBorder="1" applyAlignment="1">
      <alignment horizontal="center"/>
    </xf>
    <xf numFmtId="166" fontId="42" fillId="13" borderId="0" applyNumberFormat="1" applyFont="1" applyFill="1" applyBorder="1" applyAlignment="1">
      <alignment horizontal="center"/>
    </xf>
    <xf numFmtId="166" fontId="42" fillId="13" borderId="6" applyNumberFormat="1" applyFont="1" applyFill="1" applyBorder="1" applyAlignment="1">
      <alignment horizontal="center"/>
    </xf>
    <xf numFmtId="166" fontId="42" fillId="13" borderId="7" applyNumberFormat="1" applyFont="1" applyFill="1" applyBorder="1" applyAlignment="1">
      <alignment horizontal="center"/>
    </xf>
    <xf numFmtId="0" fontId="42" fillId="13" borderId="0" applyFont="1" applyFill="1"/>
    <xf numFmtId="0" fontId="1" fillId="12" borderId="0" applyFont="1" applyFill="1" applyAlignment="1">
      <alignment vertical="top"/>
    </xf>
    <xf numFmtId="0" fontId="69" fillId="12" borderId="0" applyFont="1" applyFill="1" applyAlignment="1">
      <alignment vertical="top"/>
    </xf>
    <xf numFmtId="0" fontId="1" fillId="11" borderId="0" applyFont="1" applyFill="1" applyAlignment="1">
      <alignment vertical="top"/>
    </xf>
    <xf numFmtId="0" fontId="1" fillId="0" borderId="0" applyFont="1" applyFill="1" applyAlignment="1">
      <alignment vertical="top"/>
    </xf>
    <xf numFmtId="0" fontId="34" fillId="12" borderId="0" applyFont="1" applyFill="1"/>
    <xf numFmtId="0" fontId="63" fillId="12" borderId="0" applyFont="1" applyFill="1" applyAlignment="1">
      <alignment horizontal="center"/>
    </xf>
    <xf numFmtId="0" fontId="34" fillId="12" borderId="0" applyFont="1" applyFill="1" applyAlignment="1">
      <alignment horizontal="right"/>
    </xf>
    <xf numFmtId="0" fontId="34" fillId="11" borderId="0" applyFont="1" applyFill="1"/>
    <xf numFmtId="0" fontId="39" fillId="12" borderId="0" applyFont="1" applyFill="1"/>
    <xf numFmtId="0" fontId="39" fillId="12" borderId="0" applyFont="1" applyFill="1" applyAlignment="1">
      <alignment horizontal="right"/>
    </xf>
    <xf numFmtId="0" fontId="39" fillId="11" borderId="0" applyFont="1" applyFill="1"/>
    <xf numFmtId="0" fontId="67" fillId="12" borderId="0" applyFont="1" applyFill="1" applyAlignment="1">
      <alignment horizontal="left"/>
    </xf>
    <xf numFmtId="0" fontId="67" fillId="12" borderId="0" applyFont="1" applyFill="1"/>
    <xf numFmtId="2" fontId="69" fillId="14" borderId="0" applyNumberFormat="1" applyFont="1" applyFill="1" applyBorder="1" applyAlignment="1">
      <alignment horizontal="center"/>
    </xf>
    <xf numFmtId="2" fontId="69" fillId="14" borderId="6" applyNumberFormat="1" applyFont="1" applyFill="1" applyBorder="1" applyAlignment="1">
      <alignment horizontal="center"/>
    </xf>
    <xf numFmtId="2" fontId="69" fillId="14" borderId="7" applyNumberFormat="1" applyFont="1" applyFill="1" applyBorder="1" applyAlignment="1">
      <alignment horizontal="center"/>
    </xf>
    <xf numFmtId="2" fontId="69" fillId="13" borderId="0" applyNumberFormat="1" applyFont="1" applyFill="1" applyBorder="1" applyAlignment="1">
      <alignment horizontal="center"/>
    </xf>
    <xf numFmtId="2" fontId="69" fillId="13" borderId="6" applyNumberFormat="1" applyFont="1" applyFill="1" applyBorder="1" applyAlignment="1">
      <alignment horizontal="center"/>
    </xf>
    <xf numFmtId="2" fontId="69" fillId="13" borderId="7" applyNumberFormat="1" applyFont="1" applyFill="1" applyBorder="1" applyAlignment="1">
      <alignment horizontal="center"/>
    </xf>
    <xf numFmtId="0" fontId="54" fillId="12" borderId="0" applyFont="1" applyFill="1" applyAlignment="1">
      <alignment horizontal="left" wrapText="1"/>
    </xf>
    <xf numFmtId="0" fontId="67" fillId="12" borderId="0" applyFont="1" applyFill="1" applyAlignment="1">
      <alignment horizontal="left" wrapText="1"/>
    </xf>
    <xf numFmtId="0" fontId="39" fillId="3" borderId="0" applyFont="1" applyFill="1" applyAlignment="1">
      <alignment horizontal="left" wrapText="1"/>
    </xf>
    <xf numFmtId="0" fontId="32" fillId="3" borderId="0" applyFont="1" applyFill="1" applyAlignment="1">
      <alignment horizontal="right" vertical="center"/>
    </xf>
    <xf numFmtId="0" fontId="55" fillId="12" borderId="30" applyFont="1" applyFill="1" applyBorder="1" applyAlignment="1">
      <alignment horizontal="center"/>
    </xf>
    <xf numFmtId="0" fontId="55" fillId="12" borderId="31" applyFont="1" applyFill="1" applyBorder="1" applyAlignment="1">
      <alignment horizontal="center"/>
    </xf>
    <xf numFmtId="0" fontId="55" fillId="12" borderId="32" applyFont="1" applyFill="1" applyBorder="1" applyAlignment="1">
      <alignment horizontal="center"/>
    </xf>
    <xf numFmtId="0" fontId="32" fillId="3" borderId="0" applyFont="1" applyFill="1" applyAlignment="1">
      <alignment horizontal="center"/>
    </xf>
    <xf numFmtId="0" fontId="69" fillId="3" borderId="0" applyFont="1" applyFill="1" applyAlignment="1">
      <alignment horizontal="right"/>
    </xf>
    <xf numFmtId="0" fontId="1" fillId="0" borderId="0" applyFont="1" applyFill="1" applyAlignment="1">
      <alignment horizontal="center"/>
    </xf>
    <xf numFmtId="0" fontId="3" fillId="12" borderId="30" applyFont="1" applyFill="1" applyBorder="1" applyAlignment="1">
      <alignment horizontal="center"/>
    </xf>
    <xf numFmtId="0" fontId="1" fillId="12" borderId="31" applyFont="1" applyFill="1" applyBorder="1" applyAlignment="1">
      <alignment horizontal="center"/>
    </xf>
    <xf numFmtId="0" fontId="1" fillId="12" borderId="32" applyFont="1" applyFill="1" applyBorder="1" applyAlignment="1">
      <alignment horizontal="center"/>
    </xf>
    <xf numFmtId="0" fontId="1" fillId="0" borderId="0" applyFont="1" applyFill="1"/>
    <xf numFmtId="0" fontId="1" fillId="0" borderId="20" applyFont="1" applyFill="1" applyBorder="1" applyAlignment="1">
      <alignment horizontal="center"/>
    </xf>
    <xf numFmtId="0" fontId="39" fillId="0" borderId="0" applyFont="1" applyFill="1" applyAlignment="1">
      <alignment horizontal="left" wrapText="1"/>
    </xf>
    <xf numFmtId="0" fontId="3" fillId="12" borderId="31" applyFont="1" applyFill="1" applyBorder="1" applyAlignment="1">
      <alignment horizontal="center"/>
    </xf>
    <xf numFmtId="0" fontId="3" fillId="12" borderId="32" applyFont="1" applyFill="1" applyBorder="1" applyAlignment="1">
      <alignment horizontal="center"/>
    </xf>
    <xf numFmtId="0" fontId="36" fillId="0" borderId="0" applyFont="1" applyFill="1" applyAlignment="1">
      <alignment horizontal="right"/>
    </xf>
    <xf numFmtId="0" fontId="55" fillId="12" borderId="33" applyFont="1" applyFill="1" applyBorder="1" applyAlignment="1">
      <alignment horizontal="center" vertical="center"/>
    </xf>
    <xf numFmtId="0" fontId="55" fillId="12" borderId="35" applyFont="1" applyFill="1" applyBorder="1" applyAlignment="1">
      <alignment horizontal="center" vertical="center"/>
    </xf>
    <xf numFmtId="0" fontId="37" fillId="0" borderId="0" applyFont="1" applyFill="1" applyAlignment="1">
      <alignment horizontal="center"/>
    </xf>
    <xf numFmtId="0" fontId="37" fillId="0" borderId="42" applyFont="1" applyFill="1" applyBorder="1" applyAlignment="1">
      <alignment horizontal="center"/>
    </xf>
    <xf numFmtId="0" fontId="37" fillId="0" borderId="43" applyFont="1" applyFill="1" applyBorder="1" applyAlignment="1">
      <alignment horizontal="center"/>
    </xf>
    <xf numFmtId="0" fontId="37" fillId="0" borderId="44" applyFont="1" applyFill="1" applyBorder="1" applyAlignment="1">
      <alignment horizontal="center"/>
    </xf>
    <xf numFmtId="0" fontId="69" fillId="0" borderId="0" applyFont="1" applyFill="1" applyAlignment="1">
      <alignment horizontal="right"/>
    </xf>
    <xf numFmtId="0" fontId="21" fillId="0" borderId="30" applyFont="1" applyFill="1" applyBorder="1" applyAlignment="1">
      <alignment horizontal="center"/>
    </xf>
    <xf numFmtId="0" fontId="21" fillId="0" borderId="31" applyFont="1" applyFill="1" applyBorder="1" applyAlignment="1">
      <alignment horizontal="center"/>
    </xf>
    <xf numFmtId="0" fontId="21" fillId="0" borderId="32" applyFont="1" applyFill="1" applyBorder="1" applyAlignment="1">
      <alignment horizontal="center"/>
    </xf>
    <xf numFmtId="0" fontId="69" fillId="0" borderId="0" applyFont="1" applyFill="1" applyAlignment="1">
      <alignment horizontal="right" shrinkToFit="1"/>
    </xf>
    <xf numFmtId="0" fontId="19" fillId="12" borderId="30" applyFont="1" applyFill="1" applyBorder="1" applyAlignment="1">
      <alignment horizontal="center"/>
    </xf>
    <xf numFmtId="0" fontId="19" fillId="12" borderId="31" applyFont="1" applyFill="1" applyBorder="1" applyAlignment="1">
      <alignment horizontal="center"/>
    </xf>
    <xf numFmtId="0" fontId="19" fillId="12" borderId="32" applyFont="1" applyFill="1" applyBorder="1" applyAlignment="1">
      <alignment horizontal="center"/>
    </xf>
    <xf numFmtId="0" fontId="21" fillId="0" borderId="24" applyFont="1" applyFill="1" applyBorder="1" applyAlignment="1">
      <alignment horizontal="center"/>
    </xf>
    <xf numFmtId="0" fontId="21" fillId="0" borderId="25" applyFont="1" applyFill="1" applyBorder="1" applyAlignment="1">
      <alignment horizontal="center"/>
    </xf>
    <xf numFmtId="0" fontId="21" fillId="0" borderId="26" applyFont="1" applyFill="1" applyBorder="1" applyAlignment="1">
      <alignment horizontal="center"/>
    </xf>
    <xf numFmtId="0" fontId="69" fillId="0" borderId="0" applyFont="1" applyFill="1" applyAlignment="1">
      <alignment horizontal="right" wrapText="1"/>
    </xf>
    <xf numFmtId="0" fontId="21" fillId="0" borderId="11" applyFont="1" applyFill="1" applyBorder="1" applyAlignment="1">
      <alignment horizontal="center"/>
    </xf>
    <xf numFmtId="0" fontId="21" fillId="0" borderId="9" applyFont="1" applyFill="1" applyBorder="1" applyAlignment="1">
      <alignment horizontal="center"/>
    </xf>
    <xf numFmtId="0" fontId="21" fillId="0" borderId="27" applyFont="1" applyFill="1" applyBorder="1" applyAlignment="1">
      <alignment horizontal="center"/>
    </xf>
    <xf numFmtId="0" fontId="21" fillId="0" borderId="28" applyFont="1" applyFill="1" applyBorder="1" applyAlignment="1">
      <alignment horizontal="center"/>
    </xf>
    <xf numFmtId="0" fontId="21" fillId="0" borderId="29" applyFont="1" applyFill="1" applyBorder="1" applyAlignment="1">
      <alignment horizontal="center"/>
    </xf>
    <xf numFmtId="1" fontId="45" fillId="3" borderId="22" applyNumberFormat="1" applyFont="1" applyFill="1" applyBorder="1" applyAlignment="1">
      <alignment horizontal="center"/>
    </xf>
    <xf numFmtId="1" fontId="45" fillId="3" borderId="0" applyNumberFormat="1" applyFont="1" applyFill="1" applyAlignment="1">
      <alignment horizontal="center"/>
    </xf>
    <xf numFmtId="1" fontId="45" fillId="3" borderId="23" applyNumberFormat="1" applyFont="1" applyFill="1" applyBorder="1" applyAlignment="1">
      <alignment horizontal="center"/>
    </xf>
    <xf numFmtId="1" fontId="45" fillId="3" borderId="6" applyNumberFormat="1" applyFont="1" applyFill="1" applyBorder="1" applyAlignment="1">
      <alignment horizontal="center"/>
    </xf>
    <xf numFmtId="1" fontId="45" fillId="3" borderId="7" applyNumberFormat="1" applyFont="1" applyFill="1" applyBorder="1" applyAlignment="1">
      <alignment horizontal="center"/>
    </xf>
    <xf numFmtId="0" fontId="55" fillId="12" borderId="33" applyFont="1" applyFill="1" applyBorder="1" applyAlignment="1">
      <alignment horizontal="center"/>
    </xf>
    <xf numFmtId="0" fontId="55" fillId="12" borderId="35" applyFont="1" applyFill="1" applyBorder="1" applyAlignment="1">
      <alignment horizontal="center"/>
    </xf>
    <xf numFmtId="0" fontId="40" fillId="3" borderId="42" applyFont="1" applyFill="1" applyBorder="1" applyAlignment="1">
      <alignment horizontal="center"/>
    </xf>
    <xf numFmtId="0" fontId="40" fillId="3" borderId="43" applyFont="1" applyFill="1" applyBorder="1" applyAlignment="1">
      <alignment horizontal="center"/>
    </xf>
    <xf numFmtId="0" fontId="40" fillId="3" borderId="44" applyFont="1" applyFill="1" applyBorder="1" applyAlignment="1">
      <alignment horizontal="center"/>
    </xf>
    <xf numFmtId="0" fontId="40" fillId="3" borderId="0" applyFont="1" applyFill="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10" borderId="28" applyFont="1" applyFill="1" applyBorder="1" applyAlignment="1">
      <alignment horizontal="center"/>
    </xf>
    <xf numFmtId="0" fontId="34" fillId="10" borderId="29" applyFont="1" applyFill="1" applyBorder="1" applyAlignment="1">
      <alignment horizontal="center"/>
    </xf>
    <xf numFmtId="0" fontId="34" fillId="10" borderId="0" applyFont="1" applyFill="1" applyAlignment="1">
      <alignment horizontal="center"/>
    </xf>
    <xf numFmtId="0" fontId="34" fillId="10" borderId="23" applyFont="1" applyFill="1" applyBorder="1" applyAlignment="1">
      <alignment horizontal="center"/>
    </xf>
    <xf numFmtId="1" fontId="69" fillId="0" borderId="0" applyNumberFormat="1" applyFont="1" applyFill="1" applyAlignment="1">
      <alignment horizontal="left"/>
    </xf>
    <xf numFmtId="0" fontId="1" fillId="0" borderId="0" applyFont="1" applyFill="1" applyAlignment="1">
      <alignment horizontal="right"/>
    </xf>
    <xf numFmtId="0" fontId="1" fillId="0" borderId="23" applyFont="1" applyFill="1" applyBorder="1" applyAlignment="1">
      <alignment horizontal="right"/>
    </xf>
    <xf numFmtId="0" fontId="34" fillId="0" borderId="22" applyFont="1" applyFill="1" applyBorder="1" applyAlignment="1">
      <alignment horizontal="center"/>
    </xf>
    <xf numFmtId="0" fontId="33" fillId="0" borderId="0" applyFont="1" applyFill="1" applyAlignment="1">
      <alignment horizontal="center"/>
    </xf>
    <xf numFmtId="166" fontId="69" fillId="0" borderId="0" applyNumberFormat="1" applyFont="1" applyFill="1"/>
    <xf numFmtId="0" fontId="34" fillId="10" borderId="27" applyFont="1" applyFill="1" applyBorder="1" applyAlignment="1">
      <alignment horizontal="center"/>
    </xf>
    <xf numFmtId="0" fontId="33" fillId="0" borderId="28"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34" fillId="10" borderId="22" applyFont="1" applyFill="1" applyBorder="1" applyAlignment="1">
      <alignment horizontal="center"/>
    </xf>
    <xf numFmtId="0" fontId="32" fillId="0" borderId="0" applyFont="1" applyFill="1" applyAlignment="1">
      <alignment horizontal="center"/>
    </xf>
    <xf numFmtId="0" fontId="34" fillId="0" borderId="24" applyFont="1" applyFill="1" applyBorder="1" applyAlignment="1">
      <alignment horizontal="center"/>
    </xf>
    <xf numFmtId="0" fontId="57" fillId="12" borderId="24" applyFont="1" applyFill="1" applyBorder="1" applyAlignment="1">
      <alignment horizontal="center" vertical="center"/>
    </xf>
    <xf numFmtId="0" fontId="57" fillId="12" borderId="25" applyFont="1" applyFill="1" applyBorder="1" applyAlignment="1">
      <alignment horizontal="center" vertical="center"/>
    </xf>
    <xf numFmtId="0" fontId="57" fillId="12" borderId="26" applyFont="1" applyFill="1" applyBorder="1" applyAlignment="1">
      <alignment horizontal="center" vertical="center"/>
    </xf>
    <xf numFmtId="0" fontId="57" fillId="12" borderId="27" applyFont="1" applyFill="1" applyBorder="1" applyAlignment="1">
      <alignment horizontal="center" vertical="center"/>
    </xf>
    <xf numFmtId="0" fontId="57" fillId="12" borderId="28" applyFont="1" applyFill="1" applyBorder="1" applyAlignment="1">
      <alignment horizontal="center" vertical="center"/>
    </xf>
    <xf numFmtId="0" fontId="57" fillId="12" borderId="29" applyFont="1" applyFill="1" applyBorder="1" applyAlignment="1">
      <alignment horizontal="center" vertical="center"/>
    </xf>
    <xf numFmtId="1" fontId="34" fillId="0" borderId="0" applyNumberFormat="1" applyFont="1" applyFill="1" applyAlignment="1">
      <alignment horizontal="left" wrapText="1"/>
    </xf>
    <xf numFmtId="0" fontId="34" fillId="6" borderId="28" applyFont="1" applyFill="1" applyBorder="1" applyAlignment="1">
      <alignment horizontal="center"/>
    </xf>
    <xf numFmtId="0" fontId="34" fillId="6" borderId="29" applyFont="1" applyFill="1" applyBorder="1" applyAlignment="1">
      <alignment horizontal="center"/>
    </xf>
    <xf numFmtId="0" fontId="34" fillId="6" borderId="27" applyFont="1" applyFill="1" applyBorder="1" applyAlignment="1">
      <alignment horizontal="center"/>
    </xf>
    <xf numFmtId="0" fontId="34" fillId="6" borderId="0" applyFont="1" applyFill="1" applyAlignment="1">
      <alignment horizontal="center"/>
    </xf>
    <xf numFmtId="0" fontId="34" fillId="6" borderId="23" applyFont="1" applyFill="1" applyBorder="1" applyAlignment="1">
      <alignment horizontal="center"/>
    </xf>
    <xf numFmtId="0" fontId="34" fillId="0" borderId="22" applyFont="1" applyFill="1" applyBorder="1" applyAlignment="1">
      <alignment horizontal="center"/>
    </xf>
    <xf numFmtId="0" fontId="34" fillId="0" borderId="0" applyFont="1" applyFill="1" applyAlignment="1">
      <alignment horizontal="center"/>
    </xf>
    <xf numFmtId="0" fontId="34" fillId="0" borderId="23" applyFont="1" applyFill="1" applyBorder="1" applyAlignment="1">
      <alignment horizontal="center"/>
    </xf>
    <xf numFmtId="0" fontId="34" fillId="6" borderId="22" applyFont="1" applyFill="1" applyBorder="1" applyAlignment="1">
      <alignment horizontal="center"/>
    </xf>
    <xf numFmtId="0" fontId="32" fillId="0" borderId="0" applyFont="1" applyFill="1" applyAlignment="1">
      <alignment horizontal="center"/>
    </xf>
    <xf numFmtId="0" fontId="33" fillId="0" borderId="0" applyFont="1" applyFill="1" applyAlignment="1">
      <alignment horizontal="center"/>
    </xf>
    <xf numFmtId="0" fontId="34" fillId="0" borderId="24" applyFont="1" applyFill="1" applyBorder="1" applyAlignment="1">
      <alignment horizontal="center"/>
    </xf>
    <xf numFmtId="0" fontId="34" fillId="0" borderId="25" applyFont="1" applyFill="1" applyBorder="1" applyAlignment="1">
      <alignment horizontal="center"/>
    </xf>
    <xf numFmtId="0" fontId="34" fillId="0" borderId="26" applyFont="1" applyFill="1" applyBorder="1" applyAlignment="1">
      <alignment horizontal="center"/>
    </xf>
    <xf numFmtId="0" fontId="1" fillId="3" borderId="0" applyFont="1" applyFill="1" applyBorder="1"/>
    <xf numFmtId="0" fontId="37" fillId="11" borderId="0" applyFont="1" applyFill="1" applyAlignment="1">
      <alignment horizontal="center"/>
    </xf>
    <xf numFmtId="0" fontId="19" fillId="12" borderId="24" applyFont="1" applyFill="1" applyBorder="1" applyAlignment="1">
      <alignment horizontal="center" vertical="center" wrapText="1"/>
    </xf>
    <xf numFmtId="0" fontId="19" fillId="12" borderId="25" applyFont="1" applyFill="1" applyBorder="1" applyAlignment="1">
      <alignment horizontal="center" vertical="center" wrapText="1"/>
    </xf>
    <xf numFmtId="0" fontId="19" fillId="12" borderId="26" applyFont="1" applyFill="1" applyBorder="1" applyAlignment="1">
      <alignment horizontal="center" vertical="center" wrapText="1"/>
    </xf>
    <xf numFmtId="0" fontId="19" fillId="12" borderId="27" applyFont="1" applyFill="1" applyBorder="1" applyAlignment="1">
      <alignment horizontal="center" vertical="center" wrapText="1"/>
    </xf>
    <xf numFmtId="0" fontId="19" fillId="12" borderId="28" applyFont="1" applyFill="1" applyBorder="1" applyAlignment="1">
      <alignment horizontal="center" vertical="center" wrapText="1"/>
    </xf>
    <xf numFmtId="0" fontId="19" fillId="12" borderId="29" applyFont="1" applyFill="1" applyBorder="1" applyAlignment="1">
      <alignment horizontal="center" vertical="center" wrapText="1"/>
    </xf>
    <xf numFmtId="0" fontId="1" fillId="0" borderId="0" applyFont="1" applyFill="1" applyAlignment="1">
      <alignment horizontal="left" wrapText="1"/>
    </xf>
    <xf numFmtId="0" fontId="42" fillId="0" borderId="0" applyFont="1" applyFill="1" applyAlignment="1">
      <alignment horizontal="left" vertical="top" wrapText="1"/>
    </xf>
    <xf numFmtId="2" fontId="1" fillId="6" borderId="0" applyNumberFormat="1" applyFont="1" applyFill="1"/>
    <xf numFmtId="2" fontId="1" fillId="6" borderId="20" applyNumberFormat="1" applyFont="1" applyFill="1" applyBorder="1"/>
    <xf numFmtId="0" fontId="54" fillId="12" borderId="0" applyFont="1" applyFill="1" applyBorder="1" applyAlignment="1">
      <alignment horizontal="left" wrapText="1"/>
    </xf>
    <xf numFmtId="0" fontId="67" fillId="12" borderId="0" applyFont="1" applyFill="1" applyBorder="1" applyAlignment="1">
      <alignment horizontal="left" wrapText="1"/>
    </xf>
    <xf numFmtId="0" borderId="0"/>
    <xf numFmtId="0" fontId="69" fillId="3" borderId="0" applyFont="1" applyFill="1" applyBorder="1" applyAlignment="1">
      <alignment horizontal="right"/>
    </xf>
    <xf numFmtId="0" fontId="32" fillId="3" borderId="0" applyFont="1" applyFill="1" applyBorder="1" applyAlignment="1">
      <alignment horizontal="center"/>
    </xf>
    <xf numFmtId="0" fontId="69" fillId="3" borderId="0" applyFont="1" applyFill="1" applyBorder="1" applyAlignment="1">
      <alignment horizontal="center"/>
    </xf>
    <xf numFmtId="0" fontId="32" fillId="3" borderId="0" applyFont="1" applyFill="1" applyBorder="1" applyAlignment="1">
      <alignment horizontal="right" vertical="center"/>
    </xf>
    <xf numFmtId="0" fontId="55" fillId="12" borderId="1" applyFont="1" applyFill="1" applyBorder="1" applyAlignment="1">
      <alignment horizontal="center"/>
    </xf>
    <xf numFmtId="0" fontId="39" fillId="3" borderId="0" applyFont="1" applyFill="1" applyBorder="1" applyAlignment="1">
      <alignment horizontal="left" wrapText="1"/>
    </xf>
    <xf numFmtId="0" fontId="66" fillId="12" borderId="30" applyFont="1" applyFill="1" applyBorder="1" applyAlignment="1">
      <alignment horizontal="center"/>
    </xf>
    <xf numFmtId="0" fontId="66" fillId="12" borderId="1" applyFont="1" applyFill="1" applyBorder="1" applyAlignment="1">
      <alignment horizontal="center"/>
    </xf>
    <xf numFmtId="0" fontId="39" fillId="0" borderId="0" applyFont="1" applyFill="1" applyBorder="1" applyAlignment="1">
      <alignment horizontal="left" wrapText="1"/>
    </xf>
    <xf numFmtId="0" fontId="3" fillId="12" borderId="1" applyFont="1" applyFill="1" applyBorder="1" applyAlignment="1">
      <alignment horizontal="center"/>
    </xf>
    <xf numFmtId="0" fontId="1" fillId="0" borderId="0" applyFont="1" applyFill="1" applyBorder="1" applyAlignment="1">
      <alignment horizontal="center"/>
    </xf>
    <xf numFmtId="0" fontId="36" fillId="0" borderId="0" applyFont="1" applyFill="1" applyBorder="1" applyAlignment="1">
      <alignment horizontal="right"/>
    </xf>
    <xf numFmtId="0" fontId="55" fillId="12" borderId="1" applyFont="1" applyFill="1" applyBorder="1" applyAlignment="1">
      <alignment horizontal="center" vertical="center"/>
    </xf>
    <xf numFmtId="0" fontId="37" fillId="0" borderId="0" applyFont="1" applyFill="1" applyBorder="1" applyAlignment="1">
      <alignment horizontal="center"/>
    </xf>
    <xf numFmtId="0" fontId="37" fillId="0" borderId="45" applyFont="1" applyFill="1" applyBorder="1" applyAlignment="1">
      <alignment horizontal="center"/>
    </xf>
    <xf numFmtId="0" fontId="69" fillId="0" borderId="0" applyFont="1" applyFill="1" applyBorder="1" applyAlignment="1">
      <alignment horizontal="right"/>
    </xf>
    <xf numFmtId="0" fontId="21" fillId="0" borderId="1" applyFont="1" applyFill="1" applyBorder="1" applyAlignment="1">
      <alignment horizontal="center"/>
    </xf>
    <xf numFmtId="0" fontId="69" fillId="0" borderId="0" applyFont="1" applyFill="1" applyBorder="1" applyAlignment="1">
      <alignment horizontal="right" shrinkToFit="1"/>
    </xf>
    <xf numFmtId="0" fontId="19" fillId="12" borderId="1" applyFont="1" applyFill="1" applyBorder="1" applyAlignment="1">
      <alignment horizontal="center"/>
    </xf>
    <xf numFmtId="0" fontId="21" fillId="0" borderId="33" applyFont="1" applyFill="1" applyBorder="1" applyAlignment="1">
      <alignment horizontal="center"/>
    </xf>
    <xf numFmtId="0" fontId="69" fillId="0" borderId="0" applyFont="1" applyFill="1" applyBorder="1" applyAlignment="1">
      <alignment horizontal="right" wrapText="1"/>
    </xf>
    <xf numFmtId="0" fontId="21" fillId="0" borderId="35" applyFont="1" applyFill="1" applyBorder="1" applyAlignment="1">
      <alignment horizontal="center"/>
    </xf>
    <xf numFmtId="0" fontId="40" fillId="3" borderId="45" applyFont="1" applyFill="1" applyBorder="1" applyAlignment="1">
      <alignment horizontal="center"/>
    </xf>
    <xf numFmtId="0" fontId="40" fillId="3" borderId="0" applyFont="1" applyFill="1" applyBorder="1" applyAlignment="1">
      <alignment horizontal="center"/>
    </xf>
    <xf numFmtId="1" fontId="45" fillId="3" borderId="34" applyNumberFormat="1" applyFont="1" applyFill="1" applyBorder="1" applyAlignment="1">
      <alignment horizontal="center"/>
    </xf>
    <xf numFmtId="1" fontId="45" fillId="3" borderId="46" applyNumberFormat="1" applyFont="1" applyFill="1" applyBorder="1" applyAlignment="1">
      <alignment horizontal="center"/>
    </xf>
    <xf numFmtId="1" fontId="45" fillId="3" borderId="0" applyNumberFormat="1" applyFont="1" applyFill="1" applyBorder="1" applyAlignment="1">
      <alignment horizontal="center"/>
    </xf>
    <xf numFmtId="0" fontId="34" fillId="10" borderId="0" applyFont="1" applyFill="1" applyBorder="1" applyAlignment="1">
      <alignment horizontal="center"/>
    </xf>
    <xf numFmtId="0" fontId="34" fillId="0" borderId="0" applyFont="1" applyFill="1" applyBorder="1" applyAlignment="1">
      <alignment horizontal="center"/>
    </xf>
    <xf numFmtId="1" fontId="69" fillId="0" borderId="0" applyNumberFormat="1" applyFont="1" applyFill="1" applyBorder="1" applyAlignment="1">
      <alignment horizontal="left"/>
    </xf>
    <xf numFmtId="166" fontId="69" fillId="0" borderId="0" applyNumberFormat="1" applyFont="1" applyFill="1" applyBorder="1"/>
    <xf numFmtId="1" fontId="34" fillId="0" borderId="0" applyNumberFormat="1" applyFont="1" applyFill="1" applyBorder="1" applyAlignment="1">
      <alignment horizontal="left" wrapText="1"/>
    </xf>
    <xf numFmtId="0" fontId="57" fillId="12" borderId="30" applyFont="1" applyFill="1" applyBorder="1" applyAlignment="1">
      <alignment horizontal="center" vertical="center"/>
    </xf>
    <xf numFmtId="0" fontId="57" fillId="12" borderId="33" applyFont="1" applyFill="1" applyBorder="1" applyAlignment="1">
      <alignment horizontal="center" vertical="center"/>
    </xf>
    <xf numFmtId="0" fontId="57" fillId="12" borderId="1" applyFont="1" applyFill="1" applyBorder="1" applyAlignment="1">
      <alignment horizontal="center" vertical="center"/>
    </xf>
    <xf numFmtId="0" fontId="33" fillId="0" borderId="0" applyFont="1" applyFill="1" applyBorder="1" applyAlignment="1">
      <alignment horizontal="center"/>
    </xf>
    <xf numFmtId="0" fontId="32" fillId="0" borderId="0" applyFont="1" applyFill="1" applyBorder="1" applyAlignment="1">
      <alignment horizontal="center"/>
    </xf>
    <xf numFmtId="0" fontId="1" fillId="0" borderId="0" applyFont="1" applyFill="1" applyBorder="1" applyAlignment="1">
      <alignment horizontal="right"/>
    </xf>
    <xf numFmtId="0" fontId="1" fillId="0" borderId="0" applyFont="1" applyFill="1" applyBorder="1" applyAlignment="1">
      <alignment horizontal="left" wrapText="1"/>
    </xf>
    <xf numFmtId="0" fontId="37" fillId="11" borderId="0" applyFont="1" applyFill="1" applyBorder="1" applyAlignment="1">
      <alignment horizontal="center"/>
    </xf>
    <xf numFmtId="0" fontId="19" fillId="12" borderId="30" applyFont="1" applyFill="1" applyBorder="1" applyAlignment="1">
      <alignment horizontal="center" vertical="center" wrapText="1"/>
    </xf>
    <xf numFmtId="0" fontId="19" fillId="12" borderId="33" applyFont="1" applyFill="1" applyBorder="1" applyAlignment="1">
      <alignment horizontal="center" vertical="center" wrapText="1"/>
    </xf>
    <xf numFmtId="0" fontId="19" fillId="12" borderId="1" applyFont="1" applyFill="1" applyBorder="1" applyAlignment="1">
      <alignment horizontal="center" vertical="center" wrapText="1"/>
    </xf>
    <xf numFmtId="0" fontId="34" fillId="6" borderId="0" applyFont="1" applyFill="1" applyBorder="1" applyAlignment="1">
      <alignment horizontal="center"/>
    </xf>
    <xf numFmtId="0" fontId="42" fillId="0" borderId="0" applyFont="1" applyFill="1" applyBorder="1" applyAlignment="1">
      <alignment horizontal="left" vertical="top" wrapText="1"/>
    </xf>
    <xf numFmtId="0" fontId="32" fillId="3" borderId="47" applyFont="1" applyFill="1" applyBorder="1" applyAlignment="1">
      <alignment horizontal="center"/>
    </xf>
    <xf numFmtId="0" fontId="69" fillId="3" borderId="47" applyFont="1" applyFill="1" applyBorder="1" applyAlignment="1">
      <alignment horizontal="right"/>
    </xf>
    <xf numFmtId="0" fontId="32" fillId="3" borderId="47" applyFont="1" applyFill="1" applyBorder="1" applyAlignment="1">
      <alignment horizontal="right" vertical="center"/>
    </xf>
    <xf numFmtId="0" fontId="39" fillId="3" borderId="47" applyFont="1" applyFill="1" applyBorder="1" applyAlignment="1">
      <alignment horizontal="left" wrapText="1"/>
    </xf>
    <xf numFmtId="0" fontId="36" fillId="0" borderId="47" applyFont="1" applyFill="1" applyBorder="1" applyAlignment="1">
      <alignment horizontal="right"/>
    </xf>
    <xf numFmtId="0" fontId="37" fillId="0" borderId="47" applyFont="1" applyFill="1" applyBorder="1" applyAlignment="1">
      <alignment horizontal="center"/>
    </xf>
    <xf numFmtId="0" fontId="81" fillId="15" borderId="48" applyFont="1" applyFill="1" applyBorder="1"/>
    <xf numFmtId="0" fontId="39" fillId="0" borderId="47" applyFont="1" applyFill="1" applyBorder="1" applyAlignment="1">
      <alignment horizontal="left" wrapText="1"/>
    </xf>
    <xf numFmtId="0" fontId="51" fillId="0" borderId="49" applyFont="1" applyFill="1" applyBorder="1"/>
    <xf numFmtId="0" fontId="53" fillId="0" borderId="50" applyFont="1" applyFill="1" applyBorder="1" applyAlignment="1">
      <alignment horizontal="center"/>
    </xf>
    <xf numFmtId="166" fontId="69" fillId="13" borderId="49" applyNumberFormat="1" applyFont="1" applyFill="1" applyBorder="1" applyAlignment="1">
      <alignment horizontal="center"/>
    </xf>
    <xf numFmtId="166" fontId="69" fillId="10" borderId="50" applyNumberFormat="1" applyFont="1" applyFill="1" applyBorder="1" applyAlignment="1">
      <alignment horizontal="center"/>
    </xf>
    <xf numFmtId="166" fontId="69" fillId="13" borderId="51" applyNumberFormat="1" applyFont="1" applyFill="1" applyBorder="1" applyAlignment="1">
      <alignment horizontal="center"/>
    </xf>
    <xf numFmtId="166" fontId="69" fillId="10" borderId="51" applyNumberFormat="1" applyFont="1" applyFill="1" applyBorder="1" applyAlignment="1">
      <alignment horizontal="center"/>
    </xf>
    <xf numFmtId="1" fontId="69" fillId="13" borderId="49" applyNumberFormat="1" applyFont="1" applyFill="1" applyBorder="1" applyAlignment="1">
      <alignment horizontal="center"/>
    </xf>
    <xf numFmtId="1" fontId="69" fillId="10" borderId="51" applyNumberFormat="1" applyFont="1" applyFill="1" applyBorder="1" applyAlignment="1">
      <alignment horizontal="center"/>
    </xf>
    <xf numFmtId="0" fontId="82" fillId="16" borderId="0" applyFont="1" applyFill="1"/>
    <xf numFmtId="0" fontId="69" fillId="0" borderId="47" applyFont="1" applyFill="1" applyBorder="1" applyAlignment="1">
      <alignment horizontal="right" shrinkToFit="1"/>
    </xf>
    <xf numFmtId="0" fontId="42" fillId="10" borderId="52" applyFont="1" applyFill="1" applyBorder="1" applyAlignment="1">
      <alignment horizontal="center"/>
    </xf>
    <xf numFmtId="0" fontId="42" fillId="10" borderId="53" applyFont="1" applyFill="1" applyBorder="1" applyAlignment="1">
      <alignment horizontal="center"/>
    </xf>
    <xf numFmtId="166" fontId="69" fillId="10" borderId="52" applyNumberFormat="1" applyFont="1" applyFill="1" applyBorder="1" applyAlignment="1">
      <alignment horizontal="center"/>
    </xf>
    <xf numFmtId="166" fontId="69" fillId="10" borderId="53" applyNumberFormat="1" applyFont="1" applyFill="1" applyBorder="1" applyAlignment="1">
      <alignment horizontal="center"/>
    </xf>
    <xf numFmtId="166" fontId="69" fillId="10" borderId="54" applyNumberFormat="1" applyFont="1" applyFill="1" applyBorder="1" applyAlignment="1">
      <alignment horizontal="center"/>
    </xf>
    <xf numFmtId="2" fontId="69" fillId="13" borderId="49" applyNumberFormat="1" applyFont="1" applyFill="1" applyBorder="1" applyAlignment="1">
      <alignment horizontal="center"/>
    </xf>
    <xf numFmtId="2" fontId="69" fillId="10" borderId="50" applyNumberFormat="1" applyFont="1" applyFill="1" applyBorder="1" applyAlignment="1">
      <alignment horizontal="center"/>
    </xf>
    <xf numFmtId="2" fontId="69" fillId="13" borderId="51" applyNumberFormat="1" applyFont="1" applyFill="1" applyBorder="1" applyAlignment="1">
      <alignment horizontal="center"/>
    </xf>
    <xf numFmtId="0" fontId="53" fillId="0" borderId="51" applyFont="1" applyFill="1" applyBorder="1" applyAlignment="1">
      <alignment horizontal="center"/>
    </xf>
    <xf numFmtId="0" fontId="69" fillId="0" borderId="47" applyFont="1" applyFill="1" applyBorder="1" applyAlignment="1">
      <alignment horizontal="right" wrapText="1"/>
    </xf>
    <xf numFmtId="0" fontId="21" fillId="0" borderId="55" applyFont="1" applyFill="1" applyBorder="1" applyAlignment="1">
      <alignment horizontal="center"/>
    </xf>
    <xf numFmtId="0" fontId="42" fillId="10" borderId="54" applyFont="1" applyFill="1" applyBorder="1" applyAlignment="1">
      <alignment horizontal="center"/>
    </xf>
    <xf numFmtId="2" fontId="69" fillId="10" borderId="52" applyNumberFormat="1" applyFont="1" applyFill="1" applyBorder="1" applyAlignment="1">
      <alignment horizontal="center"/>
    </xf>
    <xf numFmtId="2" fontId="69" fillId="10" borderId="53" applyNumberFormat="1" applyFont="1" applyFill="1" applyBorder="1" applyAlignment="1">
      <alignment horizontal="center"/>
    </xf>
    <xf numFmtId="2" fontId="69" fillId="10" borderId="54" applyNumberFormat="1" applyFont="1" applyFill="1" applyBorder="1" applyAlignment="1">
      <alignment horizontal="center"/>
    </xf>
    <xf numFmtId="0" fontId="21" fillId="0" borderId="56" applyFont="1" applyFill="1" applyBorder="1" applyAlignment="1">
      <alignment horizontal="center"/>
    </xf>
    <xf numFmtId="0" fontId="21" fillId="0" borderId="57" applyFont="1" applyFill="1" applyBorder="1" applyAlignment="1">
      <alignment horizontal="center"/>
    </xf>
    <xf numFmtId="166" fontId="42" fillId="10" borderId="53" applyNumberFormat="1" applyFont="1" applyFill="1" applyBorder="1" applyAlignment="1">
      <alignment horizontal="center"/>
    </xf>
    <xf numFmtId="166" fontId="42" fillId="10" borderId="58" applyNumberFormat="1" applyFont="1" applyFill="1" applyBorder="1" applyAlignment="1">
      <alignment horizontal="center"/>
    </xf>
    <xf numFmtId="0" fontId="32" fillId="0" borderId="47" applyFont="1" applyFill="1" applyBorder="1" applyAlignment="1">
      <alignment horizontal="center"/>
    </xf>
    <xf numFmtId="0" fontId="33" fillId="0" borderId="47" applyFont="1" applyFill="1" applyBorder="1" applyAlignment="1">
      <alignment horizontal="center"/>
    </xf>
    <xf numFmtId="0" fontId="34" fillId="0" borderId="59" applyFont="1" applyFill="1" applyBorder="1" applyAlignment="1">
      <alignment horizontal="center"/>
    </xf>
    <xf numFmtId="0" fontId="34" fillId="0" borderId="60" applyFont="1" applyFill="1" applyBorder="1" applyAlignment="1">
      <alignment horizontal="center"/>
    </xf>
    <xf numFmtId="0" fontId="34" fillId="0" borderId="61" applyFont="1" applyFill="1" applyBorder="1" applyAlignment="1">
      <alignment horizontal="center"/>
    </xf>
    <xf numFmtId="0" fontId="34" fillId="6" borderId="62" applyFont="1" applyFill="1" applyBorder="1" applyAlignment="1">
      <alignment horizontal="center"/>
    </xf>
    <xf numFmtId="0" fontId="34" fillId="6" borderId="47" applyFont="1" applyFill="1" applyBorder="1" applyAlignment="1">
      <alignment horizontal="center"/>
    </xf>
    <xf numFmtId="0" fontId="34" fillId="6" borderId="63" applyFont="1" applyFill="1" applyBorder="1" applyAlignment="1">
      <alignment horizontal="center"/>
    </xf>
    <xf numFmtId="0" fontId="34" fillId="0" borderId="62" applyFont="1" applyFill="1" applyBorder="1" applyAlignment="1">
      <alignment horizontal="center"/>
    </xf>
    <xf numFmtId="0" fontId="34" fillId="0" borderId="47" applyFont="1" applyFill="1" applyBorder="1" applyAlignment="1">
      <alignment horizontal="center"/>
    </xf>
    <xf numFmtId="0" fontId="34" fillId="0" borderId="63" applyFont="1" applyFill="1" applyBorder="1" applyAlignment="1">
      <alignment horizontal="center"/>
    </xf>
    <xf numFmtId="0" fontId="34" fillId="6" borderId="64" applyFont="1" applyFill="1" applyBorder="1" applyAlignment="1">
      <alignment horizontal="center"/>
    </xf>
    <xf numFmtId="0" fontId="34" fillId="6" borderId="65" applyFont="1" applyFill="1" applyBorder="1" applyAlignment="1">
      <alignment horizontal="center"/>
    </xf>
    <xf numFmtId="0" fontId="34" fillId="6" borderId="66" applyFont="1" applyFill="1" applyBorder="1" applyAlignment="1">
      <alignment horizontal="center"/>
    </xf>
    <xf numFmtId="0" fontId="1" fillId="0" borderId="47" applyFont="1" applyFill="1" applyBorder="1" applyAlignment="1">
      <alignment horizontal="center"/>
    </xf>
    <xf numFmtId="0" fontId="37" fillId="11" borderId="47" applyFont="1" applyFill="1" applyBorder="1" applyAlignment="1">
      <alignment horizontal="center"/>
    </xf>
    <xf numFmtId="0" fontId="83" fillId="15" borderId="67" applyFont="1" applyFill="1" applyBorder="1" applyAlignment="1">
      <alignment horizontal="left"/>
    </xf>
    <xf numFmtId="0" fontId="83" fillId="15" borderId="67" applyFont="1" applyFill="1" applyBorder="1" applyAlignment="1">
      <alignment horizontal="right"/>
    </xf>
    <xf numFmtId="0" fontId="83" fillId="15" borderId="68" applyFont="1" applyFill="1" applyBorder="1"/>
    <xf numFmtId="0" fontId="83" fillId="15" borderId="69" applyFont="1" applyFill="1" applyBorder="1"/>
    <xf numFmtId="0" fontId="83" fillId="15" borderId="70" applyFont="1" applyFill="1" applyBorder="1"/>
    <xf numFmtId="0" fontId="83" fillId="17" borderId="67" applyFont="1" applyFill="1" applyBorder="1" applyAlignment="1">
      <alignment horizontal="left"/>
    </xf>
    <xf numFmtId="0" fontId="83" fillId="17" borderId="67" applyFont="1" applyFill="1" applyBorder="1" applyAlignment="1">
      <alignment horizontal="right"/>
    </xf>
    <xf numFmtId="0" fontId="83" fillId="17" borderId="68" applyFont="1" applyFill="1" applyBorder="1"/>
    <xf numFmtId="0" fontId="83" fillId="17" borderId="69" applyFont="1" applyFill="1" applyBorder="1"/>
    <xf numFmtId="0" fontId="83" fillId="17" borderId="70" applyFont="1" applyFill="1" applyBorder="1"/>
    <xf numFmtId="0" fontId="1" fillId="3" borderId="47" applyFont="1" applyFill="1" applyBorder="1"/>
    <xf numFmtId="0" fontId="1" fillId="0" borderId="47" applyFont="1" applyFill="1" applyBorder="1" applyAlignment="1">
      <alignment horizontal="left" wrapText="1"/>
    </xf>
    <xf numFmtId="0" fontId="83" fillId="16" borderId="70" applyFont="1" applyFill="1" applyBorder="1" applyAlignment="1">
      <alignment horizontal="center" vertical="center"/>
    </xf>
  </cellXfs>
  <cellStyles count="176">
    <cellStyle name="Comma" xfId="1" builtinId="3"/>
    <cellStyle name="Comma_MTD Classic Sample" xfId="2"/>
    <cellStyle name="Currency" xfId="3" builtinId="4"/>
    <cellStyle name="ExtStyle 0" xfId="4"/>
    <cellStyle name="ExtStyle 16" xfId="5"/>
    <cellStyle name="ExtStyle 17" xfId="6"/>
    <cellStyle name="ExtStyle 18" xfId="7"/>
    <cellStyle name="ExtStyle 19" xfId="8"/>
    <cellStyle name="ExtStyle 20" xfId="9"/>
    <cellStyle name="ExtStyle 21" xfId="10"/>
    <cellStyle name="ExtStyle 22" xfId="11"/>
    <cellStyle name="ExtStyle 28" xfId="12"/>
    <cellStyle name="ExtStyle 29" xfId="13"/>
    <cellStyle name="ExtStyle 30" xfId="14"/>
    <cellStyle name="ExtStyle 31" xfId="15"/>
    <cellStyle name="ExtStyle 32" xfId="16"/>
    <cellStyle name="ExtStyle 33" xfId="17"/>
    <cellStyle name="ExtStyle 34" xfId="18"/>
    <cellStyle name="ExtStyle 35" xfId="19"/>
    <cellStyle name="ExtStyle 36" xfId="20"/>
    <cellStyle name="ExtStyle 37" xfId="21"/>
    <cellStyle name="ExtStyle 38" xfId="22"/>
    <cellStyle name="ExtStyle 39" xfId="23"/>
    <cellStyle name="Hyperlink 2" xfId="24"/>
    <cellStyle name="Normal" xfId="0" builtinId="0"/>
    <cellStyle name="Normal 2" xfId="25"/>
    <cellStyle name="Percent" xfId="26" builtinId="5"/>
    <cellStyle name="Style 1025" xfId="27"/>
    <cellStyle name="Style 1101" xfId="28"/>
    <cellStyle name="Style 1103" xfId="29"/>
    <cellStyle name="Style 1104" xfId="30"/>
    <cellStyle name="Style 1105" xfId="31"/>
    <cellStyle name="Style 1106" xfId="32"/>
    <cellStyle name="Style 1107" xfId="33"/>
    <cellStyle name="Style 1108" xfId="34"/>
    <cellStyle name="Style 1109" xfId="35"/>
    <cellStyle name="Style 1110" xfId="36"/>
    <cellStyle name="Style 1111" xfId="37"/>
    <cellStyle name="Style 1112" xfId="38"/>
    <cellStyle name="Style 1113" xfId="39"/>
    <cellStyle name="Style 1114" xfId="40"/>
    <cellStyle name="Style 1115" xfId="41"/>
    <cellStyle name="Style 1177" xfId="42"/>
    <cellStyle name="Style 1178" xfId="43"/>
    <cellStyle name="Style 1179" xfId="44"/>
    <cellStyle name="Style 1180" xfId="45"/>
    <cellStyle name="Style 1181" xfId="46"/>
    <cellStyle name="Style 1182" xfId="47"/>
    <cellStyle name="Style 1183" xfId="48"/>
    <cellStyle name="Style 1184" xfId="49"/>
    <cellStyle name="Style 1185" xfId="50"/>
    <cellStyle name="Style 1299" xfId="51"/>
    <cellStyle name="Style 1331" xfId="52"/>
    <cellStyle name="Style 1332" xfId="53"/>
    <cellStyle name="Style 1333" xfId="54"/>
    <cellStyle name="Style 1334" xfId="55"/>
    <cellStyle name="Style 1335" xfId="56"/>
    <cellStyle name="Style 1336" xfId="57"/>
    <cellStyle name="Style 1337" xfId="58"/>
    <cellStyle name="Style 1338" xfId="59"/>
    <cellStyle name="Style 1339" xfId="60"/>
    <cellStyle name="Style 1376" xfId="61"/>
    <cellStyle name="Style 1377" xfId="62"/>
    <cellStyle name="Style 1378" xfId="63"/>
    <cellStyle name="Style 1379" xfId="64"/>
    <cellStyle name="Style 1380" xfId="65"/>
    <cellStyle name="Style 1381" xfId="66"/>
    <cellStyle name="Style 1382" xfId="67"/>
    <cellStyle name="Style 1383" xfId="68"/>
    <cellStyle name="Style 1384" xfId="69"/>
    <cellStyle name="Style 1385" xfId="70"/>
    <cellStyle name="Style 1386" xfId="71"/>
    <cellStyle name="Style 1556" xfId="72"/>
    <cellStyle name="Style 1663" xfId="73"/>
    <cellStyle name="Style 1665" xfId="74"/>
    <cellStyle name="Style 1666" xfId="75"/>
    <cellStyle name="Style 1667" xfId="76"/>
    <cellStyle name="Style 1668" xfId="77"/>
    <cellStyle name="Style 1669" xfId="78"/>
    <cellStyle name="Style 1670" xfId="79"/>
    <cellStyle name="Style 1671" xfId="80"/>
    <cellStyle name="Style 1672" xfId="81"/>
    <cellStyle name="Style 1673" xfId="82"/>
    <cellStyle name="Style 1887" xfId="83"/>
    <cellStyle name="Style 1888" xfId="84"/>
    <cellStyle name="Style 1889" xfId="85"/>
    <cellStyle name="Style 1890" xfId="86"/>
    <cellStyle name="Style 1891" xfId="87"/>
    <cellStyle name="Style 1892" xfId="88"/>
    <cellStyle name="Style 1893" xfId="89"/>
    <cellStyle name="Style 1894" xfId="90"/>
    <cellStyle name="Style 1895" xfId="91"/>
    <cellStyle name="Style 297" xfId="92"/>
    <cellStyle name="Style 300" xfId="93"/>
    <cellStyle name="Style 528" xfId="94"/>
    <cellStyle name="Style 561" xfId="95"/>
    <cellStyle name="Style 669" xfId="96"/>
    <cellStyle name="Style 670" xfId="97"/>
    <cellStyle name="Style 671" xfId="98"/>
    <cellStyle name="Style 672" xfId="99"/>
    <cellStyle name="Style 673" xfId="100"/>
    <cellStyle name="Style 674" xfId="101"/>
    <cellStyle name="Style 675" xfId="102"/>
    <cellStyle name="Style 676" xfId="103"/>
    <cellStyle name="Style 707" xfId="104"/>
    <cellStyle name="Style 708" xfId="105"/>
    <cellStyle name="Style 709" xfId="106"/>
    <cellStyle name="Style 710" xfId="107"/>
    <cellStyle name="Style 711" xfId="108"/>
    <cellStyle name="Style 712" xfId="109"/>
    <cellStyle name="Style 713" xfId="110"/>
    <cellStyle name="Style 714" xfId="111"/>
    <cellStyle name="Style 723" xfId="112"/>
    <cellStyle name="Style 740" xfId="113"/>
    <cellStyle name="Style 741" xfId="114"/>
    <cellStyle name="Style 742" xfId="115"/>
    <cellStyle name="Style 743" xfId="116"/>
    <cellStyle name="Style 744" xfId="117"/>
    <cellStyle name="Style 745" xfId="118"/>
    <cellStyle name="Style 746" xfId="119"/>
    <cellStyle name="Style 747" xfId="120"/>
    <cellStyle name="Style 835" xfId="121"/>
    <cellStyle name="Style 843" xfId="122"/>
    <cellStyle name="Style 868" xfId="123"/>
    <cellStyle name="Style 902" xfId="124"/>
    <cellStyle name="Style 903" xfId="125"/>
    <cellStyle name="Style 904" xfId="126"/>
    <cellStyle name="Style 905" xfId="127"/>
    <cellStyle name="Style 910" xfId="128"/>
    <cellStyle name="Style 911" xfId="129"/>
    <cellStyle name="Style 912" xfId="130"/>
    <cellStyle name="Style 913" xfId="131"/>
    <cellStyle name="Style 918" xfId="132"/>
    <cellStyle name="Style 919" xfId="133"/>
    <cellStyle name="Style 920" xfId="134"/>
    <cellStyle name="Style 921" xfId="135"/>
    <cellStyle name="Style 926" xfId="136"/>
    <cellStyle name="Style 927" xfId="137"/>
    <cellStyle name="Style 928" xfId="138"/>
    <cellStyle name="Style 929" xfId="139"/>
    <cellStyle name="Style 934" xfId="140"/>
    <cellStyle name="Style 935" xfId="141"/>
    <cellStyle name="Style 936" xfId="142"/>
    <cellStyle name="Style 937" xfId="143"/>
    <cellStyle name="Style 942" xfId="144"/>
    <cellStyle name="Style 943" xfId="145"/>
    <cellStyle name="Style 944" xfId="146"/>
    <cellStyle name="Style 945" xfId="147"/>
    <cellStyle name="Style 950" xfId="148"/>
    <cellStyle name="Style 951" xfId="149"/>
    <cellStyle name="Style 952" xfId="150"/>
    <cellStyle name="Style 953" xfId="151"/>
    <cellStyle name="Style 958" xfId="152"/>
    <cellStyle name="Style 959" xfId="153"/>
    <cellStyle name="Style 960" xfId="154"/>
    <cellStyle name="Style 961" xfId="155"/>
    <cellStyle name="Style 966" xfId="156"/>
    <cellStyle name="Style 967" xfId="157"/>
    <cellStyle name="Style 968" xfId="158"/>
    <cellStyle name="Style 969" xfId="159"/>
    <cellStyle name="Style 974" xfId="160"/>
    <cellStyle name="Style 975" xfId="161"/>
    <cellStyle name="Style 976" xfId="162"/>
    <cellStyle name="Style 977" xfId="163"/>
    <cellStyle name="Style 979" xfId="164"/>
    <cellStyle name="Style 981" xfId="165"/>
    <cellStyle name="Style 982" xfId="166"/>
    <cellStyle name="Style 983" xfId="167"/>
    <cellStyle name="Style 984" xfId="168"/>
    <cellStyle name="Style 985" xfId="169"/>
    <cellStyle name="Style 986" xfId="170"/>
    <cellStyle name="Style 987" xfId="171"/>
    <cellStyle name="Style 988" xfId="172"/>
    <cellStyle name="Style 989" xfId="173"/>
    <cellStyle name="Style 991" xfId="174"/>
    <cellStyle name="Hyperlink" xfId="175" builtinId="8"/>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AA6520"/>
      <rgbColor rgb="00008000"/>
      <rgbColor rgb="00000080"/>
      <rgbColor rgb="00808000"/>
      <rgbColor rgb="00800080"/>
      <rgbColor rgb="00008080"/>
      <rgbColor rgb="00EAEAEA"/>
      <rgbColor rgb="00808080"/>
      <rgbColor rgb="009999FF"/>
      <rgbColor rgb="00BB793C"/>
      <rgbColor rgb="00620C0B"/>
      <rgbColor rgb="00590001"/>
      <rgbColor rgb="00404549"/>
      <rgbColor rgb="00CD9B7A"/>
      <rgbColor rgb="00990033"/>
      <rgbColor rgb="00EAEAEA"/>
      <rgbColor rgb="00000080"/>
      <rgbColor rgb="00FF00FF"/>
      <rgbColor rgb="00FFFF00"/>
      <rgbColor rgb="0000FFFF"/>
      <rgbColor rgb="00800080"/>
      <rgbColor rgb="00CC6633"/>
      <rgbColor rgb="00666666"/>
      <rgbColor rgb="00A0A0A0"/>
      <rgbColor rgb="00FFFFFF"/>
      <rgbColor rgb="00CCFFFF"/>
      <rgbColor rgb="00CCFFCC"/>
      <rgbColor rgb="00FFFF99"/>
      <rgbColor rgb="0099CCFF"/>
      <rgbColor rgb="00FE5000"/>
      <rgbColor rgb="00CC99FF"/>
      <rgbColor rgb="00FFCC99"/>
      <rgbColor rgb="003366FF"/>
      <rgbColor rgb="0033CCCC"/>
      <rgbColor rgb="0099CC00"/>
      <rgbColor rgb="00FFCC00"/>
      <rgbColor rgb="00FF9900"/>
      <rgbColor rgb="00FF6600"/>
      <rgbColor rgb="00666699"/>
      <rgbColor rgb="00B57792"/>
      <rgbColor rgb="00003366"/>
      <rgbColor rgb="00339966"/>
      <rgbColor rgb="00003300"/>
      <rgbColor rgb="00333300"/>
      <rgbColor rgb="00993300"/>
      <rgbColor rgb="00993366"/>
      <rgbColor rgb="00333399"/>
      <rgbColor rgb="00800000"/>
    </indexedColors>
  </colors>
  <extLst>
    <ext uri="{EB79DEF2-80B8-43e5-95BD-54CBDDF9020C}">
      <x14:slicerStyles xmlns:x14="http://schemas.microsoft.com/office/spreadsheetml/2009/9/main" defaultSlicerStyle="SlicerStyleLight1"/>
    </ext>
    <ext uri="{9260A510-F301-46a8-8635-F512D64BE5F5}">
      <x15:timelineStyles xmlns:x15="http://schemas.microsoft.com/office/spreadsheetml/2010/11/main" defaultTimelineStyle="TimeSlicerStyleLight1"/>
    </ext>
  </extLst>
</styleSheet>
</file>

<file path=xl/_rels/workbook.xml.rels><?xml version="1.0" encoding="utf-8" standalone="yes" ?>
<Relationships xmlns="http://schemas.openxmlformats.org/package/2006/relationships">
<Relationship Id="rId11" Type="http://schemas.openxmlformats.org/officeDocument/2006/relationships/worksheet" Target="worksheets/sheet8.xml" />
<Relationship Id="rId14" Type="http://schemas.openxmlformats.org/officeDocument/2006/relationships/styles" Target="/xl/styles.xml" />
<Relationship Id="rId15" Type="http://schemas.openxmlformats.org/officeDocument/2006/relationships/theme" Target="/xl/theme/theme1.xml" />
<Relationship Id="rId13" Type="http://schemas.openxmlformats.org/officeDocument/2006/relationships/worksheet" Target="worksheets/sheet16.xml" />
<Relationship Id="rId9" Type="http://schemas.openxmlformats.org/officeDocument/2006/relationships/worksheet" Target="worksheets/sheet1.xml" />
<Relationship Id="rId10" Type="http://schemas.openxmlformats.org/officeDocument/2006/relationships/worksheet" Target="worksheets/sheet6.xml" />
<Relationship Id="rId12" Type="http://schemas.openxmlformats.org/officeDocument/2006/relationships/worksheet" Target="worksheets/sheet10.xml" />
<Relationship Id="rId16" Type="http://schemas.openxmlformats.org/officeDocument/2006/relationships/sharedStrings" Target="/xl/sharedStrings.xml" />
<Relationship Id="rId8" Type="http://schemas.openxmlformats.org/officeDocument/2006/relationships/worksheet" Target="worksheets/sheet18.xml" />
<Relationship Id="rId7" Type="http://schemas.openxmlformats.org/officeDocument/2006/relationships/worksheet" Target="worksheets/sheet22.xml" />
<Relationship Id="rId6" Type="http://schemas.openxmlformats.org/officeDocument/2006/relationships/worksheet" Target="worksheets/sheet26.xml" />
<Relationship Id="rId5" Type="http://schemas.openxmlformats.org/officeDocument/2006/relationships/worksheet" Target="worksheets/sheet30.xml" />
<Relationship Id="rId4" Type="http://schemas.openxmlformats.org/officeDocument/2006/relationships/worksheet" Target="worksheets/sheet34.xml" />
<Relationship Id="rId3" Type="http://schemas.openxmlformats.org/officeDocument/2006/relationships/worksheet" Target="worksheets/sheet38.xml" />
<Relationship Id="rId2" Type="http://schemas.openxmlformats.org/officeDocument/2006/relationships/worksheet" Target="worksheets/sheet42.xml" />
<Relationship Id="rId1" Type="http://schemas.openxmlformats.org/officeDocument/2006/relationships/worksheet" Target="worksheets/sheet46.xml" />
</Relationships>
</file>

<file path=xl/charts/chart49.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Daily Indexes for the Month of August</a:t>
            </a:r>
          </a:p>
        </rich>
      </tx>
      <overlay val="0"/>
    </title>
    <plotArea>
      <lineChart>
        <grouping/>
        <ser>
          <idx val="0"/>
          <order val="0"/>
          <tx>
            <v>Occupancy Index</v>
          </tx>
          <spPr>
            <a:ln w="38100">
              <a:solidFill>
                <a:srgbClr val="009CDE"/>
              </a:solidFill>
              <a:prstDash val="solid"/>
            </a:ln>
          </spPr>
          <marker>
            <symbol val="circle"/>
            <size val="8"/>
            <spPr>
              <a:solidFill>
                <a:srgbClr val="009CDE"/>
              </a:solidFill>
              <a:ln w="9525">
                <a:solidFill>
                  <a:srgbClr val="009CDE"/>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Month'!$C$28:$AG$28</f>
              <numCache>
                <formatCode>General</formatCode>
                <ptCount val="31"/>
                <pt idx="0">
                  <v>60.8025401500095</v>
                </pt>
                <pt idx="0">
                  <v>76.573241671032</v>
                </pt>
                <pt idx="0">
                  <v>39.4888577217037</v>
                </pt>
                <pt idx="0">
                  <v>38.7770092428064</v>
                </pt>
                <pt idx="0">
                  <v>65.5683974470009</v>
                </pt>
                <pt idx="0">
                  <v>84.2015057843796</v>
                </pt>
                <pt idx="0">
                  <v>84.9765258216322</v>
                </pt>
                <pt idx="0">
                  <v>158.582238152023</v>
                </pt>
                <pt idx="0">
                  <v>111.785422621424</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1"/>
          <order val="1"/>
          <tx>
            <v>ADR Index</v>
          </tx>
          <spPr>
            <a:ln w="38100">
              <a:solidFill>
                <a:srgbClr val="D22630"/>
              </a:solidFill>
              <a:prstDash val="solid"/>
            </a:ln>
          </spPr>
          <marker>
            <symbol val="diamond"/>
            <size val="8"/>
            <spPr>
              <a:solidFill>
                <a:srgbClr val="D22630"/>
              </a:solidFill>
              <a:ln w="9525">
                <a:solidFill>
                  <a:srgbClr val="D2263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Month'!$C$40:$AG$40</f>
              <numCache>
                <formatCode>General</formatCode>
                <ptCount val="31"/>
                <pt idx="0">
                  <v>71.5307975809063</v>
                </pt>
                <pt idx="0">
                  <v>66.8630724622926</v>
                </pt>
                <pt idx="0">
                  <v>63.7908943844181</v>
                </pt>
                <pt idx="0">
                  <v>68.2056213623757</v>
                </pt>
                <pt idx="0">
                  <v>65.3120388960641</v>
                </pt>
                <pt idx="0">
                  <v>65.6013976868153</v>
                </pt>
                <pt idx="0">
                  <v>72.8638835466233</v>
                </pt>
                <pt idx="0">
                  <v>93.4416473820394</v>
                </pt>
                <pt idx="0">
                  <v>93.4755512462275</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2"/>
          <order val="2"/>
          <tx>
            <v>RevPAR Index</v>
          </tx>
          <spPr>
            <a:ln w="38100">
              <a:solidFill>
                <a:srgbClr val="84BD00"/>
              </a:solidFill>
              <a:prstDash val="lgDash"/>
            </a:ln>
          </spPr>
          <marker>
            <symbol val="square"/>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Month'!$C$52:$AG$52</f>
              <numCache>
                <formatCode>General</formatCode>
                <ptCount val="31"/>
                <pt idx="0">
                  <v>43.4925419187632</v>
                </pt>
                <pt idx="0">
                  <v>51.1992220652289</v>
                </pt>
                <pt idx="0">
                  <v>25.1902955228469</v>
                </pt>
                <pt idx="0">
                  <v>26.4481000998115</v>
                </pt>
                <pt idx="0">
                  <v>42.8240572440736</v>
                </pt>
                <pt idx="0">
                  <v>55.2373646679065</v>
                </pt>
                <pt idx="0">
                  <v>61.9171968165477</v>
                </pt>
                <pt idx="0">
                  <v>148.181855784794</v>
                </pt>
                <pt idx="0">
                  <v>104.492040008352</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pt idx="0">
                  <v>0</v>
                </pt>
              </numCache>
            </numRef>
          </val>
          <smooth val="0"/>
        </ser>
        <ser>
          <idx val="3"/>
          <order val="3"/>
          <tx>
            <v>100 %</v>
          </tx>
          <spPr>
            <a:ln w="25400">
              <a:solidFill>
                <a:srgbClr val="000000"/>
              </a:solidFill>
              <a:prstDash val="lgDash"/>
            </a:ln>
          </spPr>
          <marker>
            <symbol val="none"/>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'Daily by Month'!$C$25:$AG$25</f>
            </multiLvlStrRef>
          </cat>
          <val>
            <numRef>
              <f>'Daily by Month'!$C$61:$AG$61</f>
              <numCache>
                <formatCode>General</formatCode>
                <ptCount val="31"/>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pt idx="0">
                  <v>100</v>
                </pt>
              </numCache>
            </numRef>
          </val>
          <smooth val="0"/>
        </ser>
        <smooth val="0"/>
        <axId val="1"/>
        <axId val="4"/>
      </lineChart>
      <catAx>
        <axId val="1"/>
        <scaling>
          <orientation/>
        </scaling>
        <delete val="0"/>
        <axPos val="b"/>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64"/>
          <min val="20"/>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legendEntry>
        <idx val="3"/>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1.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Occupancy (%)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Occ!$B$73:$M$73</f>
              <numCache>
                <formatCode>General</formatCode>
                <ptCount val="12"/>
                <pt idx="0">
                  <v>37.6344086021505</v>
                </pt>
                <pt idx="0">
                  <v>39.0168970814132</v>
                </pt>
                <pt idx="0">
                  <v>42.2427035330261</v>
                </pt>
                <pt idx="0">
                  <v>28.673835125448</v>
                </pt>
                <pt idx="0">
                  <v>45.3149001536098</v>
                </pt>
                <pt idx="0">
                  <v>50.7680491551459</v>
                </pt>
                <pt idx="0">
                  <v>29.8771121351767</v>
                </pt>
                <pt idx="0">
                  <v>39.1705069124424</v>
                </pt>
                <pt idx="0">
                  <v>40.6298003072197</v>
                </pt>
                <pt idx="0">
                  <v>29.2626728110599</v>
                </pt>
                <pt idx="0">
                  <v>43.2411674347158</v>
                </pt>
                <pt idx="0">
                  <v>39.7081413210445</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Occ!$B$74:$M$74</f>
              <numCache>
                <formatCode>General</formatCode>
                <ptCount val="12"/>
                <pt idx="0">
                  <v>57.0902394106814</v>
                </pt>
                <pt idx="0">
                  <v>49.0397263877927</v>
                </pt>
                <pt idx="0">
                  <v>61.4443567482242</v>
                </pt>
                <pt idx="0">
                  <v>58.9450144698763</v>
                </pt>
                <pt idx="0">
                  <v>63.7858458300447</v>
                </pt>
                <pt idx="0">
                  <v>61.7092373442544</v>
                </pt>
                <pt idx="0">
                  <v>45.8037358589845</v>
                </pt>
                <pt idx="0">
                  <v>62.8650355169692</v>
                </pt>
                <pt idx="0">
                  <v>59.1554853985793</v>
                </pt>
                <pt idx="0">
                  <v>66.6666666666667</v>
                </pt>
                <pt idx="0">
                  <v>61.5364377795317</v>
                </pt>
                <pt idx="0">
                  <v>47.0007892659826</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Occ!$B$72:$M$72</f>
            </multiLvlStrRef>
          </cat>
          <val>
            <numRef>
              <f>Occ!$B$75:$M$75</f>
              <numCache>
                <formatCode>General</formatCode>
                <ptCount val="12"/>
                <pt idx="0">
                  <v>72.4327826368643</v>
                </pt>
                <pt idx="0">
                  <v>63.4467120181406</v>
                </pt>
                <pt idx="0">
                  <v>78.7366375121477</v>
                </pt>
                <pt idx="0">
                  <v>74.408811143505</v>
                </pt>
                <pt idx="0">
                  <v>77.680596047943</v>
                </pt>
                <pt idx="0">
                  <v>75.7304826692582</v>
                </pt>
                <pt idx="0">
                  <v>63.1227729186913</v>
                </pt>
                <pt idx="0">
                  <v>77.0327178490444</v>
                </pt>
                <pt idx="0">
                  <v>74.6031746031746</v>
                </pt>
                <pt idx="0">
                  <v>74.2014901198575</v>
                </pt>
                <pt idx="0">
                  <v>70.709426627794</v>
                </pt>
                <pt idx="0">
                  <v>69.9967606090055</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84"/>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3.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ADR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ADR!$B$73:$M$73</f>
              <numCache>
                <formatCode>General</formatCode>
                <ptCount val="12"/>
                <pt idx="0">
                  <v>102.773469387755</v>
                </pt>
                <pt idx="0">
                  <v>104.76968503937</v>
                </pt>
                <pt idx="0">
                  <v>115.150909090909</v>
                </pt>
                <pt idx="0">
                  <v>106.484375</v>
                </pt>
                <pt idx="0">
                  <v>102.181355932203</v>
                </pt>
                <pt idx="0">
                  <v>100.78517397882</v>
                </pt>
                <pt idx="0">
                  <v>95.5167095115681</v>
                </pt>
                <pt idx="0">
                  <v>97.9980392156863</v>
                </pt>
                <pt idx="0">
                  <v>98.875236294896</v>
                </pt>
                <pt idx="0">
                  <v>100.540682414698</v>
                </pt>
                <pt idx="0">
                  <v>103.33214920071</v>
                </pt>
                <pt idx="0">
                  <v>100.452611218569</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ADR!$B$74:$M$74</f>
              <numCache>
                <formatCode>General</formatCode>
                <ptCount val="12"/>
                <pt idx="0">
                  <v>134.470783410138</v>
                </pt>
                <pt idx="0">
                  <v>127.382910407725</v>
                </pt>
                <pt idx="0">
                  <v>137.218826803682</v>
                </pt>
                <pt idx="0">
                  <v>135.446094621736</v>
                </pt>
                <pt idx="0">
                  <v>136.926535368117</v>
                </pt>
                <pt idx="0">
                  <v>142.354403964528</v>
                </pt>
                <pt idx="0">
                  <v>128.126122917863</v>
                </pt>
                <pt idx="0">
                  <v>136.849960242729</v>
                </pt>
                <pt idx="0">
                  <v>133.915743829219</v>
                </pt>
                <pt idx="0">
                  <v>138.296233228098</v>
                </pt>
                <pt idx="0">
                  <v>136.886145788799</v>
                </pt>
                <pt idx="0">
                  <v>132.586406381192</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ADR!$B$72:$M$72</f>
            </multiLvlStrRef>
          </cat>
          <val>
            <numRef>
              <f>ADR!$B$75:$M$75</f>
              <numCache>
                <formatCode>General</formatCode>
                <ptCount val="12"/>
                <pt idx="0">
                  <v>127.839982110912</v>
                </pt>
                <pt idx="0">
                  <v>119.817931175329</v>
                </pt>
                <pt idx="0">
                  <v>132.015551715626</v>
                </pt>
                <pt idx="0">
                  <v>127.872616456247</v>
                </pt>
                <pt idx="0">
                  <v>132.605921601334</v>
                </pt>
                <pt idx="0">
                  <v>129.748139276243</v>
                </pt>
                <pt idx="0">
                  <v>120.963871497485</v>
                </pt>
                <pt idx="0">
                  <v>133.708746846089</v>
                </pt>
                <pt idx="0">
                  <v>130.917672600955</v>
                </pt>
                <pt idx="0">
                  <v>130.272243080416</v>
                </pt>
                <pt idx="0">
                  <v>126.102253985706</v>
                </pt>
                <pt idx="0">
                  <v>125.059792669382</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47"/>
          <min val="91"/>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charts/chart55.xml><?xml version="1.0" encoding="utf-8"?>
<chartSpace xmlns="http://schemas.openxmlformats.org/drawingml/2006/chart"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roundedCorners val="0"/>
  <chart>
    <title>
      <tx>
        <rich>
          <a:bodyPr/>
          <a:p>
            <a:pPr>
              <a:defRPr sz="1800" b="1" i="0" u="none" strike="noStrike" baseline="0">
                <a:solidFill>
                  <a:sysClr val="windowText"/>
                </a:solidFill>
                <a:latin typeface="Arial"/>
              </a:defRPr>
            </a:pPr>
            <a:r>
              <a:rPr sz="1800" b="1" i="0" u="none" strike="noStrike" baseline="0">
                <a:latin typeface="Arial" charset="0"/>
              </a:rPr>
              <a:t>Weekly RevPAR - May 18, 2025 to Aug 09, 2025</a:t>
            </a:r>
          </a:p>
        </rich>
      </tx>
      <overlay val="0"/>
    </title>
    <plotArea>
      <lineChart>
        <grouping/>
        <ser>
          <idx val="0"/>
          <order val="0"/>
          <tx>
            <v>My Property</v>
          </tx>
          <spPr>
            <a:ln w="38100">
              <a:solidFill>
                <a:srgbClr val="00558C"/>
              </a:solidFill>
              <a:prstDash val="solid"/>
            </a:ln>
          </spPr>
          <marker>
            <symbol val="circle"/>
            <size val="8"/>
            <spPr>
              <a:solidFill>
                <a:srgbClr val="00558C"/>
              </a:solidFill>
              <a:ln w="9525">
                <a:solidFill>
                  <a:srgbClr val="00558C"/>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RevPAR!$B$73:$M$73</f>
              <numCache>
                <formatCode>General</formatCode>
                <ptCount val="12"/>
                <pt idx="0">
                  <v>38.6781874039939</v>
                </pt>
                <pt idx="0">
                  <v>40.8778801843318</v>
                </pt>
                <pt idx="0">
                  <v>48.6428571428571</v>
                </pt>
                <pt idx="0">
                  <v>30.5331541218638</v>
                </pt>
                <pt idx="0">
                  <v>46.3033794162826</v>
                </pt>
                <pt idx="0">
                  <v>51.1666666666667</v>
                </pt>
                <pt idx="0">
                  <v>28.5376344086022</v>
                </pt>
                <pt idx="0">
                  <v>38.3863287250384</v>
                </pt>
                <pt idx="0">
                  <v>40.1728110599078</v>
                </pt>
                <pt idx="0">
                  <v>29.42089093702</v>
                </pt>
                <pt idx="0">
                  <v>44.6820276497696</v>
                </pt>
                <pt idx="0">
                  <v>39.8878648233487</v>
                </pt>
              </numCache>
            </numRef>
          </val>
          <smooth val="0"/>
        </ser>
        <ser>
          <idx val="1"/>
          <order val="1"/>
          <tx>
            <v>Comp Set</v>
          </tx>
          <spPr>
            <a:ln w="38100">
              <a:solidFill>
                <a:srgbClr val="84BD00"/>
              </a:solidFill>
              <a:prstDash val="solid"/>
            </a:ln>
          </spPr>
          <marker>
            <symbol val="diamond"/>
            <size val="8"/>
            <spPr>
              <a:solidFill>
                <a:srgbClr val="84BD00"/>
              </a:solidFill>
              <a:ln w="9525">
                <a:solidFill>
                  <a:srgbClr val="84BD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RevPAR!$B$74:$M$74</f>
              <numCache>
                <formatCode>General</formatCode>
                <ptCount val="12"/>
                <pt idx="0">
                  <v>76.7696921862668</v>
                </pt>
                <pt idx="0">
                  <v>62.4682307287556</v>
                </pt>
                <pt idx="0">
                  <v>84.3132254669824</v>
                </pt>
                <pt idx="0">
                  <v>79.8387200736648</v>
                </pt>
                <pt idx="0">
                  <v>87.3397487503289</v>
                </pt>
                <pt idx="0">
                  <v>87.8458170124694</v>
                </pt>
                <pt idx="0">
                  <v>58.6865509076559</v>
                </pt>
                <pt idx="0">
                  <v>86.0307761115496</v>
                </pt>
                <pt idx="0">
                  <v>79.2185082872928</v>
                </pt>
                <pt idx="0">
                  <v>92.1974888187319</v>
                </pt>
                <pt idx="0">
                  <v>84.2348579321231</v>
                </pt>
                <pt idx="0">
                  <v>62.3166574585635</v>
                </pt>
              </numCache>
            </numRef>
          </val>
          <smooth val="0"/>
        </ser>
        <ser>
          <idx val="2"/>
          <order val="2"/>
          <tx>
            <v>Market Scale</v>
          </tx>
          <spPr>
            <a:ln w="38100">
              <a:solidFill>
                <a:srgbClr val="FE5000"/>
              </a:solidFill>
              <a:prstDash val="lgDash"/>
            </a:ln>
          </spPr>
          <marker>
            <symbol val="square"/>
            <size val="8"/>
            <spPr>
              <a:solidFill>
                <a:srgbClr val="FE5000"/>
              </a:solidFill>
              <a:ln w="9525">
                <a:solidFill>
                  <a:srgbClr val="FE5000"/>
                </a:solidFill>
                <a:prstDash val="solid"/>
              </a:ln>
            </spPr>
          </marker>
          <dLbls>
            <txPr>
              <a:bodyPr/>
              <a:p>
                <a:pPr>
                  <a:defRPr sz="1000" b="0" i="0" u="none" strike="noStrike" baseline="0">
                    <a:solidFill>
                      <a:sysClr val="windowText"/>
                    </a:solidFill>
                    <a:latin typeface="+mn-lt"/>
                  </a:defRPr>
                </a:pPr>
              </a:p>
            </txPr>
            <showLegendKey val="0"/>
            <showVal val="0"/>
            <showCatName val="0"/>
            <showSerName val="0"/>
            <showPercent val="0"/>
            <showBubbleSize val="0"/>
            <showLeaderLines val="0"/>
          </dLbls>
          <cat>
            <multiLvlStrRef>
              <f>RevPAR!$B$72:$M$72</f>
            </multiLvlStrRef>
          </cat>
          <val>
            <numRef>
              <f>RevPAR!$B$75:$M$75</f>
              <numCache>
                <formatCode>General</formatCode>
                <ptCount val="12"/>
                <pt idx="0">
                  <v>92.5980563654033</v>
                </pt>
                <pt idx="0">
                  <v>76.0205377389051</v>
                </pt>
                <pt idx="0">
                  <v>103.944606413994</v>
                </pt>
                <pt idx="0">
                  <v>95.1484936831876</v>
                </pt>
                <pt idx="0">
                  <v>103.009070294785</v>
                </pt>
                <pt idx="0">
                  <v>98.2588921282799</v>
                </pt>
                <pt idx="0">
                  <v>76.3557499190152</v>
                </pt>
                <pt idx="0">
                  <v>102.999481697441</v>
                </pt>
                <pt idx="0">
                  <v>97.6687398769031</v>
                </pt>
                <pt idx="0">
                  <v>96.6639455782313</v>
                </pt>
                <pt idx="0">
                  <v>89.1661807580175</v>
                </pt>
                <pt idx="0">
                  <v>87.5378036929057</v>
                </pt>
              </numCache>
            </numRef>
          </val>
          <smooth val="0"/>
        </ser>
        <smooth val="0"/>
        <axId val="1"/>
        <axId val="4"/>
      </lineChart>
      <catAx>
        <axId val="1"/>
        <scaling>
          <orientation/>
        </scaling>
        <delete val="0"/>
        <axPos val="b"/>
        <numFmt formatCode="d-mmm;@" sourceLinked="0"/>
        <majorTickMark val="none"/>
        <minorTickMark val="none"/>
        <spPr>
          <a:ln w="9525">
            <a:solidFill>
              <a:srgbClr val="A0A0A0"/>
            </a:solidFill>
            <a:prstDash val="solid"/>
          </a:ln>
        </spPr>
        <txPr>
          <a:bodyPr rot="60000"/>
          <a:lstStyle/>
          <a:p>
            <a:pPr>
              <a:defRPr sz="1200" b="0" i="0" u="none" strike="noStrike" baseline="0">
                <a:solidFill>
                  <a:sysClr val="windowText"/>
                </a:solidFill>
                <a:latin typeface="Arial"/>
              </a:defRPr>
            </a:pPr>
          </a:p>
        </txPr>
        <crossAx val="4"/>
      </catAx>
      <valAx>
        <axId val="4"/>
        <scaling>
          <orientation/>
          <max val="109"/>
          <min val="24"/>
        </scaling>
        <delete val="0"/>
        <axPos val="l"/>
        <majorGridlines>
          <spPr>
            <a:ln w="9525">
              <a:solidFill>
                <a:srgbClr val="A0A0A0"/>
              </a:solidFill>
              <a:prstDash val="sysDash"/>
            </a:ln>
          </spPr>
        </majorGridlines>
        <numFmt formatCode="General" sourceLinked="0"/>
        <majorTickMark val="out"/>
        <minorTickMark val="none"/>
        <spPr>
          <a:ln w="9525">
            <a:solidFill>
              <a:srgbClr val="A0A0A0"/>
            </a:solidFill>
            <a:prstDash val="solid"/>
          </a:ln>
        </spPr>
        <txPr>
          <a:bodyPr/>
          <a:p>
            <a:pPr>
              <a:defRPr sz="1300" b="0" i="0" u="none" strike="noStrike" baseline="0">
                <a:solidFill>
                  <a:sysClr val="windowText"/>
                </a:solidFill>
                <a:latin typeface="Arial"/>
              </a:defRPr>
            </a:pPr>
          </a:p>
        </txPr>
        <crossAx val="1"/>
      </valAx>
      <spPr>
        <a:solidFill>
          <a:srgbClr val="FFFFFF"/>
        </a:solidFill>
        <a:ln w="9525">
          <a:noFill/>
        </a:ln>
      </spPr>
    </plotArea>
    <legend>
      <legendPos val="b"/>
      <legendEntry>
        <idx val="0"/>
        <txPr>
          <a:bodyPr/>
          <a:p>
            <a:pPr>
              <a:defRPr sz="1470" b="0" i="0" u="none" strike="noStrike" baseline="0">
                <a:solidFill>
                  <a:sysClr val="windowText"/>
                </a:solidFill>
                <a:latin typeface="Arial"/>
              </a:defRPr>
            </a:pPr>
          </a:p>
        </txPr>
      </legendEntry>
      <legendEntry>
        <idx val="1"/>
        <txPr>
          <a:bodyPr/>
          <a:p>
            <a:pPr>
              <a:defRPr sz="1470" b="0" i="0" u="none" strike="noStrike" baseline="0">
                <a:solidFill>
                  <a:sysClr val="windowText"/>
                </a:solidFill>
                <a:latin typeface="Arial"/>
              </a:defRPr>
            </a:pPr>
          </a:p>
        </txPr>
      </legendEntry>
      <legendEntry>
        <idx val="2"/>
        <txPr>
          <a:bodyPr/>
          <a:p>
            <a:pPr>
              <a:defRPr sz="1470" b="0" i="0" u="none" strike="noStrike" baseline="0">
                <a:solidFill>
                  <a:sysClr val="windowText"/>
                </a:solidFill>
                <a:latin typeface="Arial"/>
              </a:defRPr>
            </a:pPr>
          </a:p>
        </txPr>
      </legendEntry>
      <overlay val="0"/>
      <spPr>
        <a:ln w="9525">
          <a:noFill/>
        </a:ln>
      </spPr>
      <txPr>
        <a:bodyPr/>
        <a:p>
          <a:pPr>
            <a:defRPr sz="1470" b="0" i="0" u="none" strike="noStrike" baseline="0">
              <a:solidFill>
                <a:sysClr val="windowText"/>
              </a:solidFill>
              <a:latin typeface="Arial"/>
            </a:defRPr>
          </a:pPr>
        </a:p>
      </txPr>
    </legend>
    <dispBlanksAs val="gap"/>
  </chart>
  <spPr>
    <a:ln w="9525">
      <a:solidFill>
        <a:srgbClr val="FFFFFF"/>
      </a:solidFill>
      <a:prstDash val="solid"/>
    </a:ln>
  </spPr>
  <txPr>
    <a:bodyPr/>
    <a:p>
      <a:pPr>
        <a:defRPr sz="1000" b="0" i="0" u="none" strike="noStrike" baseline="0">
          <a:solidFill>
            <a:sysClr val="windowText"/>
          </a:solidFill>
          <a:latin typeface="+mn-lt"/>
        </a:defRPr>
      </a:pPr>
    </a:p>
  </txPr>
</chartSpace>
</file>

<file path=xl/drawings/_rels/drawing1.xml.rels><?xml version="1.0" encoding="utf-8" standalone="yes" ?>
<Relationships xmlns="http://schemas.openxmlformats.org/package/2006/relationships">
<Relationship Id="rId1" Type="http://schemas.openxmlformats.org/officeDocument/2006/relationships/image" Target="/xl/media/image1.png" />
</Relationships>
</file>

<file path=xl/drawings/_rels/drawing2.xml.rels><?xml version="1.0" encoding="utf-8" standalone="yes" ?>
<Relationships xmlns="http://schemas.openxmlformats.org/package/2006/relationships">
<Relationship Id="rId1" Type="http://schemas.openxmlformats.org/officeDocument/2006/relationships/image" Target="/xl/media/image2.jpeg" />
</Relationships>
</file>

<file path=xl/drawings/_rels/drawing28.xml.rels><?xml version="1.0" encoding="utf-8" standalone="yes" ?>
<Relationships xmlns="http://schemas.openxmlformats.org/package/2006/relationships">
<Relationship Id="rId54" Type="http://schemas.openxmlformats.org/officeDocument/2006/relationships/chart" Target="/xl/charts/chart49.xml" />
</Relationships>
</file>

<file path=xl/drawings/_rels/drawing50.xml.rels><?xml version="1.0" encoding="utf-8" standalone="yes" ?>
<Relationships xmlns="http://schemas.openxmlformats.org/package/2006/relationships">
<Relationship Id="rId56" Type="http://schemas.openxmlformats.org/officeDocument/2006/relationships/chart" Target="/xl/charts/chart51.xml" />
</Relationships>
</file>

<file path=xl/drawings/_rels/drawing52.xml.rels><?xml version="1.0" encoding="utf-8" standalone="yes" ?>
<Relationships xmlns="http://schemas.openxmlformats.org/package/2006/relationships">
<Relationship Id="rId58" Type="http://schemas.openxmlformats.org/officeDocument/2006/relationships/chart" Target="/xl/charts/chart53.xml" />
</Relationships>
</file>

<file path=xl/drawings/_rels/drawing54.xml.rels><?xml version="1.0" encoding="utf-8" standalone="yes" ?>
<Relationships xmlns="http://schemas.openxmlformats.org/package/2006/relationships">
<Relationship Id="rId60" Type="http://schemas.openxmlformats.org/officeDocument/2006/relationships/chart" Target="/xl/charts/chart55.xml"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6</xdr:col>
      <xdr:colOff>0</xdr:colOff>
      <xdr:row>1</xdr:row>
      <xdr:rowOff>0</xdr:rowOff>
    </xdr:from>
    <xdr:to>
      <xdr:col>7</xdr:col>
      <xdr:colOff>0</xdr:colOff>
      <xdr:row>5</xdr:row>
      <xdr:rowOff>38100</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9410700" y="581025"/>
          <a:ext cx="1038225" cy="1038225"/>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0</xdr:colOff>
      <xdr:row>0</xdr:row>
      <xdr:rowOff>19050</xdr:rowOff>
    </xdr:from>
    <xdr:to>
      <xdr:col>5</xdr:col>
      <xdr:colOff>1905000</xdr:colOff>
      <xdr:row>1</xdr:row>
      <xdr:rowOff>838200</xdr:rowOff>
    </xdr:to>
    <xdr:pic>
      <xdr:nvPicPr>
        <xdr:cNvPr id="1054" name="Picture 1">
          <a:extLst>
            <a:ext uri="{FF2B5EF4-FFF2-40B4-BE49-F238E27FC236}">
              <a16:creationId xmlns:a16="http://schemas.microsoft.com/office/drawing/2014/main" id="{00000000-0008-0000-0F00-00001E040000}"/>
            </a:ext>
          </a:extLst>
        </xdr:cNvPr>
        <xdr:cNvPicPr>
          <a:picLocks noChangeAspect="1"/>
        </xdr:cNvPicPr>
      </xdr:nvPicPr>
      <xdr:blipFill>
        <a:blip r:embed="rId1">
          <a:extLst>
            <a:ext uri="{28A0092B-C50C-407E-A947-70E740481C1C}">
              <a14:useLocalDpi xmlns:a14="http://schemas.microsoft.com/office/drawing/2010/main" val="0"/>
            </a:ext>
          </a:extLst>
        </a:blip>
        <a:srcRect/>
        <a:stretch>
          <a:fillRect/>
        </a:stretch>
      </xdr:blipFill>
      <xdr:spPr bwMode="auto">
        <a:xfrm>
          <a:off x="0" y="19050"/>
          <a:ext cx="6086475" cy="1009650"/>
        </a:xfrm>
        <a:prstGeom prst="rect">
          <a:avLst/>
        </a:prstGeom>
        <a:noFill/>
        <a:ln>
          <a:noFill/>
        </a:ln>
        <a:extLst>
          <a:ext uri="{909E8E84-426E-40DD-AFC4-6F175D3DCCD1}">
            <a14:hiddenFill xmlns:a14="http://schemas.microsoft.com/office/drawing/2010/main">
              <a:solidFill xmlns:a="http://schemas.openxmlformats.org/drawingml/2006/main">
                <a:srgbClr val="FFFFFF"/>
              </a:solidFill>
            </a14:hiddenFill>
          </a:ext>
          <a:ext uri="{91240B29-F687-4F45-9708-019B960494DF}">
            <a14:hiddenLine xmlns:a14="http://schemas.microsoft.com/office/drawing/2010/main" w="9525">
              <a:solidFill xmlns:a="http://schemas.openxmlformats.org/drawingml/2006/main">
                <a:srgbClr val="000000"/>
              </a:solidFill>
              <a:miter xmlns:a="http://schemas.openxmlformats.org/drawingml/2006/main" lim="800000"/>
              <a:headEnd xmlns:a="http://schemas.openxmlformats.org/drawingml/2006/main"/>
              <a:tailEnd xmlns:a="http://schemas.openxmlformats.org/drawingml/2006/main"/>
            </a14:hiddenLine>
          </a:ext>
        </a:extLst>
      </xdr:spPr>
    </xdr:pic>
    <xdr:clientData/>
  </xdr:twoCellAnchor>
</xdr:wsDr>
</file>

<file path=xl/drawings/drawing2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2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103632</xdr:rowOff>
    </xdr:from>
    <xdr:ext cx="18923000" cy="4670425"/>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4"/>
        </a:graphicData>
      </a:graphic>
    </xdr:graphicFrame>
    <xdr:clientData/>
  </xdr:oneCellAnchor>
</xdr:wsDr>
</file>

<file path=xl/drawings/drawing3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36.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48.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file>

<file path=xl/drawings/drawing50.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923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6"/>
        </a:graphicData>
      </a:graphic>
    </xdr:graphicFrame>
    <xdr:clientData/>
  </xdr:oneCellAnchor>
</xdr:wsDr>
</file>

<file path=xl/drawings/drawing5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35433</xdr:rowOff>
    </xdr:from>
    <xdr:ext cx="18542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58"/>
        </a:graphicData>
      </a:graphic>
    </xdr:graphicFrame>
    <xdr:clientData/>
  </xdr:oneCellAnchor>
</xdr:wsDr>
</file>

<file path=xl/drawings/drawing54.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13335</xdr:colOff>
      <xdr:row>4</xdr:row>
      <xdr:rowOff>118110</xdr:rowOff>
    </xdr:from>
    <xdr:ext cx="18415000" cy="4445000"/>
    <xdr:graphicFrame>
      <xdr:nvGraphicFramePr>
        <xdr:cNvPr id="0" name="Chart 1"/>
        <xdr:cNvGraphicFramePr/>
      </xdr:nvGraphicFramePr>
      <xdr:xfrm>
        <a:off x="0" y="0"/>
        <a:ext cx="0" cy="0"/>
      </xdr:xfrm>
      <a:graphic>
        <a:graphicData uri="http://schemas.openxmlformats.org/drawingml/2006/chart">
          <chart xmlns:r="http://schemas.openxmlformats.org/officeDocument/2006/relationships" xmlns="http://schemas.openxmlformats.org/drawingml/2006/chart" r:id="rId60"/>
        </a:graphicData>
      </a:graphic>
    </xdr:graphicFrame>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
<Relationships xmlns="http://schemas.openxmlformats.org/package/2006/relationships">
<Relationship Id="rId3" Type="http://schemas.openxmlformats.org/officeDocument/2006/relationships/printerSettings" Target="../printerSettings/printerSettings1.bin" />
<Relationship Id="rId4" Type="http://schemas.openxmlformats.org/officeDocument/2006/relationships/drawing" Target="../drawings/drawing1.xml" />
<Relationship Id="rId61" Type="http://schemas.openxmlformats.org/officeDocument/2006/relationships/hyperlink" Target="http://www.strglobal.com/" TargetMode="External" />
<Relationship Id="rId62" Type="http://schemas.openxmlformats.org/officeDocument/2006/relationships/hyperlink" Target="http://www.str.com/" TargetMode="External" />
</Relationships>
</file>

<file path=xl/worksheets/_rels/sheet6.xml.rels><?xml version="1.0" encoding="utf-8" standalone="yes" ?>
<Relationships xmlns="http://schemas.openxmlformats.org/package/2006/relationships">
<Relationship Id="rId1" Type="http://schemas.openxmlformats.org/officeDocument/2006/relationships/printerSettings" Target="../printerSettings/printerSettings6.bin" />
<Relationship Id="rId55" Type="http://schemas.openxmlformats.org/officeDocument/2006/relationships/drawing" Target="../drawings/drawing50.xml" />
</Relationships>
</file>

<file path=xl/worksheets/_rels/sheet8.xml.rels><?xml version="1.0" encoding="utf-8" standalone="yes" ?>
<Relationships xmlns="http://schemas.openxmlformats.org/package/2006/relationships">
<Relationship Id="rId1" Type="http://schemas.openxmlformats.org/officeDocument/2006/relationships/printerSettings" Target="../printerSettings/printerSettings8.bin" />
<Relationship Id="rId57" Type="http://schemas.openxmlformats.org/officeDocument/2006/relationships/drawing" Target="../drawings/drawing52.xml" />
</Relationships>
</file>

<file path=xl/worksheets/_rels/sheet10.xml.rels><?xml version="1.0" encoding="utf-8" standalone="yes" ?>
<Relationships xmlns="http://schemas.openxmlformats.org/package/2006/relationships">
<Relationship Id="rId1" Type="http://schemas.openxmlformats.org/officeDocument/2006/relationships/printerSettings" Target="../printerSettings/printerSettings10.bin" />
<Relationship Id="rId59" Type="http://schemas.openxmlformats.org/officeDocument/2006/relationships/drawing" Target="../drawings/drawing54.xml" />
</Relationships>
</file>

<file path=xl/worksheets/_rels/sheet16.xml.rels><?xml version="1.0" encoding="utf-8" standalone="yes" ?>
<Relationships xmlns="http://schemas.openxmlformats.org/package/2006/relationships">
<Relationship Id="rId7" Type="http://schemas.openxmlformats.org/officeDocument/2006/relationships/drawing" Target="../drawings/drawing2.xml" />
<Relationship Id="rId6" Type="http://schemas.openxmlformats.org/officeDocument/2006/relationships/printerSettings" Target="../printerSettings/printerSettings16.bin" />
<Relationship Id="rId63" Type="http://schemas.openxmlformats.org/officeDocument/2006/relationships/hyperlink" Target="http://www.str.com/data-insights/resources/glossary" TargetMode="External" />
<Relationship Id="rId64" Type="http://schemas.openxmlformats.org/officeDocument/2006/relationships/hyperlink" Target="http://www.hotelnewsnow.com/" TargetMode="External" />
<Relationship Id="rId65" Type="http://schemas.openxmlformats.org/officeDocument/2006/relationships/hyperlink" Target="http://www.hoteldataconference.com/" TargetMode="External" />
<Relationship Id="rId66" Type="http://schemas.openxmlformats.org/officeDocument/2006/relationships/hyperlink" Target="http://www.str.com/data-insights/resources/FAQ" TargetMode="External" />
<Relationship Id="rId67" Type="http://schemas.openxmlformats.org/officeDocument/2006/relationships/hyperlink" Target="https://str.com/contact" TargetMode="External" />
</Relationships>
</file>

<file path=xl/worksheets/_rels/sheet18.xml.rels><?xml version="1.0" encoding="utf-8" standalone="yes" ?>
<Relationships xmlns="http://schemas.openxmlformats.org/package/2006/relationships">
<Relationship Id="rId1" Type="http://schemas.openxmlformats.org/officeDocument/2006/relationships/printerSettings" Target="../printerSettings/printerSettings19.bin" />
<Relationship Id="rId22" Type="http://schemas.openxmlformats.org/officeDocument/2006/relationships/drawing" Target="../drawings/drawing20.xml" />
</Relationships>
</file>

<file path=xl/worksheets/_rels/sheet22.xml.rels><?xml version="1.0" encoding="utf-8" standalone="yes" ?>
<Relationships xmlns="http://schemas.openxmlformats.org/package/2006/relationships">
<Relationship Id="rId1" Type="http://schemas.openxmlformats.org/officeDocument/2006/relationships/printerSettings" Target="../printerSettings/printerSettings23.bin" />
<Relationship Id="rId26" Type="http://schemas.openxmlformats.org/officeDocument/2006/relationships/drawing" Target="../drawings/drawing24.xml" />
</Relationships>
</file>

<file path=xl/worksheets/_rels/sheet26.xml.rels><?xml version="1.0" encoding="utf-8" standalone="yes" ?>
<Relationships xmlns="http://schemas.openxmlformats.org/package/2006/relationships">
<Relationship Id="rId1" Type="http://schemas.openxmlformats.org/officeDocument/2006/relationships/printerSettings" Target="../printerSettings/printerSettings27.bin" />
<Relationship Id="rId30" Type="http://schemas.openxmlformats.org/officeDocument/2006/relationships/drawing" Target="../drawings/drawing28.xml" />
</Relationships>
</file>

<file path=xl/worksheets/_rels/sheet30.xml.rels><?xml version="1.0" encoding="utf-8" standalone="yes" ?>
<Relationships xmlns="http://schemas.openxmlformats.org/package/2006/relationships">
<Relationship Id="rId1" Type="http://schemas.openxmlformats.org/officeDocument/2006/relationships/printerSettings" Target="../printerSettings/printerSettings31.bin" />
<Relationship Id="rId34" Type="http://schemas.openxmlformats.org/officeDocument/2006/relationships/drawing" Target="../drawings/drawing32.xml" />
</Relationships>
</file>

<file path=xl/worksheets/_rels/sheet34.xml.rels><?xml version="1.0" encoding="utf-8" standalone="yes" ?>
<Relationships xmlns="http://schemas.openxmlformats.org/package/2006/relationships">
<Relationship Id="rId1" Type="http://schemas.openxmlformats.org/officeDocument/2006/relationships/printerSettings" Target="../printerSettings/printerSettings35.bin" />
<Relationship Id="rId38" Type="http://schemas.openxmlformats.org/officeDocument/2006/relationships/drawing" Target="../drawings/drawing36.xml" />
</Relationships>
</file>

<file path=xl/worksheets/_rels/sheet38.xml.rels><?xml version="1.0" encoding="utf-8" standalone="yes" ?>
<Relationships xmlns="http://schemas.openxmlformats.org/package/2006/relationships">
<Relationship Id="rId1" Type="http://schemas.openxmlformats.org/officeDocument/2006/relationships/printerSettings" Target="../printerSettings/printerSettings39.bin" />
<Relationship Id="rId42" Type="http://schemas.openxmlformats.org/officeDocument/2006/relationships/drawing" Target="../drawings/drawing40.xml" />
</Relationships>
</file>

<file path=xl/worksheets/_rels/sheet42.xml.rels><?xml version="1.0" encoding="utf-8" standalone="yes" ?>
<Relationships xmlns="http://schemas.openxmlformats.org/package/2006/relationships">
<Relationship Id="rId1" Type="http://schemas.openxmlformats.org/officeDocument/2006/relationships/printerSettings" Target="../printerSettings/printerSettings43.bin" />
<Relationship Id="rId46" Type="http://schemas.openxmlformats.org/officeDocument/2006/relationships/drawing" Target="../drawings/drawing44.xml" />
</Relationships>
</file>

<file path=xl/worksheets/_rels/sheet46.xml.rels><?xml version="1.0" encoding="utf-8" standalone="yes" ?>
<Relationships xmlns="http://schemas.openxmlformats.org/package/2006/relationships">
<Relationship Id="rId1" Type="http://schemas.openxmlformats.org/officeDocument/2006/relationships/printerSettings" Target="../printerSettings/printerSettings47.bin" />
<Relationship Id="rId50" Type="http://schemas.openxmlformats.org/officeDocument/2006/relationships/drawing" Target="../drawings/drawing48.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1">
    <pageSetUpPr fitToPage="1"/>
  </sheetPr>
  <dimension ref="A1:Z117"/>
  <sheetViews>
    <sheetView showGridLines="0" tabSelected="1" zoomScaleNormal="100" workbookViewId="0"/>
  </sheetViews>
  <sheetFormatPr defaultRowHeight="12.75"/>
  <cols>
    <col min="1" max="1" width="13.28515625" customWidth="1"/>
    <col min="2" max="2" width="57.5703125" customWidth="1"/>
    <col min="3" max="3" width="5.42578125" style="176" customWidth="1"/>
    <col min="4" max="4" width="1.85546875" customWidth="1"/>
    <col min="5" max="5" width="57.5703125" customWidth="1"/>
    <col min="6" max="6" width="5.42578125" style="176" customWidth="1"/>
    <col min="7" max="7" width="15.5703125" customWidth="1"/>
    <col min="8" max="8" width="4.140625" customWidth="1"/>
    <col min="9" max="13" width="7.140625" customWidth="1"/>
    <col min="14" max="14" width="1.42578125" customWidth="1"/>
    <col min="15" max="15" width="13.140625" customWidth="1"/>
  </cols>
  <sheetData>
    <row r="1" ht="45.75" customHeight="1">
      <c r="A1" s="407"/>
      <c r="B1" s="407"/>
      <c r="C1" s="420"/>
      <c r="D1" s="407"/>
      <c r="E1" s="407"/>
      <c r="F1" s="420"/>
      <c r="G1" s="407"/>
      <c r="H1" s="408"/>
      <c r="I1" s="244"/>
      <c r="J1" s="244"/>
      <c r="K1" s="244"/>
      <c r="L1" s="244"/>
      <c r="M1" s="244"/>
      <c r="N1" s="244"/>
      <c r="O1" s="244"/>
      <c r="P1" s="244"/>
      <c r="Q1" s="244"/>
      <c r="R1" s="244"/>
      <c r="S1" s="244"/>
      <c r="T1" s="244"/>
      <c r="U1" s="244"/>
      <c r="V1" s="244"/>
      <c r="W1" s="244"/>
      <c r="X1" s="244"/>
      <c r="Y1" s="244"/>
      <c r="Z1" s="244"/>
    </row>
    <row r="2" ht="24.75" customHeight="1">
      <c r="A2" s="407"/>
      <c r="B2" s="428" t="s">
        <v>138</v>
      </c>
      <c r="C2" s="421"/>
      <c r="D2" s="409"/>
      <c r="E2" s="409"/>
      <c r="F2" s="421"/>
      <c r="G2" s="407"/>
      <c r="H2" s="410"/>
      <c r="I2" s="244"/>
      <c r="J2" s="244"/>
      <c r="K2" s="244"/>
      <c r="L2" s="244"/>
      <c r="M2" s="244"/>
      <c r="N2" s="244"/>
      <c r="O2" s="244"/>
      <c r="P2" s="244"/>
      <c r="Q2" s="244"/>
      <c r="R2" s="244"/>
      <c r="S2" s="244"/>
      <c r="T2" s="244"/>
      <c r="U2" s="244"/>
      <c r="V2" s="244"/>
      <c r="W2" s="244"/>
      <c r="X2" s="244"/>
      <c r="Y2" s="244"/>
      <c r="Z2" s="244"/>
    </row>
    <row r="3" ht="25.5" customHeight="1">
      <c r="A3" s="407"/>
      <c r="B3" s="429" t="s">
        <v>137</v>
      </c>
      <c r="C3" s="422"/>
      <c r="D3" s="411"/>
      <c r="E3" s="411"/>
      <c r="F3" s="422"/>
      <c r="G3" s="407"/>
      <c r="H3" s="410"/>
      <c r="I3" s="244"/>
      <c r="J3" s="244"/>
      <c r="K3" s="244"/>
      <c r="L3" s="244"/>
      <c r="M3" s="244"/>
      <c r="N3" s="244"/>
      <c r="O3" s="244"/>
      <c r="P3" s="244"/>
      <c r="Q3" s="244"/>
      <c r="R3" s="244"/>
      <c r="S3" s="244"/>
      <c r="T3" s="244"/>
      <c r="U3" s="244"/>
      <c r="V3" s="244"/>
      <c r="W3" s="244"/>
      <c r="X3" s="244"/>
      <c r="Y3" s="244"/>
      <c r="Z3" s="244"/>
    </row>
    <row r="4" ht="14.25" customHeight="1">
      <c r="A4" s="407"/>
      <c r="B4" s="600" t="s">
        <v>139</v>
      </c>
      <c r="C4" s="600"/>
      <c r="D4" s="600"/>
      <c r="E4" s="600"/>
      <c r="F4" s="423"/>
      <c r="G4" s="407"/>
      <c r="H4" s="410"/>
      <c r="I4" s="244"/>
      <c r="J4" s="244"/>
      <c r="K4" s="244"/>
      <c r="L4" s="244"/>
      <c r="M4" s="244"/>
      <c r="N4" s="244"/>
      <c r="O4" s="244"/>
      <c r="P4" s="244"/>
      <c r="Q4" s="244"/>
      <c r="R4" s="244"/>
      <c r="S4" s="244"/>
      <c r="T4" s="244"/>
      <c r="U4" s="244"/>
      <c r="V4" s="244"/>
      <c r="W4" s="244"/>
      <c r="X4" s="244"/>
      <c r="Y4" s="244"/>
      <c r="Z4" s="244"/>
    </row>
    <row r="5" ht="14.25" customHeight="1">
      <c r="A5" s="407"/>
      <c r="B5" s="600" t="s">
        <v>140</v>
      </c>
      <c r="C5" s="600"/>
      <c r="D5" s="600"/>
      <c r="E5" s="600"/>
      <c r="F5" s="423"/>
      <c r="G5" s="407"/>
      <c r="H5" s="410"/>
      <c r="I5" s="244"/>
      <c r="J5" s="244"/>
      <c r="K5" s="244"/>
      <c r="L5" s="244"/>
      <c r="M5" s="244"/>
      <c r="N5" s="244"/>
      <c r="O5" s="244"/>
      <c r="P5" s="244"/>
      <c r="Q5" s="244"/>
      <c r="R5" s="244"/>
      <c r="S5" s="244"/>
      <c r="T5" s="244"/>
      <c r="U5" s="244"/>
      <c r="V5" s="244"/>
      <c r="W5" s="244"/>
      <c r="X5" s="244"/>
      <c r="Y5" s="244"/>
      <c r="Z5" s="244"/>
    </row>
    <row r="6" ht="14.25" customHeight="1">
      <c r="A6" s="407"/>
      <c r="B6" s="412"/>
      <c r="C6" s="424"/>
      <c r="D6" s="412"/>
      <c r="E6" s="412"/>
      <c r="F6" s="424"/>
      <c r="G6" s="407"/>
      <c r="H6" s="410"/>
      <c r="I6" s="244"/>
      <c r="J6" s="244"/>
      <c r="K6" s="244"/>
      <c r="L6" s="244"/>
      <c r="M6" s="244"/>
      <c r="N6" s="244"/>
      <c r="O6" s="244"/>
      <c r="P6" s="244"/>
      <c r="Q6" s="244"/>
      <c r="R6" s="244"/>
      <c r="S6" s="244"/>
      <c r="T6" s="244"/>
      <c r="U6" s="244"/>
      <c r="V6" s="244"/>
      <c r="W6" s="244"/>
      <c r="X6" s="244"/>
      <c r="Y6" s="244"/>
      <c r="Z6" s="244"/>
    </row>
    <row r="7" ht="15.75" customHeight="1">
      <c r="A7" s="407"/>
      <c r="B7" s="430" t="s">
        <v>99</v>
      </c>
      <c r="C7" s="421">
        <v>1</v>
      </c>
      <c r="D7" s="430"/>
      <c r="E7" s="430"/>
      <c r="F7" s="421"/>
      <c r="G7" s="407"/>
      <c r="H7" s="410"/>
      <c r="I7" s="244"/>
      <c r="J7" s="244"/>
      <c r="K7" s="244"/>
      <c r="L7" s="244"/>
      <c r="M7" s="244"/>
      <c r="N7" s="244"/>
      <c r="O7" s="244"/>
      <c r="P7" s="244"/>
      <c r="Q7" s="244"/>
      <c r="R7" s="244"/>
      <c r="S7" s="244"/>
      <c r="T7" s="244"/>
      <c r="U7" s="244"/>
      <c r="V7" s="244"/>
      <c r="W7" s="244"/>
      <c r="X7" s="244"/>
      <c r="Y7" s="244"/>
      <c r="Z7" s="244"/>
    </row>
    <row r="8" ht="15.75" customHeight="1">
      <c r="A8" s="407"/>
      <c r="B8" s="430" t="str">
        <f>HYPERLINK("#'Glance'!A1", "Weekly Performance at a Glance")</f>
      </c>
      <c r="C8" s="421" t="str">
        <f>HYPERLINK("#'Glance'!A1", "2")</f>
      </c>
      <c r="D8" s="430"/>
      <c r="E8" s="430"/>
      <c r="F8" s="421"/>
      <c r="G8" s="407"/>
      <c r="H8" s="410"/>
      <c r="I8" s="244"/>
      <c r="J8" s="244"/>
      <c r="K8" s="244"/>
      <c r="L8" s="244"/>
      <c r="M8" s="244"/>
      <c r="N8" s="244"/>
      <c r="O8" s="244"/>
      <c r="P8" s="244"/>
      <c r="Q8" s="244"/>
      <c r="R8" s="244"/>
      <c r="S8" s="244"/>
      <c r="T8" s="244"/>
      <c r="U8" s="244"/>
      <c r="V8" s="244"/>
      <c r="W8" s="244"/>
      <c r="X8" s="244"/>
      <c r="Y8" s="244"/>
      <c r="Z8" s="244"/>
    </row>
    <row r="9" ht="15.75" customHeight="1">
      <c r="A9" s="407"/>
      <c r="B9" s="430" t="str">
        <f>HYPERLINK("#'Segmentation Glance'!A1", "Segmentation at a Glance")</f>
      </c>
      <c r="C9" s="421" t="str">
        <f>HYPERLINK("#'Segmentation Glance'!A1", "3")</f>
      </c>
      <c r="D9" s="430"/>
      <c r="E9" s="430"/>
      <c r="F9" s="421"/>
      <c r="G9" s="407"/>
      <c r="H9" s="407"/>
      <c r="I9" s="244"/>
      <c r="J9" s="244"/>
      <c r="K9" s="244"/>
      <c r="L9" s="244"/>
      <c r="M9" s="244"/>
      <c r="N9" s="244"/>
      <c r="O9" s="244"/>
      <c r="P9" s="244"/>
      <c r="Q9" s="244"/>
      <c r="R9" s="244"/>
      <c r="S9" s="244"/>
      <c r="T9" s="244"/>
      <c r="U9" s="244"/>
      <c r="V9" s="244"/>
      <c r="W9" s="244"/>
      <c r="X9" s="244"/>
      <c r="Y9" s="244"/>
      <c r="Z9" s="244"/>
    </row>
    <row r="10" ht="15.75" customHeight="1">
      <c r="A10" s="407"/>
      <c r="B10" s="430" t="str">
        <f>HYPERLINK("#'Daily by Month'!A1", "Daily Data for the Month")</f>
      </c>
      <c r="C10" s="421" t="str">
        <f>HYPERLINK("#'Daily by Month'!A1", "4")</f>
      </c>
      <c r="D10" s="430"/>
      <c r="E10" s="430"/>
      <c r="F10" s="421"/>
      <c r="G10" s="407"/>
      <c r="H10" s="407"/>
      <c r="I10" s="244"/>
      <c r="J10" s="244"/>
      <c r="K10" s="244"/>
      <c r="L10" s="244"/>
      <c r="M10" s="244"/>
      <c r="N10" s="244"/>
      <c r="O10" s="244"/>
      <c r="P10" s="244"/>
      <c r="Q10" s="244"/>
      <c r="R10" s="244"/>
      <c r="S10" s="244"/>
      <c r="T10" s="244"/>
      <c r="U10" s="244"/>
      <c r="V10" s="244"/>
      <c r="W10" s="244"/>
      <c r="X10" s="244"/>
      <c r="Y10" s="244"/>
      <c r="Z10" s="244"/>
    </row>
    <row r="11" ht="15.75" customHeight="1">
      <c r="A11" s="407"/>
      <c r="B11" s="430" t="str">
        <f>HYPERLINK("#'Occ'!A1", "Occupancy Perspectives")</f>
      </c>
      <c r="C11" s="421" t="str">
        <f>HYPERLINK("#'Occ'!A1", "5")</f>
      </c>
      <c r="D11" s="430"/>
      <c r="E11" s="430"/>
      <c r="F11" s="421"/>
      <c r="G11" s="413"/>
      <c r="H11" s="413"/>
      <c r="I11" s="244"/>
      <c r="J11" s="244"/>
      <c r="K11" s="244"/>
      <c r="L11" s="244"/>
      <c r="M11" s="244"/>
      <c r="N11" s="244"/>
      <c r="O11" s="244"/>
      <c r="P11" s="244"/>
      <c r="Q11" s="244"/>
      <c r="R11" s="244"/>
      <c r="S11" s="244"/>
      <c r="T11" s="244"/>
      <c r="U11" s="244"/>
      <c r="V11" s="244"/>
      <c r="W11" s="244"/>
      <c r="X11" s="244"/>
      <c r="Y11" s="244"/>
      <c r="Z11" s="244"/>
    </row>
    <row r="12" ht="15.75" customHeight="1">
      <c r="A12" s="407"/>
      <c r="B12" s="430" t="str">
        <f>HYPERLINK("#'Segmentation Occ'!A1", "Segmentation Occupancy Analysis")</f>
      </c>
      <c r="C12" s="421" t="str">
        <f>HYPERLINK("#'Segmentation Occ'!A1", "6")</f>
      </c>
      <c r="D12" s="430"/>
      <c r="E12" s="430"/>
      <c r="F12" s="421"/>
      <c r="G12" s="413"/>
      <c r="H12" s="413"/>
      <c r="I12" s="244"/>
      <c r="J12" s="244"/>
      <c r="K12" s="244"/>
      <c r="L12" s="244"/>
      <c r="M12" s="244"/>
      <c r="N12" s="244"/>
      <c r="O12" s="244"/>
      <c r="P12" s="244"/>
      <c r="Q12" s="244"/>
      <c r="R12" s="244"/>
      <c r="S12" s="244"/>
      <c r="T12" s="244"/>
      <c r="U12" s="244"/>
      <c r="V12" s="244"/>
      <c r="W12" s="244"/>
      <c r="X12" s="244"/>
      <c r="Y12" s="244"/>
      <c r="Z12" s="244"/>
    </row>
    <row r="13" ht="15.75" customHeight="1">
      <c r="A13" s="407"/>
      <c r="B13" s="430" t="str">
        <f>HYPERLINK("#'ADR'!A1", "ADR Perspectives")</f>
      </c>
      <c r="C13" s="421" t="str">
        <f>HYPERLINK("#'ADR'!A1", "7")</f>
      </c>
      <c r="D13" s="430"/>
      <c r="E13" s="430"/>
      <c r="F13" s="421"/>
      <c r="G13" s="407"/>
      <c r="H13" s="407"/>
      <c r="I13" s="244"/>
      <c r="J13" s="244"/>
      <c r="K13" s="244"/>
      <c r="L13" s="244"/>
      <c r="M13" s="244"/>
      <c r="N13" s="244"/>
      <c r="O13" s="244"/>
      <c r="P13" s="244"/>
      <c r="Q13" s="244"/>
      <c r="R13" s="244"/>
      <c r="S13" s="244"/>
      <c r="T13" s="244"/>
      <c r="U13" s="244"/>
      <c r="V13" s="244"/>
      <c r="W13" s="244"/>
      <c r="X13" s="244"/>
      <c r="Y13" s="244"/>
      <c r="Z13" s="244"/>
    </row>
    <row r="14" ht="15.75" customHeight="1">
      <c r="A14" s="407"/>
      <c r="B14" s="430" t="str">
        <f>HYPERLINK("#'Segmentation ADR'!A1", "Segmentation ADR Analysis")</f>
      </c>
      <c r="C14" s="421" t="str">
        <f>HYPERLINK("#'Segmentation ADR'!A1", "8")</f>
      </c>
      <c r="D14" s="430"/>
      <c r="E14" s="430"/>
      <c r="F14" s="421"/>
      <c r="G14" s="407"/>
      <c r="H14" s="414"/>
      <c r="I14" s="244"/>
      <c r="J14" s="244"/>
      <c r="K14" s="244"/>
      <c r="L14" s="244"/>
      <c r="M14" s="244"/>
      <c r="N14" s="244"/>
      <c r="O14" s="244"/>
      <c r="P14" s="244"/>
      <c r="Q14" s="244"/>
      <c r="R14" s="244"/>
      <c r="S14" s="244"/>
      <c r="T14" s="244"/>
      <c r="U14" s="244"/>
      <c r="V14" s="244"/>
      <c r="W14" s="244"/>
      <c r="X14" s="244"/>
      <c r="Y14" s="244"/>
      <c r="Z14" s="244"/>
    </row>
    <row r="15" ht="15.75" customHeight="1">
      <c r="A15" s="407"/>
      <c r="B15" s="430" t="str">
        <f>HYPERLINK("#'RevPAR'!A1", "RevPAR Perspectives")</f>
      </c>
      <c r="C15" s="421" t="str">
        <f>HYPERLINK("#'RevPAR'!A1", "9")</f>
      </c>
      <c r="D15" s="430"/>
      <c r="E15" s="430"/>
      <c r="F15" s="421"/>
      <c r="G15" s="407"/>
      <c r="H15" s="415"/>
      <c r="I15" s="244"/>
      <c r="J15" s="244"/>
      <c r="K15" s="244"/>
      <c r="L15" s="244"/>
      <c r="M15" s="244"/>
      <c r="N15" s="244"/>
      <c r="O15" s="244"/>
      <c r="P15" s="244"/>
      <c r="Q15" s="244"/>
      <c r="R15" s="244"/>
      <c r="S15" s="244"/>
      <c r="T15" s="244"/>
      <c r="U15" s="244"/>
      <c r="V15" s="244"/>
      <c r="W15" s="244"/>
      <c r="X15" s="244"/>
      <c r="Y15" s="244"/>
      <c r="Z15" s="244"/>
    </row>
    <row r="16" ht="15.75" customHeight="1">
      <c r="A16" s="407"/>
      <c r="B16" s="430" t="str">
        <f>HYPERLINK("#'Segmentation RevPAR'!A1", "Segmentation RevPAR Analysis")</f>
      </c>
      <c r="C16" s="421" t="str">
        <f>HYPERLINK("#'Segmentation RevPAR'!A1", "10")</f>
      </c>
      <c r="D16" s="430"/>
      <c r="E16" s="430"/>
      <c r="F16" s="421"/>
      <c r="G16" s="407"/>
      <c r="H16" s="415"/>
      <c r="I16" s="244"/>
      <c r="J16" s="244"/>
      <c r="K16" s="244"/>
      <c r="L16" s="244"/>
      <c r="M16" s="244"/>
      <c r="N16" s="244"/>
      <c r="O16" s="244"/>
      <c r="P16" s="244"/>
      <c r="Q16" s="244"/>
      <c r="R16" s="244"/>
      <c r="S16" s="244"/>
      <c r="T16" s="244"/>
      <c r="U16" s="244"/>
      <c r="V16" s="244"/>
      <c r="W16" s="244"/>
      <c r="X16" s="244"/>
      <c r="Y16" s="244"/>
      <c r="Z16" s="244"/>
    </row>
    <row r="17" ht="15.75" customHeight="1">
      <c r="A17" s="407"/>
      <c r="B17" s="430" t="str">
        <f>HYPERLINK("#'Additional Revenue'!A1", "Additional Revenue")</f>
      </c>
      <c r="C17" s="421" t="str">
        <f>HYPERLINK("#'Additional Revenue'!A1", "11")</f>
      </c>
      <c r="D17" s="430"/>
      <c r="E17" s="430"/>
      <c r="F17" s="421"/>
      <c r="G17" s="407"/>
      <c r="H17" s="415"/>
      <c r="I17" s="244"/>
      <c r="J17" s="244"/>
      <c r="K17" s="244"/>
      <c r="L17" s="244"/>
      <c r="M17" s="244"/>
      <c r="N17" s="244"/>
      <c r="O17" s="244"/>
      <c r="P17" s="244"/>
      <c r="Q17" s="244"/>
      <c r="R17" s="244"/>
      <c r="S17" s="244"/>
      <c r="T17" s="244"/>
      <c r="U17" s="244"/>
      <c r="V17" s="244"/>
      <c r="W17" s="244"/>
      <c r="X17" s="244"/>
      <c r="Y17" s="244"/>
      <c r="Z17" s="244"/>
    </row>
    <row r="18" ht="15.75" customHeight="1">
      <c r="A18" s="407"/>
      <c r="B18" s="430" t="str">
        <f>HYPERLINK("#'Response'!A1", "Response Report")</f>
      </c>
      <c r="C18" s="421" t="str">
        <f>HYPERLINK("#'Response'!A1", "12")</f>
      </c>
      <c r="D18" s="430"/>
      <c r="E18" s="430"/>
      <c r="F18" s="421"/>
      <c r="G18" s="407"/>
      <c r="H18" s="415"/>
      <c r="I18" s="244"/>
      <c r="J18" s="244"/>
      <c r="K18" s="244"/>
      <c r="L18" s="244"/>
      <c r="M18" s="244"/>
      <c r="N18" s="244"/>
      <c r="O18" s="244"/>
      <c r="P18" s="244"/>
      <c r="Q18" s="244"/>
      <c r="R18" s="244"/>
      <c r="S18" s="244"/>
      <c r="T18" s="244"/>
      <c r="U18" s="244"/>
      <c r="V18" s="244"/>
      <c r="W18" s="244"/>
      <c r="X18" s="244"/>
      <c r="Y18" s="244"/>
      <c r="Z18" s="244"/>
    </row>
    <row r="19" ht="15.75" customHeight="1">
      <c r="A19" s="407"/>
      <c r="B19" s="430" t="str">
        <f>HYPERLINK("#'Help'!A1", "Help")</f>
      </c>
      <c r="C19" s="421" t="str">
        <f>HYPERLINK("#'Help'!A1", "13")</f>
      </c>
      <c r="D19" s="430"/>
      <c r="E19" s="430"/>
      <c r="F19" s="421"/>
      <c r="G19" s="407"/>
      <c r="H19" s="415"/>
      <c r="I19" s="244"/>
      <c r="J19" s="244"/>
      <c r="K19" s="244"/>
      <c r="L19" s="244"/>
      <c r="M19" s="244"/>
      <c r="N19" s="244"/>
      <c r="O19" s="244"/>
      <c r="P19" s="244"/>
      <c r="Q19" s="244"/>
      <c r="R19" s="244"/>
      <c r="S19" s="244"/>
      <c r="T19" s="244"/>
      <c r="U19" s="244"/>
      <c r="V19" s="244"/>
      <c r="W19" s="244"/>
      <c r="X19" s="244"/>
      <c r="Y19" s="244"/>
      <c r="Z19" s="244"/>
    </row>
    <row r="20" ht="15.75" customHeight="1">
      <c r="A20" s="407"/>
      <c r="B20" s="430"/>
      <c r="C20" s="421"/>
      <c r="D20" s="430"/>
      <c r="E20" s="430"/>
      <c r="F20" s="421"/>
      <c r="G20" s="407"/>
      <c r="H20" s="415"/>
      <c r="I20" s="244"/>
      <c r="J20" s="244"/>
      <c r="K20" s="244"/>
      <c r="L20" s="244"/>
      <c r="M20" s="244"/>
      <c r="N20" s="244"/>
      <c r="O20" s="244"/>
      <c r="P20" s="244"/>
      <c r="Q20" s="244"/>
      <c r="R20" s="244"/>
      <c r="S20" s="244"/>
      <c r="T20" s="244"/>
      <c r="U20" s="244"/>
      <c r="V20" s="244"/>
      <c r="W20" s="244"/>
      <c r="X20" s="244"/>
      <c r="Y20" s="244"/>
      <c r="Z20" s="244"/>
    </row>
    <row r="21" ht="15.75" customHeight="1">
      <c r="A21" s="407"/>
      <c r="B21" s="430"/>
      <c r="C21" s="421"/>
      <c r="D21" s="430"/>
      <c r="E21" s="430"/>
      <c r="F21" s="421"/>
      <c r="G21" s="407"/>
      <c r="H21" s="415"/>
      <c r="I21" s="244"/>
      <c r="J21" s="244"/>
      <c r="K21" s="244"/>
      <c r="L21" s="244"/>
      <c r="M21" s="244"/>
      <c r="N21" s="244"/>
      <c r="O21" s="244"/>
      <c r="P21" s="244"/>
      <c r="Q21" s="244"/>
      <c r="R21" s="244"/>
      <c r="S21" s="244"/>
      <c r="T21" s="244"/>
      <c r="U21" s="244"/>
      <c r="V21" s="244"/>
      <c r="W21" s="244"/>
      <c r="X21" s="244"/>
      <c r="Y21" s="244"/>
      <c r="Z21" s="244"/>
    </row>
    <row r="22" ht="15.75" customHeight="1">
      <c r="A22" s="416"/>
      <c r="B22" s="430"/>
      <c r="C22" s="421"/>
      <c r="D22" s="430"/>
      <c r="E22" s="430"/>
      <c r="F22" s="421"/>
      <c r="G22" s="407"/>
      <c r="H22" s="415"/>
      <c r="I22" s="244"/>
      <c r="J22" s="244"/>
      <c r="K22" s="244"/>
      <c r="L22" s="244"/>
      <c r="M22" s="244"/>
      <c r="N22" s="244"/>
      <c r="O22" s="244"/>
      <c r="P22" s="244"/>
      <c r="Q22" s="244"/>
      <c r="R22" s="244"/>
      <c r="S22" s="244"/>
      <c r="T22" s="244"/>
      <c r="U22" s="244"/>
      <c r="V22" s="244"/>
      <c r="W22" s="244"/>
      <c r="X22" s="244"/>
      <c r="Y22" s="244"/>
      <c r="Z22" s="244"/>
    </row>
    <row r="23" ht="15.75" customHeight="1">
      <c r="A23" s="416"/>
      <c r="B23" s="430"/>
      <c r="C23" s="421"/>
      <c r="D23" s="430"/>
      <c r="E23" s="430"/>
      <c r="F23" s="421"/>
      <c r="G23" s="407"/>
      <c r="H23" s="415"/>
      <c r="I23" s="244"/>
      <c r="J23" s="244"/>
      <c r="K23" s="244"/>
      <c r="L23" s="244"/>
      <c r="M23" s="244"/>
      <c r="N23" s="244"/>
      <c r="O23" s="244"/>
      <c r="P23" s="244"/>
      <c r="Q23" s="244"/>
      <c r="R23" s="244"/>
      <c r="S23" s="244"/>
      <c r="T23" s="244"/>
      <c r="U23" s="244"/>
      <c r="V23" s="244"/>
      <c r="W23" s="244"/>
      <c r="X23" s="244"/>
      <c r="Y23" s="244"/>
      <c r="Z23" s="244"/>
    </row>
    <row r="24" ht="15.75" customHeight="1">
      <c r="A24" s="407"/>
      <c r="B24" s="430"/>
      <c r="C24" s="421"/>
      <c r="D24" s="430"/>
      <c r="E24" s="430"/>
      <c r="F24" s="421"/>
      <c r="G24" s="407"/>
      <c r="H24" s="415"/>
      <c r="I24" s="244"/>
      <c r="J24" s="244"/>
      <c r="K24" s="244"/>
      <c r="L24" s="244"/>
      <c r="M24" s="244"/>
      <c r="N24" s="244"/>
      <c r="O24" s="244"/>
      <c r="P24" s="244"/>
      <c r="Q24" s="244"/>
      <c r="R24" s="244"/>
      <c r="S24" s="244"/>
      <c r="T24" s="244"/>
      <c r="U24" s="244"/>
      <c r="V24" s="244"/>
      <c r="W24" s="244"/>
      <c r="X24" s="244"/>
      <c r="Y24" s="244"/>
      <c r="Z24" s="244"/>
    </row>
    <row r="25" ht="15.75" customHeight="1">
      <c r="A25" s="407"/>
      <c r="B25" s="430"/>
      <c r="C25" s="421"/>
      <c r="D25" s="430"/>
      <c r="E25" s="430"/>
      <c r="F25" s="421"/>
      <c r="G25" s="407"/>
      <c r="H25" s="415"/>
      <c r="I25" s="244"/>
      <c r="J25" s="244"/>
      <c r="K25" s="244"/>
      <c r="L25" s="244"/>
      <c r="M25" s="244"/>
      <c r="N25" s="244"/>
      <c r="O25" s="244"/>
      <c r="P25" s="244"/>
      <c r="Q25" s="244"/>
      <c r="R25" s="244"/>
      <c r="S25" s="244"/>
      <c r="T25" s="244"/>
      <c r="U25" s="244"/>
      <c r="V25" s="244"/>
      <c r="W25" s="244"/>
      <c r="X25" s="244"/>
      <c r="Y25" s="244"/>
      <c r="Z25" s="244"/>
    </row>
    <row r="26" ht="15.75" customHeight="1">
      <c r="A26" s="407"/>
      <c r="B26" s="430"/>
      <c r="C26" s="421"/>
      <c r="D26" s="430"/>
      <c r="E26" s="430"/>
      <c r="F26" s="421"/>
      <c r="G26" s="407"/>
      <c r="H26" s="415"/>
      <c r="I26" s="244"/>
      <c r="J26" s="244"/>
      <c r="K26" s="244"/>
      <c r="L26" s="244"/>
      <c r="M26" s="244"/>
      <c r="N26" s="244"/>
      <c r="O26" s="244"/>
      <c r="P26" s="244"/>
      <c r="Q26" s="244"/>
      <c r="R26" s="244"/>
      <c r="S26" s="244"/>
      <c r="T26" s="244"/>
      <c r="U26" s="244"/>
      <c r="V26" s="244"/>
      <c r="W26" s="244"/>
      <c r="X26" s="244"/>
      <c r="Y26" s="244"/>
      <c r="Z26" s="244"/>
    </row>
    <row r="27" ht="15.75" customHeight="1">
      <c r="A27" s="407"/>
      <c r="B27" s="430"/>
      <c r="C27" s="421"/>
      <c r="D27" s="430"/>
      <c r="E27" s="430"/>
      <c r="F27" s="421"/>
      <c r="G27" s="407"/>
      <c r="H27" s="415"/>
      <c r="I27" s="244"/>
      <c r="J27" s="244"/>
      <c r="K27" s="244"/>
      <c r="L27" s="244"/>
      <c r="M27" s="244"/>
      <c r="N27" s="244"/>
      <c r="O27" s="244"/>
      <c r="P27" s="244"/>
      <c r="Q27" s="244"/>
      <c r="R27" s="244"/>
      <c r="S27" s="244"/>
      <c r="T27" s="244"/>
      <c r="U27" s="244"/>
      <c r="V27" s="244"/>
      <c r="W27" s="244"/>
      <c r="X27" s="244"/>
      <c r="Y27" s="244"/>
      <c r="Z27" s="244"/>
    </row>
    <row r="28" ht="15.75" customHeight="1">
      <c r="A28" s="407"/>
      <c r="B28" s="430"/>
      <c r="C28" s="421"/>
      <c r="D28" s="430"/>
      <c r="E28" s="430"/>
      <c r="F28" s="421"/>
      <c r="G28" s="407"/>
      <c r="H28" s="415"/>
      <c r="I28" s="244"/>
      <c r="J28" s="244"/>
      <c r="K28" s="244"/>
      <c r="L28" s="244"/>
      <c r="M28" s="244"/>
      <c r="N28" s="244"/>
      <c r="O28" s="244"/>
      <c r="P28" s="244"/>
      <c r="Q28" s="244"/>
      <c r="R28" s="244"/>
      <c r="S28" s="244"/>
      <c r="T28" s="244"/>
      <c r="U28" s="244"/>
      <c r="V28" s="244"/>
      <c r="W28" s="244"/>
      <c r="X28" s="244"/>
      <c r="Y28" s="244"/>
      <c r="Z28" s="244"/>
    </row>
    <row r="29" ht="15.75" customHeight="1">
      <c r="A29" s="407"/>
      <c r="B29" s="430"/>
      <c r="C29" s="421"/>
      <c r="D29" s="430"/>
      <c r="E29" s="430"/>
      <c r="F29" s="421"/>
      <c r="G29" s="407"/>
      <c r="H29" s="415"/>
      <c r="I29" s="244"/>
      <c r="J29" s="244"/>
      <c r="K29" s="244"/>
      <c r="L29" s="244"/>
      <c r="M29" s="244"/>
      <c r="N29" s="244"/>
      <c r="O29" s="244"/>
      <c r="P29" s="244"/>
      <c r="Q29" s="244"/>
      <c r="R29" s="244"/>
      <c r="S29" s="244"/>
      <c r="T29" s="244"/>
      <c r="U29" s="244"/>
      <c r="V29" s="244"/>
      <c r="W29" s="244"/>
      <c r="X29" s="244"/>
      <c r="Y29" s="244"/>
      <c r="Z29" s="244"/>
    </row>
    <row r="30" ht="15.75" customHeight="1">
      <c r="A30" s="407"/>
      <c r="B30" s="430"/>
      <c r="C30" s="421"/>
      <c r="D30" s="430"/>
      <c r="E30" s="430"/>
      <c r="F30" s="421"/>
      <c r="G30" s="407"/>
      <c r="H30" s="415"/>
      <c r="I30" s="244"/>
      <c r="J30" s="244"/>
      <c r="K30" s="244"/>
      <c r="L30" s="244"/>
      <c r="M30" s="244"/>
      <c r="N30" s="244"/>
      <c r="O30" s="244"/>
      <c r="P30" s="244"/>
      <c r="Q30" s="244"/>
      <c r="R30" s="244"/>
      <c r="S30" s="244"/>
      <c r="T30" s="244"/>
      <c r="U30" s="244"/>
      <c r="V30" s="244"/>
      <c r="W30" s="244"/>
      <c r="X30" s="244"/>
      <c r="Y30" s="244"/>
      <c r="Z30" s="244"/>
    </row>
    <row r="31" ht="15.75" customHeight="1">
      <c r="A31" s="407"/>
      <c r="B31" s="430"/>
      <c r="C31" s="421"/>
      <c r="D31" s="430"/>
      <c r="E31" s="430"/>
      <c r="F31" s="421"/>
      <c r="G31" s="407"/>
      <c r="H31" s="415"/>
      <c r="I31" s="244"/>
      <c r="J31" s="244"/>
      <c r="K31" s="244"/>
      <c r="L31" s="244"/>
      <c r="M31" s="244"/>
      <c r="N31" s="244"/>
      <c r="O31" s="244"/>
      <c r="P31" s="244"/>
      <c r="Q31" s="244"/>
      <c r="R31" s="244"/>
      <c r="S31" s="244"/>
      <c r="T31" s="244"/>
      <c r="U31" s="244"/>
      <c r="V31" s="244"/>
      <c r="W31" s="244"/>
      <c r="X31" s="244"/>
      <c r="Y31" s="244"/>
      <c r="Z31" s="244"/>
    </row>
    <row r="32" ht="15.75" customHeight="1">
      <c r="A32" s="407"/>
      <c r="B32" s="430"/>
      <c r="C32" s="421"/>
      <c r="D32" s="430"/>
      <c r="E32" s="430"/>
      <c r="F32" s="421"/>
      <c r="G32" s="407"/>
      <c r="H32" s="415"/>
      <c r="I32" s="244"/>
      <c r="J32" s="244"/>
      <c r="K32" s="244"/>
      <c r="L32" s="244"/>
      <c r="M32" s="244"/>
      <c r="N32" s="244"/>
      <c r="O32" s="244"/>
      <c r="P32" s="244"/>
      <c r="Q32" s="244"/>
      <c r="R32" s="244"/>
      <c r="S32" s="244"/>
      <c r="T32" s="244"/>
      <c r="U32" s="244"/>
      <c r="V32" s="244"/>
      <c r="W32" s="244"/>
      <c r="X32" s="244"/>
      <c r="Y32" s="244"/>
      <c r="Z32" s="244"/>
    </row>
    <row r="33" ht="15.75" customHeight="1">
      <c r="A33" s="407"/>
      <c r="B33" s="430"/>
      <c r="C33" s="421"/>
      <c r="D33" s="430"/>
      <c r="E33" s="430"/>
      <c r="F33" s="421"/>
      <c r="G33" s="407"/>
      <c r="H33" s="415"/>
      <c r="I33" s="244"/>
      <c r="J33" s="244"/>
      <c r="K33" s="244"/>
      <c r="L33" s="244"/>
      <c r="M33" s="244"/>
      <c r="N33" s="244"/>
      <c r="O33" s="244"/>
      <c r="P33" s="244"/>
      <c r="Q33" s="244"/>
      <c r="R33" s="244"/>
      <c r="S33" s="244"/>
      <c r="T33" s="244"/>
      <c r="U33" s="244"/>
      <c r="V33" s="244"/>
      <c r="W33" s="244"/>
      <c r="X33" s="244"/>
      <c r="Y33" s="244"/>
      <c r="Z33" s="244"/>
    </row>
    <row r="34" ht="15.75" customHeight="1">
      <c r="A34" s="407"/>
      <c r="B34" s="430"/>
      <c r="C34" s="421"/>
      <c r="D34" s="430"/>
      <c r="E34" s="430"/>
      <c r="F34" s="421"/>
      <c r="G34" s="407"/>
      <c r="H34" s="415"/>
      <c r="I34" s="244"/>
      <c r="J34" s="244"/>
      <c r="K34" s="244"/>
      <c r="L34" s="244"/>
      <c r="M34" s="244"/>
      <c r="N34" s="244"/>
      <c r="O34" s="244"/>
      <c r="P34" s="244"/>
      <c r="Q34" s="244"/>
      <c r="R34" s="244"/>
      <c r="S34" s="244"/>
      <c r="T34" s="244"/>
      <c r="U34" s="244"/>
      <c r="V34" s="244"/>
      <c r="W34" s="244"/>
      <c r="X34" s="244"/>
      <c r="Y34" s="244"/>
      <c r="Z34" s="244"/>
    </row>
    <row r="35" ht="15.75" customHeight="1">
      <c r="A35" s="407"/>
      <c r="B35" s="430"/>
      <c r="C35" s="421"/>
      <c r="D35" s="430"/>
      <c r="E35" s="430"/>
      <c r="F35" s="421"/>
      <c r="G35" s="407"/>
      <c r="H35" s="415"/>
      <c r="I35" s="244"/>
      <c r="J35" s="244"/>
      <c r="K35" s="244"/>
      <c r="L35" s="244"/>
      <c r="M35" s="244"/>
      <c r="N35" s="244"/>
      <c r="O35" s="244"/>
      <c r="P35" s="244"/>
      <c r="Q35" s="244"/>
      <c r="R35" s="244"/>
      <c r="S35" s="244"/>
      <c r="T35" s="244"/>
      <c r="U35" s="244"/>
      <c r="V35" s="244"/>
      <c r="W35" s="244"/>
      <c r="X35" s="244"/>
      <c r="Y35" s="244"/>
      <c r="Z35" s="244"/>
    </row>
    <row r="36" ht="15.75" customHeight="1">
      <c r="A36" s="407"/>
      <c r="B36" s="430"/>
      <c r="C36" s="421"/>
      <c r="D36" s="430"/>
      <c r="E36" s="430"/>
      <c r="F36" s="421"/>
      <c r="G36" s="407"/>
      <c r="H36" s="415"/>
      <c r="I36" s="244"/>
      <c r="J36" s="244"/>
      <c r="K36" s="244"/>
      <c r="L36" s="244"/>
      <c r="M36" s="244"/>
      <c r="N36" s="244"/>
      <c r="O36" s="244"/>
      <c r="P36" s="244"/>
      <c r="Q36" s="244"/>
      <c r="R36" s="244"/>
      <c r="S36" s="244"/>
      <c r="T36" s="244"/>
      <c r="U36" s="244"/>
      <c r="V36" s="244"/>
      <c r="W36" s="244"/>
      <c r="X36" s="244"/>
      <c r="Y36" s="244"/>
      <c r="Z36" s="244"/>
    </row>
    <row r="37" ht="15.75" customHeight="1">
      <c r="A37" s="407"/>
      <c r="B37" s="430"/>
      <c r="C37" s="421"/>
      <c r="D37" s="430"/>
      <c r="E37" s="430"/>
      <c r="F37" s="421"/>
      <c r="G37" s="407"/>
      <c r="H37" s="415"/>
      <c r="I37" s="244"/>
      <c r="J37" s="244"/>
      <c r="K37" s="244"/>
      <c r="L37" s="244"/>
      <c r="M37" s="244"/>
      <c r="N37" s="244"/>
      <c r="O37" s="244"/>
      <c r="P37" s="244"/>
      <c r="Q37" s="244"/>
      <c r="R37" s="244"/>
      <c r="S37" s="244"/>
      <c r="T37" s="244"/>
      <c r="U37" s="244"/>
      <c r="V37" s="244"/>
      <c r="W37" s="244"/>
      <c r="X37" s="244"/>
      <c r="Y37" s="244"/>
      <c r="Z37" s="244"/>
    </row>
    <row r="38" ht="15.75" customHeight="1">
      <c r="A38" s="407"/>
      <c r="B38" s="430"/>
      <c r="C38" s="421"/>
      <c r="D38" s="430"/>
      <c r="E38" s="430"/>
      <c r="F38" s="421"/>
      <c r="G38" s="407"/>
      <c r="H38" s="415"/>
      <c r="I38" s="244"/>
      <c r="J38" s="244"/>
      <c r="K38" s="244"/>
      <c r="L38" s="244"/>
      <c r="M38" s="244"/>
      <c r="N38" s="244"/>
      <c r="O38" s="244"/>
      <c r="P38" s="244"/>
      <c r="Q38" s="244"/>
      <c r="R38" s="244"/>
      <c r="S38" s="244"/>
      <c r="T38" s="244"/>
      <c r="U38" s="244"/>
      <c r="V38" s="244"/>
      <c r="W38" s="244"/>
      <c r="X38" s="244"/>
      <c r="Y38" s="244"/>
      <c r="Z38" s="244"/>
    </row>
    <row r="39" ht="15.75" customHeight="1">
      <c r="A39" s="407"/>
      <c r="B39" s="430"/>
      <c r="C39" s="421"/>
      <c r="D39" s="430"/>
      <c r="E39" s="430"/>
      <c r="F39" s="421"/>
      <c r="G39" s="407"/>
      <c r="H39" s="415"/>
      <c r="I39" s="244"/>
      <c r="J39" s="244"/>
      <c r="K39" s="244"/>
      <c r="L39" s="244"/>
      <c r="M39" s="244"/>
      <c r="N39" s="244"/>
      <c r="O39" s="244"/>
      <c r="P39" s="244"/>
      <c r="Q39" s="244"/>
      <c r="R39" s="244"/>
      <c r="S39" s="244"/>
      <c r="T39" s="244"/>
      <c r="U39" s="244"/>
      <c r="V39" s="244"/>
      <c r="W39" s="244"/>
      <c r="X39" s="244"/>
      <c r="Y39" s="244"/>
      <c r="Z39" s="244"/>
    </row>
    <row r="40" ht="15.75" customHeight="1">
      <c r="A40" s="407"/>
      <c r="B40" s="430"/>
      <c r="C40" s="421"/>
      <c r="D40" s="430"/>
      <c r="E40" s="430"/>
      <c r="F40" s="421"/>
      <c r="G40" s="407"/>
      <c r="H40" s="415"/>
      <c r="I40" s="244"/>
      <c r="J40" s="244"/>
      <c r="K40" s="244"/>
      <c r="L40" s="244"/>
      <c r="M40" s="244"/>
      <c r="N40" s="244"/>
      <c r="O40" s="244"/>
      <c r="P40" s="244"/>
      <c r="Q40" s="244"/>
      <c r="R40" s="244"/>
      <c r="S40" s="244"/>
      <c r="T40" s="244"/>
      <c r="U40" s="244"/>
      <c r="V40" s="244"/>
      <c r="W40" s="244"/>
      <c r="X40" s="244"/>
      <c r="Y40" s="244"/>
      <c r="Z40" s="244"/>
    </row>
    <row r="41" s="479" customFormat="1" ht="15.75" customHeight="1">
      <c r="A41" s="476"/>
      <c r="B41" s="430"/>
      <c r="C41" s="430"/>
      <c r="D41" s="430"/>
      <c r="E41" s="430"/>
      <c r="F41" s="431"/>
      <c r="G41" s="476"/>
      <c r="H41" s="477"/>
      <c r="I41" s="478"/>
      <c r="J41" s="478"/>
      <c r="K41" s="478"/>
      <c r="L41" s="478"/>
      <c r="M41" s="478"/>
      <c r="N41" s="478"/>
      <c r="O41" s="478"/>
      <c r="P41" s="478"/>
      <c r="Q41" s="478"/>
      <c r="R41" s="478"/>
      <c r="S41" s="478"/>
      <c r="T41" s="478"/>
      <c r="U41" s="478"/>
      <c r="V41" s="478"/>
      <c r="W41" s="478"/>
      <c r="X41" s="478"/>
      <c r="Y41" s="478"/>
      <c r="Z41" s="478"/>
    </row>
    <row r="42" s="100" customFormat="1" ht="10.5" customHeight="1">
      <c r="A42" s="480"/>
      <c r="B42" s="412" t="s">
        <v>106</v>
      </c>
      <c r="C42" s="424"/>
      <c r="D42" s="481"/>
      <c r="E42" s="412" t="s">
        <v>107</v>
      </c>
      <c r="F42" s="482"/>
      <c r="G42" s="480"/>
      <c r="H42" s="480"/>
      <c r="I42" s="483"/>
      <c r="J42" s="483"/>
      <c r="K42" s="483"/>
      <c r="L42" s="483"/>
      <c r="M42" s="483"/>
      <c r="N42" s="483"/>
      <c r="O42" s="483"/>
      <c r="P42" s="483"/>
      <c r="Q42" s="483"/>
      <c r="R42" s="483"/>
      <c r="S42" s="483"/>
      <c r="T42" s="483"/>
      <c r="U42" s="483"/>
      <c r="V42" s="483"/>
      <c r="W42" s="483"/>
      <c r="X42" s="483"/>
      <c r="Y42" s="483"/>
      <c r="Z42" s="483"/>
    </row>
    <row r="43" s="100" customFormat="1" ht="10.5" customHeight="1">
      <c r="A43" s="480"/>
      <c r="B43" s="412" t="s">
        <v>112</v>
      </c>
      <c r="C43" s="424"/>
      <c r="D43" s="481"/>
      <c r="E43" s="412" t="s">
        <v>108</v>
      </c>
      <c r="F43" s="482"/>
      <c r="G43" s="480"/>
      <c r="H43" s="480"/>
      <c r="I43" s="483"/>
      <c r="J43" s="483"/>
      <c r="K43" s="483"/>
      <c r="L43" s="483"/>
      <c r="M43" s="483"/>
      <c r="N43" s="483"/>
      <c r="O43" s="483"/>
      <c r="P43" s="483"/>
      <c r="Q43" s="483"/>
      <c r="R43" s="483"/>
      <c r="S43" s="483"/>
      <c r="T43" s="483"/>
      <c r="U43" s="483"/>
      <c r="V43" s="483"/>
      <c r="W43" s="483"/>
      <c r="X43" s="483"/>
      <c r="Y43" s="483"/>
      <c r="Z43" s="483"/>
    </row>
    <row r="44" s="100" customFormat="1" ht="10.5" customHeight="1">
      <c r="A44" s="480"/>
      <c r="B44" s="412" t="s">
        <v>100</v>
      </c>
      <c r="C44" s="424"/>
      <c r="D44" s="481"/>
      <c r="E44" s="412" t="s">
        <v>113</v>
      </c>
      <c r="F44" s="482"/>
      <c r="G44" s="480"/>
      <c r="H44" s="480"/>
      <c r="I44" s="483"/>
      <c r="J44" s="483"/>
      <c r="K44" s="483"/>
      <c r="L44" s="483"/>
      <c r="M44" s="483"/>
      <c r="N44" s="483"/>
      <c r="O44" s="483"/>
      <c r="P44" s="483"/>
      <c r="Q44" s="483"/>
      <c r="R44" s="483"/>
      <c r="S44" s="483"/>
      <c r="T44" s="483"/>
      <c r="U44" s="483"/>
      <c r="V44" s="483"/>
      <c r="W44" s="483"/>
      <c r="X44" s="483"/>
      <c r="Y44" s="483"/>
      <c r="Z44" s="483"/>
    </row>
    <row r="45" s="100" customFormat="1" ht="15.75" customHeight="1">
      <c r="A45" s="480"/>
      <c r="B45" s="412"/>
      <c r="C45" s="424"/>
      <c r="D45" s="481"/>
      <c r="E45" s="412"/>
      <c r="F45" s="482"/>
      <c r="G45" s="480"/>
      <c r="H45" s="480"/>
      <c r="I45" s="483"/>
      <c r="J45" s="483"/>
      <c r="K45" s="483"/>
      <c r="L45" s="483"/>
      <c r="M45" s="483"/>
      <c r="N45" s="483"/>
      <c r="O45" s="483"/>
      <c r="P45" s="483"/>
      <c r="Q45" s="483"/>
      <c r="R45" s="483"/>
      <c r="S45" s="483"/>
      <c r="T45" s="483"/>
      <c r="U45" s="483"/>
      <c r="V45" s="483"/>
      <c r="W45" s="483"/>
      <c r="X45" s="483"/>
      <c r="Y45" s="483"/>
      <c r="Z45" s="483"/>
    </row>
    <row r="46" s="96" customFormat="1" ht="23.1" customHeight="1">
      <c r="A46" s="484"/>
      <c r="B46" s="601" t="s">
        <v>114</v>
      </c>
      <c r="C46" s="601"/>
      <c r="D46" s="601"/>
      <c r="E46" s="601"/>
      <c r="F46" s="601"/>
      <c r="G46" s="487"/>
      <c r="H46" s="487"/>
      <c r="I46" s="486"/>
      <c r="J46" s="486"/>
      <c r="K46" s="486"/>
      <c r="L46" s="486"/>
      <c r="M46" s="486"/>
      <c r="N46" s="486"/>
      <c r="O46" s="486"/>
      <c r="P46" s="486"/>
      <c r="Q46" s="486"/>
      <c r="R46" s="486"/>
      <c r="S46" s="486"/>
      <c r="T46" s="486"/>
      <c r="U46" s="486"/>
      <c r="V46" s="486"/>
      <c r="W46" s="486"/>
      <c r="X46" s="486"/>
      <c r="Y46" s="486"/>
      <c r="Z46" s="486"/>
    </row>
    <row r="47" s="96" customFormat="1" ht="23.1" customHeight="1">
      <c r="A47" s="484"/>
      <c r="B47" s="601"/>
      <c r="C47" s="601"/>
      <c r="D47" s="601"/>
      <c r="E47" s="601"/>
      <c r="F47" s="601"/>
      <c r="G47" s="487"/>
      <c r="H47" s="487"/>
      <c r="I47" s="486"/>
      <c r="J47" s="486"/>
      <c r="K47" s="486"/>
      <c r="L47" s="486"/>
      <c r="M47" s="486"/>
      <c r="N47" s="486"/>
      <c r="O47" s="486"/>
      <c r="P47" s="486"/>
      <c r="Q47" s="486"/>
      <c r="R47" s="486"/>
      <c r="S47" s="486"/>
      <c r="T47" s="486"/>
      <c r="U47" s="486"/>
      <c r="V47" s="486"/>
      <c r="W47" s="486"/>
      <c r="X47" s="486"/>
      <c r="Y47" s="486"/>
      <c r="Z47" s="486"/>
    </row>
    <row r="48" s="96" customFormat="1" ht="15.75" customHeight="1">
      <c r="A48" s="484"/>
      <c r="B48" s="488"/>
      <c r="C48" s="488"/>
      <c r="D48" s="488"/>
      <c r="E48" s="488"/>
      <c r="F48" s="485"/>
      <c r="G48" s="484"/>
      <c r="H48" s="484"/>
      <c r="I48" s="486"/>
      <c r="J48" s="486"/>
      <c r="K48" s="486"/>
      <c r="L48" s="486"/>
      <c r="M48" s="486"/>
      <c r="N48" s="486"/>
      <c r="O48" s="486"/>
      <c r="P48" s="486"/>
      <c r="Q48" s="486"/>
      <c r="R48" s="486"/>
      <c r="S48" s="486"/>
      <c r="T48" s="486"/>
      <c r="U48" s="486"/>
      <c r="V48" s="486"/>
      <c r="W48" s="486"/>
      <c r="X48" s="486"/>
      <c r="Y48" s="486"/>
      <c r="Z48" s="486"/>
    </row>
    <row r="49" ht="15.75" customHeight="1">
      <c r="A49" s="244"/>
      <c r="B49" s="244"/>
      <c r="C49" s="425"/>
      <c r="D49" s="244"/>
      <c r="E49" s="244"/>
      <c r="F49" s="425"/>
      <c r="G49" s="244"/>
      <c r="H49" s="244"/>
      <c r="I49" s="244"/>
      <c r="J49" s="244"/>
      <c r="K49" s="244"/>
      <c r="L49" s="244"/>
      <c r="M49" s="244"/>
      <c r="N49" s="244"/>
      <c r="O49" s="244"/>
      <c r="P49" s="244"/>
      <c r="Q49" s="244"/>
      <c r="R49" s="244"/>
      <c r="S49" s="244"/>
      <c r="T49" s="244"/>
      <c r="U49" s="244"/>
      <c r="V49" s="244"/>
      <c r="W49" s="244"/>
      <c r="X49" s="244"/>
      <c r="Y49" s="244"/>
      <c r="Z49" s="244"/>
    </row>
    <row r="50" ht="15.75" customHeight="1">
      <c r="A50" s="244"/>
      <c r="B50" s="244"/>
      <c r="C50" s="425"/>
      <c r="D50" s="244"/>
      <c r="E50" s="244"/>
      <c r="F50" s="425"/>
      <c r="G50" s="244"/>
      <c r="H50" s="244"/>
      <c r="I50" s="244"/>
      <c r="J50" s="244"/>
      <c r="K50" s="244"/>
      <c r="L50" s="244"/>
      <c r="M50" s="244"/>
      <c r="N50" s="244"/>
      <c r="O50" s="244"/>
      <c r="P50" s="244"/>
      <c r="Q50" s="244"/>
      <c r="R50" s="244"/>
      <c r="S50" s="244"/>
      <c r="T50" s="244"/>
      <c r="U50" s="244"/>
      <c r="V50" s="244"/>
      <c r="W50" s="244"/>
      <c r="X50" s="244"/>
      <c r="Y50" s="244"/>
      <c r="Z50" s="244"/>
    </row>
    <row r="51" ht="15.75" customHeight="1">
      <c r="A51" s="244"/>
      <c r="B51" s="244"/>
      <c r="C51" s="425"/>
      <c r="D51" s="244"/>
      <c r="E51" s="244"/>
      <c r="F51" s="425"/>
      <c r="G51" s="244"/>
      <c r="H51" s="244"/>
      <c r="I51" s="244"/>
      <c r="J51" s="244"/>
      <c r="K51" s="244"/>
      <c r="L51" s="244"/>
      <c r="M51" s="244"/>
      <c r="N51" s="244"/>
      <c r="O51" s="244"/>
      <c r="P51" s="244"/>
      <c r="Q51" s="244"/>
      <c r="R51" s="244"/>
      <c r="S51" s="244"/>
      <c r="T51" s="244"/>
      <c r="U51" s="244"/>
      <c r="V51" s="244"/>
      <c r="W51" s="244"/>
      <c r="X51" s="244"/>
      <c r="Y51" s="244"/>
      <c r="Z51" s="244"/>
    </row>
    <row r="52" ht="15.75" customHeight="1">
      <c r="A52" s="244"/>
      <c r="B52" s="244"/>
      <c r="C52" s="425"/>
      <c r="D52" s="244"/>
      <c r="E52" s="244"/>
      <c r="F52" s="425"/>
      <c r="G52" s="244"/>
      <c r="H52" s="244"/>
      <c r="I52" s="244"/>
      <c r="J52" s="244"/>
      <c r="K52" s="244"/>
      <c r="L52" s="244"/>
      <c r="M52" s="244"/>
      <c r="N52" s="244"/>
      <c r="O52" s="244"/>
      <c r="P52" s="244"/>
      <c r="Q52" s="244"/>
      <c r="R52" s="244"/>
      <c r="S52" s="244"/>
      <c r="T52" s="244"/>
      <c r="U52" s="244"/>
      <c r="V52" s="244"/>
      <c r="W52" s="244"/>
      <c r="X52" s="244"/>
      <c r="Y52" s="244"/>
      <c r="Z52" s="244"/>
    </row>
    <row r="53" ht="15.75" customHeight="1">
      <c r="A53" s="244"/>
      <c r="B53" s="244"/>
      <c r="C53" s="425"/>
      <c r="D53" s="244"/>
      <c r="E53" s="244"/>
      <c r="F53" s="425"/>
      <c r="G53" s="244"/>
      <c r="H53" s="244"/>
      <c r="I53" s="244"/>
      <c r="J53" s="244"/>
      <c r="K53" s="244"/>
      <c r="L53" s="244"/>
      <c r="M53" s="244"/>
      <c r="N53" s="244"/>
      <c r="O53" s="244"/>
      <c r="P53" s="244"/>
      <c r="Q53" s="244"/>
      <c r="R53" s="244"/>
      <c r="S53" s="244"/>
      <c r="T53" s="244"/>
      <c r="U53" s="244"/>
      <c r="V53" s="244"/>
      <c r="W53" s="244"/>
      <c r="X53" s="244"/>
      <c r="Y53" s="244"/>
      <c r="Z53" s="244"/>
    </row>
    <row r="54" ht="15.75" customHeight="1">
      <c r="A54" s="244"/>
      <c r="B54" s="244"/>
      <c r="C54" s="425"/>
      <c r="D54" s="244"/>
      <c r="E54" s="244"/>
      <c r="F54" s="425"/>
      <c r="G54" s="244"/>
      <c r="H54" s="244"/>
      <c r="I54" s="244"/>
      <c r="J54" s="244"/>
      <c r="K54" s="244"/>
      <c r="L54" s="244"/>
      <c r="M54" s="244"/>
      <c r="N54" s="244"/>
      <c r="O54" s="244"/>
      <c r="P54" s="244"/>
      <c r="Q54" s="244"/>
      <c r="R54" s="244"/>
      <c r="S54" s="244"/>
      <c r="T54" s="244"/>
      <c r="U54" s="244"/>
      <c r="V54" s="244"/>
      <c r="W54" s="244"/>
      <c r="X54" s="244"/>
      <c r="Y54" s="244"/>
      <c r="Z54" s="244"/>
    </row>
    <row r="55" ht="15.75" customHeight="1">
      <c r="A55" s="244"/>
      <c r="B55" s="244"/>
      <c r="C55" s="425"/>
      <c r="D55" s="244"/>
      <c r="E55" s="244"/>
      <c r="F55" s="425"/>
      <c r="G55" s="244"/>
      <c r="H55" s="244"/>
      <c r="I55" s="244"/>
      <c r="J55" s="244"/>
      <c r="K55" s="244"/>
      <c r="L55" s="244"/>
      <c r="M55" s="244"/>
      <c r="N55" s="244"/>
      <c r="O55" s="244"/>
      <c r="P55" s="244"/>
      <c r="Q55" s="244"/>
      <c r="R55" s="244"/>
      <c r="S55" s="244"/>
      <c r="T55" s="244"/>
      <c r="U55" s="244"/>
      <c r="V55" s="244"/>
      <c r="W55" s="244"/>
      <c r="X55" s="244"/>
      <c r="Y55" s="244"/>
      <c r="Z55" s="244"/>
    </row>
    <row r="56" ht="15.75" customHeight="1">
      <c r="A56" s="244"/>
      <c r="B56" s="244"/>
      <c r="C56" s="425"/>
      <c r="D56" s="244"/>
      <c r="E56" s="244"/>
      <c r="F56" s="425"/>
      <c r="G56" s="244"/>
      <c r="H56" s="244"/>
      <c r="I56" s="244"/>
      <c r="J56" s="244"/>
      <c r="K56" s="244"/>
      <c r="L56" s="244"/>
      <c r="M56" s="244"/>
      <c r="N56" s="244"/>
      <c r="O56" s="244"/>
      <c r="P56" s="244"/>
      <c r="Q56" s="244"/>
      <c r="R56" s="244"/>
      <c r="S56" s="244"/>
      <c r="T56" s="244"/>
      <c r="U56" s="244"/>
      <c r="V56" s="244"/>
      <c r="W56" s="244"/>
      <c r="X56" s="244"/>
      <c r="Y56" s="244"/>
      <c r="Z56" s="244"/>
    </row>
    <row r="57" ht="15.75" customHeight="1">
      <c r="A57" s="244"/>
      <c r="B57" s="244"/>
      <c r="C57" s="425"/>
      <c r="D57" s="244"/>
      <c r="E57" s="244"/>
      <c r="F57" s="425"/>
      <c r="G57" s="244"/>
      <c r="H57" s="244"/>
      <c r="I57" s="244"/>
      <c r="J57" s="244"/>
      <c r="K57" s="244"/>
      <c r="L57" s="244"/>
      <c r="M57" s="244"/>
      <c r="N57" s="244"/>
      <c r="O57" s="244"/>
      <c r="P57" s="244"/>
      <c r="Q57" s="244"/>
      <c r="R57" s="244"/>
      <c r="S57" s="244"/>
      <c r="T57" s="244"/>
      <c r="U57" s="244"/>
      <c r="V57" s="244"/>
      <c r="W57" s="244"/>
      <c r="X57" s="244"/>
      <c r="Y57" s="244"/>
      <c r="Z57" s="244"/>
    </row>
    <row r="58" ht="15.75" customHeight="1">
      <c r="A58" s="244"/>
      <c r="B58" s="244"/>
      <c r="C58" s="425"/>
      <c r="D58" s="244"/>
      <c r="E58" s="244"/>
      <c r="F58" s="425"/>
      <c r="G58" s="244"/>
      <c r="H58" s="244"/>
      <c r="I58" s="244"/>
      <c r="J58" s="244"/>
      <c r="K58" s="244"/>
      <c r="L58" s="244"/>
      <c r="M58" s="244"/>
      <c r="N58" s="244"/>
      <c r="O58" s="244"/>
      <c r="P58" s="244"/>
      <c r="Q58" s="244"/>
      <c r="R58" s="244"/>
      <c r="S58" s="244"/>
      <c r="T58" s="244"/>
      <c r="U58" s="244"/>
      <c r="V58" s="244"/>
      <c r="W58" s="244"/>
      <c r="X58" s="244"/>
      <c r="Y58" s="244"/>
      <c r="Z58" s="244"/>
    </row>
    <row r="59" ht="15.75" customHeight="1">
      <c r="A59" s="244"/>
      <c r="B59" s="244"/>
      <c r="C59" s="425"/>
      <c r="D59" s="244"/>
      <c r="E59" s="244"/>
      <c r="F59" s="425"/>
      <c r="G59" s="244"/>
      <c r="H59" s="244"/>
      <c r="I59" s="244"/>
      <c r="J59" s="244"/>
      <c r="K59" s="244"/>
      <c r="L59" s="244"/>
      <c r="M59" s="244"/>
      <c r="N59" s="244"/>
      <c r="O59" s="244"/>
      <c r="P59" s="244"/>
      <c r="Q59" s="244"/>
      <c r="R59" s="244"/>
      <c r="S59" s="244"/>
      <c r="T59" s="244"/>
      <c r="U59" s="244"/>
      <c r="V59" s="244"/>
      <c r="W59" s="244"/>
      <c r="X59" s="244"/>
      <c r="Y59" s="244"/>
      <c r="Z59" s="244"/>
    </row>
    <row r="60" ht="15.75" customHeight="1">
      <c r="A60" s="244"/>
      <c r="B60" s="244"/>
      <c r="C60" s="425"/>
      <c r="D60" s="244"/>
      <c r="E60" s="244"/>
      <c r="F60" s="425"/>
      <c r="G60" s="244"/>
      <c r="H60" s="244"/>
      <c r="I60" s="244"/>
      <c r="J60" s="244"/>
      <c r="K60" s="244"/>
      <c r="L60" s="244"/>
      <c r="M60" s="244"/>
      <c r="N60" s="244"/>
      <c r="O60" s="244"/>
      <c r="P60" s="244"/>
      <c r="Q60" s="244"/>
      <c r="R60" s="244"/>
      <c r="S60" s="244"/>
      <c r="T60" s="244"/>
      <c r="U60" s="244"/>
      <c r="V60" s="244"/>
      <c r="W60" s="244"/>
      <c r="X60" s="244"/>
      <c r="Y60" s="244"/>
      <c r="Z60" s="244"/>
    </row>
    <row r="61" ht="15.75" customHeight="1">
      <c r="A61" s="244"/>
      <c r="B61" s="244"/>
      <c r="C61" s="425"/>
      <c r="D61" s="244"/>
      <c r="E61" s="244"/>
      <c r="F61" s="425"/>
      <c r="G61" s="244"/>
      <c r="H61" s="244"/>
      <c r="I61" s="244"/>
      <c r="J61" s="244"/>
      <c r="K61" s="244"/>
      <c r="L61" s="244"/>
      <c r="M61" s="244"/>
      <c r="N61" s="244"/>
      <c r="O61" s="244"/>
      <c r="P61" s="244"/>
      <c r="Q61" s="244"/>
      <c r="R61" s="244"/>
      <c r="S61" s="244"/>
      <c r="T61" s="244"/>
      <c r="U61" s="244"/>
      <c r="V61" s="244"/>
      <c r="W61" s="244"/>
      <c r="X61" s="244"/>
      <c r="Y61" s="244"/>
      <c r="Z61" s="244"/>
    </row>
    <row r="62" ht="15.75" customHeight="1">
      <c r="A62" s="244"/>
      <c r="B62" s="244"/>
      <c r="C62" s="425"/>
      <c r="D62" s="244"/>
      <c r="E62" s="244"/>
      <c r="F62" s="425"/>
      <c r="G62" s="244"/>
      <c r="H62" s="244"/>
      <c r="I62" s="244"/>
      <c r="J62" s="244"/>
      <c r="K62" s="244"/>
      <c r="L62" s="244"/>
      <c r="M62" s="244"/>
      <c r="N62" s="244"/>
      <c r="O62" s="244"/>
      <c r="P62" s="244"/>
      <c r="Q62" s="244"/>
      <c r="R62" s="244"/>
      <c r="S62" s="244"/>
      <c r="T62" s="244"/>
      <c r="U62" s="244"/>
      <c r="V62" s="244"/>
      <c r="W62" s="244"/>
      <c r="X62" s="244"/>
      <c r="Y62" s="244"/>
      <c r="Z62" s="244"/>
    </row>
    <row r="63" ht="15.75" customHeight="1">
      <c r="A63" s="244"/>
      <c r="B63" s="244"/>
      <c r="C63" s="425"/>
      <c r="D63" s="244"/>
      <c r="E63" s="244"/>
      <c r="F63" s="425"/>
      <c r="G63" s="244"/>
      <c r="H63" s="244"/>
      <c r="I63" s="244"/>
      <c r="J63" s="244"/>
      <c r="K63" s="244"/>
      <c r="L63" s="244"/>
      <c r="M63" s="244"/>
      <c r="N63" s="244"/>
      <c r="O63" s="244"/>
      <c r="P63" s="244"/>
      <c r="Q63" s="244"/>
      <c r="R63" s="244"/>
      <c r="S63" s="244"/>
      <c r="T63" s="244"/>
      <c r="U63" s="244"/>
      <c r="V63" s="244"/>
      <c r="W63" s="244"/>
      <c r="X63" s="244"/>
      <c r="Y63" s="244"/>
      <c r="Z63" s="244"/>
    </row>
    <row r="64" ht="15.75" customHeight="1">
      <c r="A64" s="244"/>
      <c r="B64" s="244"/>
      <c r="C64" s="425"/>
      <c r="D64" s="244"/>
      <c r="E64" s="244"/>
      <c r="F64" s="425"/>
      <c r="G64" s="244"/>
      <c r="H64" s="244"/>
      <c r="I64" s="244"/>
      <c r="J64" s="244"/>
      <c r="K64" s="244"/>
      <c r="L64" s="244"/>
      <c r="M64" s="244"/>
      <c r="N64" s="244"/>
      <c r="O64" s="244"/>
      <c r="P64" s="244"/>
      <c r="Q64" s="244"/>
      <c r="R64" s="244"/>
      <c r="S64" s="244"/>
      <c r="T64" s="244"/>
      <c r="U64" s="244"/>
      <c r="V64" s="244"/>
      <c r="W64" s="244"/>
      <c r="X64" s="244"/>
      <c r="Y64" s="244"/>
      <c r="Z64" s="244"/>
    </row>
    <row r="65" ht="15.75" customHeight="1">
      <c r="A65" s="244"/>
      <c r="B65" s="244"/>
      <c r="C65" s="425"/>
      <c r="D65" s="244"/>
      <c r="E65" s="244"/>
      <c r="F65" s="425"/>
      <c r="G65" s="244"/>
      <c r="H65" s="244"/>
      <c r="I65" s="244"/>
      <c r="J65" s="244"/>
      <c r="K65" s="244"/>
      <c r="L65" s="244"/>
      <c r="M65" s="244"/>
      <c r="N65" s="244"/>
      <c r="O65" s="244"/>
      <c r="P65" s="244"/>
      <c r="Q65" s="244"/>
      <c r="R65" s="244"/>
      <c r="S65" s="244"/>
      <c r="T65" s="244"/>
      <c r="U65" s="244"/>
      <c r="V65" s="244"/>
      <c r="W65" s="244"/>
      <c r="X65" s="244"/>
      <c r="Y65" s="244"/>
      <c r="Z65" s="244"/>
    </row>
    <row r="66" ht="15.75" customHeight="1">
      <c r="A66" s="244"/>
      <c r="B66" s="244"/>
      <c r="C66" s="425"/>
      <c r="D66" s="244"/>
      <c r="E66" s="244"/>
      <c r="F66" s="425"/>
      <c r="G66" s="244"/>
      <c r="H66" s="244"/>
      <c r="I66" s="244"/>
      <c r="J66" s="244"/>
      <c r="K66" s="244"/>
      <c r="L66" s="244"/>
      <c r="M66" s="244"/>
      <c r="N66" s="244"/>
      <c r="O66" s="244"/>
      <c r="P66" s="244"/>
      <c r="Q66" s="244"/>
      <c r="R66" s="244"/>
      <c r="S66" s="244"/>
      <c r="T66" s="244"/>
      <c r="U66" s="244"/>
      <c r="V66" s="244"/>
      <c r="W66" s="244"/>
      <c r="X66" s="244"/>
      <c r="Y66" s="244"/>
      <c r="Z66" s="244"/>
    </row>
    <row r="67" ht="15.75" customHeight="1">
      <c r="A67" s="244"/>
      <c r="B67" s="244"/>
      <c r="C67" s="425"/>
      <c r="D67" s="244"/>
      <c r="E67" s="244"/>
      <c r="F67" s="425"/>
      <c r="G67" s="244"/>
      <c r="H67" s="244"/>
      <c r="I67" s="244"/>
      <c r="J67" s="244"/>
      <c r="K67" s="244"/>
      <c r="L67" s="244"/>
      <c r="M67" s="244"/>
      <c r="N67" s="244"/>
      <c r="O67" s="244"/>
      <c r="P67" s="244"/>
      <c r="Q67" s="244"/>
      <c r="R67" s="244"/>
      <c r="S67" s="244"/>
      <c r="T67" s="244"/>
      <c r="U67" s="244"/>
      <c r="V67" s="244"/>
      <c r="W67" s="244"/>
      <c r="X67" s="244"/>
      <c r="Y67" s="244"/>
      <c r="Z67" s="244"/>
    </row>
    <row r="68" ht="15.75" customHeight="1">
      <c r="A68" s="244"/>
      <c r="B68" s="244"/>
      <c r="C68" s="425"/>
      <c r="D68" s="244"/>
      <c r="E68" s="244"/>
      <c r="F68" s="425"/>
      <c r="G68" s="244"/>
      <c r="H68" s="244"/>
      <c r="I68" s="244"/>
      <c r="J68" s="244"/>
      <c r="K68" s="244"/>
      <c r="L68" s="244"/>
      <c r="M68" s="244"/>
      <c r="N68" s="244"/>
      <c r="O68" s="244"/>
      <c r="P68" s="244"/>
      <c r="Q68" s="244"/>
      <c r="R68" s="244"/>
      <c r="S68" s="244"/>
      <c r="T68" s="244"/>
      <c r="U68" s="244"/>
      <c r="V68" s="244"/>
      <c r="W68" s="244"/>
      <c r="X68" s="244"/>
      <c r="Y68" s="244"/>
      <c r="Z68" s="244"/>
    </row>
    <row r="69" ht="15.75" customHeight="1">
      <c r="A69" s="244"/>
      <c r="B69" s="244"/>
      <c r="C69" s="425"/>
      <c r="D69" s="244"/>
      <c r="E69" s="244"/>
      <c r="F69" s="425"/>
      <c r="G69" s="244"/>
      <c r="H69" s="244"/>
      <c r="I69" s="244"/>
      <c r="J69" s="244"/>
      <c r="K69" s="244"/>
      <c r="L69" s="244"/>
      <c r="M69" s="244"/>
      <c r="N69" s="244"/>
      <c r="O69" s="244"/>
      <c r="P69" s="244"/>
      <c r="Q69" s="244"/>
      <c r="R69" s="244"/>
      <c r="S69" s="244"/>
      <c r="T69" s="244"/>
      <c r="U69" s="244"/>
      <c r="V69" s="244"/>
      <c r="W69" s="244"/>
      <c r="X69" s="244"/>
      <c r="Y69" s="244"/>
      <c r="Z69" s="244"/>
    </row>
    <row r="70" ht="15.75" customHeight="1">
      <c r="A70" s="244"/>
      <c r="B70" s="244"/>
      <c r="C70" s="425"/>
      <c r="D70" s="244"/>
      <c r="E70" s="244"/>
      <c r="F70" s="425"/>
      <c r="G70" s="244"/>
      <c r="H70" s="244"/>
      <c r="I70" s="244"/>
      <c r="J70" s="244"/>
      <c r="K70" s="244"/>
      <c r="L70" s="244"/>
      <c r="M70" s="244"/>
      <c r="N70" s="244"/>
      <c r="O70" s="244"/>
      <c r="P70" s="244"/>
      <c r="Q70" s="244"/>
      <c r="R70" s="244"/>
      <c r="S70" s="244"/>
      <c r="T70" s="244"/>
      <c r="U70" s="244"/>
      <c r="V70" s="244"/>
      <c r="W70" s="244"/>
      <c r="X70" s="244"/>
      <c r="Y70" s="244"/>
      <c r="Z70" s="244"/>
    </row>
    <row r="71" ht="15.75" customHeight="1">
      <c r="A71" s="244"/>
      <c r="B71" s="244"/>
      <c r="C71" s="425"/>
      <c r="D71" s="244"/>
      <c r="E71" s="244"/>
      <c r="F71" s="425"/>
      <c r="G71" s="244"/>
      <c r="H71" s="244"/>
      <c r="I71" s="244"/>
      <c r="J71" s="244"/>
      <c r="K71" s="244"/>
      <c r="L71" s="244"/>
      <c r="M71" s="244"/>
      <c r="N71" s="244"/>
      <c r="O71" s="244"/>
      <c r="P71" s="244"/>
      <c r="Q71" s="244"/>
      <c r="R71" s="244"/>
      <c r="S71" s="244"/>
      <c r="T71" s="244"/>
      <c r="U71" s="244"/>
      <c r="V71" s="244"/>
      <c r="W71" s="244"/>
      <c r="X71" s="244"/>
      <c r="Y71" s="244"/>
      <c r="Z71" s="244"/>
    </row>
    <row r="72" ht="15.75" customHeight="1">
      <c r="A72" s="244"/>
      <c r="B72" s="244"/>
      <c r="C72" s="425"/>
      <c r="D72" s="244"/>
      <c r="E72" s="244"/>
      <c r="F72" s="425"/>
      <c r="G72" s="244"/>
      <c r="H72" s="244"/>
      <c r="I72" s="244"/>
      <c r="J72" s="244"/>
      <c r="K72" s="244"/>
      <c r="L72" s="244"/>
      <c r="M72" s="244"/>
      <c r="N72" s="244"/>
      <c r="O72" s="244"/>
      <c r="P72" s="244"/>
      <c r="Q72" s="244"/>
      <c r="R72" s="244"/>
      <c r="S72" s="244"/>
      <c r="T72" s="244"/>
      <c r="U72" s="244"/>
      <c r="V72" s="244"/>
      <c r="W72" s="244"/>
      <c r="X72" s="244"/>
      <c r="Y72" s="244"/>
      <c r="Z72" s="244"/>
    </row>
    <row r="73">
      <c r="A73" s="244"/>
      <c r="B73" s="244"/>
      <c r="C73" s="425"/>
      <c r="D73" s="244"/>
      <c r="E73" s="244"/>
      <c r="F73" s="425"/>
      <c r="G73" s="244"/>
      <c r="H73" s="244"/>
      <c r="I73" s="244"/>
      <c r="J73" s="244"/>
      <c r="K73" s="244"/>
      <c r="L73" s="244"/>
      <c r="M73" s="244"/>
      <c r="N73" s="244"/>
      <c r="O73" s="244"/>
      <c r="P73" s="244"/>
      <c r="Q73" s="244"/>
      <c r="R73" s="244"/>
      <c r="S73" s="244"/>
      <c r="T73" s="244"/>
      <c r="U73" s="244"/>
      <c r="V73" s="244"/>
      <c r="W73" s="244"/>
      <c r="X73" s="244"/>
      <c r="Y73" s="244"/>
      <c r="Z73" s="244"/>
    </row>
    <row r="74">
      <c r="A74" s="244"/>
      <c r="B74" s="244"/>
      <c r="C74" s="425"/>
      <c r="D74" s="244"/>
      <c r="E74" s="244"/>
      <c r="F74" s="425"/>
      <c r="G74" s="244"/>
      <c r="H74" s="244"/>
      <c r="I74" s="244"/>
      <c r="J74" s="244"/>
      <c r="K74" s="244"/>
      <c r="L74" s="244"/>
      <c r="M74" s="244"/>
      <c r="N74" s="244"/>
      <c r="O74" s="244"/>
      <c r="P74" s="244"/>
      <c r="Q74" s="244"/>
      <c r="R74" s="244"/>
      <c r="S74" s="244"/>
      <c r="T74" s="244"/>
      <c r="U74" s="244"/>
      <c r="V74" s="244"/>
      <c r="W74" s="244"/>
      <c r="X74" s="244"/>
      <c r="Y74" s="244"/>
      <c r="Z74" s="244"/>
    </row>
    <row r="75">
      <c r="A75" s="244"/>
      <c r="B75" s="244"/>
      <c r="C75" s="425"/>
      <c r="D75" s="244"/>
      <c r="E75" s="244"/>
      <c r="F75" s="425"/>
      <c r="G75" s="244"/>
      <c r="H75" s="244"/>
      <c r="I75" s="244"/>
      <c r="J75" s="244"/>
      <c r="K75" s="244"/>
      <c r="L75" s="244"/>
      <c r="M75" s="244"/>
      <c r="N75" s="244"/>
      <c r="O75" s="244"/>
      <c r="P75" s="244"/>
      <c r="Q75" s="244"/>
      <c r="R75" s="244"/>
      <c r="S75" s="244"/>
      <c r="T75" s="244"/>
      <c r="U75" s="244"/>
      <c r="V75" s="244"/>
      <c r="W75" s="244"/>
      <c r="X75" s="244"/>
      <c r="Y75" s="244"/>
      <c r="Z75" s="244"/>
    </row>
    <row r="76">
      <c r="A76" s="244"/>
      <c r="B76" s="244"/>
      <c r="C76" s="425"/>
      <c r="D76" s="244"/>
      <c r="E76" s="244"/>
      <c r="F76" s="425"/>
      <c r="G76" s="244"/>
      <c r="H76" s="244"/>
      <c r="I76" s="244"/>
      <c r="J76" s="244"/>
      <c r="K76" s="244"/>
      <c r="L76" s="244"/>
      <c r="M76" s="244"/>
      <c r="N76" s="244"/>
      <c r="O76" s="244"/>
      <c r="P76" s="244"/>
      <c r="Q76" s="244"/>
      <c r="R76" s="244"/>
      <c r="S76" s="244"/>
      <c r="T76" s="244"/>
      <c r="U76" s="244"/>
      <c r="V76" s="244"/>
      <c r="W76" s="244"/>
      <c r="X76" s="244"/>
      <c r="Y76" s="244"/>
      <c r="Z76" s="244"/>
    </row>
    <row r="77">
      <c r="A77" s="244"/>
      <c r="B77" s="244"/>
      <c r="C77" s="425"/>
      <c r="D77" s="244"/>
      <c r="E77" s="244"/>
      <c r="F77" s="425"/>
      <c r="G77" s="244"/>
      <c r="H77" s="244"/>
      <c r="I77" s="244"/>
      <c r="J77" s="244"/>
      <c r="K77" s="244"/>
      <c r="L77" s="244"/>
      <c r="M77" s="244"/>
      <c r="N77" s="244"/>
      <c r="O77" s="244"/>
      <c r="P77" s="244"/>
      <c r="Q77" s="244"/>
      <c r="R77" s="244"/>
      <c r="S77" s="244"/>
      <c r="T77" s="244"/>
      <c r="U77" s="244"/>
      <c r="V77" s="244"/>
      <c r="W77" s="244"/>
      <c r="X77" s="244"/>
      <c r="Y77" s="244"/>
      <c r="Z77" s="244"/>
    </row>
    <row r="78">
      <c r="A78" s="244"/>
      <c r="B78" s="244"/>
      <c r="C78" s="425"/>
      <c r="D78" s="244"/>
      <c r="E78" s="244"/>
      <c r="F78" s="425"/>
      <c r="G78" s="244"/>
      <c r="H78" s="244"/>
      <c r="I78" s="244"/>
      <c r="J78" s="244"/>
      <c r="K78" s="244"/>
      <c r="L78" s="244"/>
      <c r="M78" s="244"/>
      <c r="N78" s="244"/>
      <c r="O78" s="244"/>
      <c r="P78" s="244"/>
      <c r="Q78" s="244"/>
      <c r="R78" s="244"/>
      <c r="S78" s="244"/>
      <c r="T78" s="244"/>
      <c r="U78" s="244"/>
      <c r="V78" s="244"/>
      <c r="W78" s="244"/>
      <c r="X78" s="244"/>
      <c r="Y78" s="244"/>
      <c r="Z78" s="244"/>
    </row>
    <row r="79">
      <c r="A79" s="244"/>
      <c r="B79" s="244"/>
      <c r="C79" s="425"/>
      <c r="D79" s="244"/>
      <c r="E79" s="244"/>
      <c r="F79" s="425"/>
      <c r="G79" s="244"/>
      <c r="H79" s="244"/>
      <c r="I79" s="244"/>
      <c r="J79" s="244"/>
      <c r="K79" s="244"/>
      <c r="L79" s="244"/>
      <c r="M79" s="244"/>
      <c r="N79" s="244"/>
      <c r="O79" s="244"/>
      <c r="P79" s="244"/>
      <c r="Q79" s="244"/>
      <c r="R79" s="244"/>
      <c r="S79" s="244"/>
      <c r="T79" s="244"/>
      <c r="U79" s="244"/>
      <c r="V79" s="244"/>
      <c r="W79" s="244"/>
      <c r="X79" s="244"/>
      <c r="Y79" s="244"/>
      <c r="Z79" s="244"/>
    </row>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sheetData>
  <sheetProtection sheet="1" objects="1" scenarios="1"/>
  <mergeCells count="3">
    <mergeCell ref="B5:E5"/>
    <mergeCell ref="B4:E4"/>
    <mergeCell ref="B46:F47"/>
  </mergeCells>
  <phoneticPr fontId="0" type="noConversion"/>
  <hyperlinks>
    <hyperlink ref="H8" r:id="rId61" display="www.strglobal.com"/>
    <hyperlink ref="M8" r:id="rId62" display="www.str.com"/>
  </hyperlinks>
  <printOptions horizontalCentered="1" verticalCentered="1"/>
  <pageMargins left="0.25" right="0.25" top="0.3" bottom="0.3" header="0" footer="0"/>
  <pageSetup scale="72" orientation="landscape" r:id="rId3"/>
  <headerFooter alignWithMargins="0">
    <oddHeader/>
    <oddFooter/>
  </headerFooter>
  <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4">
    <pageSetUpPr fitToPage="1"/>
  </sheetPr>
  <dimension ref="A1:BK113"/>
  <sheetViews>
    <sheetView showGridLines="0" zoomScale="65" zoomScaleNormal="7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6"/>
      <c r="B1" s="39" t="s">
        <v>121</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G3" s="40"/>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7" t="s">
        <v>75</v>
      </c>
      <c r="C24" s="309" t="s">
        <v>148</v>
      </c>
      <c r="D24" s="310"/>
      <c r="E24" s="310"/>
      <c r="F24" s="310"/>
      <c r="G24" s="310"/>
      <c r="H24" s="310"/>
      <c r="I24" s="310"/>
      <c r="J24" s="310"/>
      <c r="K24" s="310"/>
      <c r="L24" s="310"/>
      <c r="M24" s="310"/>
      <c r="N24" s="310"/>
      <c r="O24" s="310"/>
      <c r="P24" s="310"/>
      <c r="Q24" s="310"/>
      <c r="R24" s="310"/>
      <c r="S24" s="311"/>
      <c r="T24" s="311"/>
      <c r="U24" s="311"/>
      <c r="V24" s="656" t="s">
        <v>145</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7">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44">
        <v>31.182795698924731182795698920</v>
      </c>
      <c r="D26" s="445">
        <v>29.569892473118279569892473120</v>
      </c>
      <c r="E26" s="445">
        <v>38.709677419354838709677419350</v>
      </c>
      <c r="F26" s="445">
        <v>43.010752688172043010752688170</v>
      </c>
      <c r="G26" s="445">
        <v>35.483870967741935483870967740</v>
      </c>
      <c r="H26" s="445">
        <v>53.763440860215053763440860220</v>
      </c>
      <c r="I26" s="445">
        <v>52.688172043010752688172043010</v>
      </c>
      <c r="J26" s="445">
        <v>18.817204301075268817204301080</v>
      </c>
      <c r="K26" s="445">
        <v>28.494623655913978494623655910</v>
      </c>
      <c r="L26" s="445">
        <v>70.430107526881720430107526880</v>
      </c>
      <c r="M26" s="445">
        <v>62.365591397849462365591397850</v>
      </c>
      <c r="N26" s="445">
        <v>12.365591397849462365591397850</v>
      </c>
      <c r="O26" s="445">
        <v>8.064516129032258064516129030</v>
      </c>
      <c r="P26" s="445">
        <v>4.3010752688172043010752688200</v>
      </c>
      <c r="Q26" s="445">
        <v>6.9892473118279569892473118300</v>
      </c>
      <c r="R26" s="445">
        <v>52.150537634408602150537634410</v>
      </c>
      <c r="S26" s="445">
        <v>63.440860215053763440860215050</v>
      </c>
      <c r="T26" s="445">
        <v>69.354838709677419354838709680</v>
      </c>
      <c r="U26" s="445">
        <v>24.193548387096774193548387100</v>
      </c>
      <c r="V26" s="658">
        <v>39.247311827956989247311827960</v>
      </c>
      <c r="W26" s="445">
        <v>47.311827956989247311827956990</v>
      </c>
      <c r="X26" s="446">
        <v>15.053763440860215053763440860</v>
      </c>
      <c r="Y26" s="445">
        <v>18.817204301075268817204301080</v>
      </c>
      <c r="Z26" s="445">
        <v>33.870967741935483870967741940</v>
      </c>
      <c r="AA26" s="445">
        <v>40.860215053763440860215053760</v>
      </c>
      <c r="AB26" s="445">
        <v>33.333333333333333333333333330</v>
      </c>
      <c r="AC26" s="445">
        <v>70.967741935483870967741935480</v>
      </c>
      <c r="AD26" s="447">
        <v>65.053763440860215053763440860</v>
      </c>
      <c r="AE26" s="448"/>
      <c r="AF26" s="444">
        <v>39.708141321044546850998463900</v>
      </c>
      <c r="AG26" s="445">
        <v>38.210445468509984639016897080</v>
      </c>
      <c r="AH26" s="449">
        <v>40.501792114695340501792114700</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27">
        <v>41.988950276243093922651933700</v>
      </c>
      <c r="D27" s="81">
        <v>48.434622467771639042357274400</v>
      </c>
      <c r="E27" s="81">
        <v>67.034990791896869244935543280</v>
      </c>
      <c r="F27" s="81">
        <v>56.813996316758747697974217310</v>
      </c>
      <c r="G27" s="81">
        <v>54.788213627992633517495395950</v>
      </c>
      <c r="H27" s="81">
        <v>73.388581952117863720073664830</v>
      </c>
      <c r="I27" s="81">
        <v>71.639042357274401473296500920</v>
      </c>
      <c r="J27" s="81">
        <v>45.948434622467771639042357270</v>
      </c>
      <c r="K27" s="81">
        <v>63.720073664825046040515653780</v>
      </c>
      <c r="L27" s="81">
        <v>73.572744014732965009208103130</v>
      </c>
      <c r="M27" s="81">
        <v>68.416206261510128913443830570</v>
      </c>
      <c r="N27" s="81">
        <v>55.709023941068139963167587480</v>
      </c>
      <c r="O27" s="81">
        <v>81.30755064456721915285451197</v>
      </c>
      <c r="P27" s="81">
        <v>77.992633517495395948434622470</v>
      </c>
      <c r="Q27" s="81">
        <v>44.106813996316758747697974220</v>
      </c>
      <c r="R27" s="81">
        <v>69.705340699815837937384898710</v>
      </c>
      <c r="S27" s="81">
        <v>76.058931860036832412523020260</v>
      </c>
      <c r="T27" s="81">
        <v>68.876611418047882136279926340</v>
      </c>
      <c r="U27" s="81">
        <v>45.672191528545119705340699820</v>
      </c>
      <c r="V27" s="659">
        <v>64.548802946593001841620626150</v>
      </c>
      <c r="W27" s="81">
        <v>61.786372007366482504604051570</v>
      </c>
      <c r="X27" s="82">
        <v>38.121546961325966850828729280</v>
      </c>
      <c r="Y27" s="81">
        <v>48.526703499079189686924493550</v>
      </c>
      <c r="Z27" s="81">
        <v>51.657458563535911602209944750</v>
      </c>
      <c r="AA27" s="81">
        <v>48.526703499079189686924493550</v>
      </c>
      <c r="AB27" s="81">
        <v>39.226519337016574585635359120</v>
      </c>
      <c r="AC27" s="81">
        <v>44.751381215469613259668508290</v>
      </c>
      <c r="AD27" s="83">
        <v>58.195211786372007366482504600</v>
      </c>
      <c r="AE27" s="88"/>
      <c r="AF27" s="327">
        <v>47.000789265982636148382004730</v>
      </c>
      <c r="AG27" s="81">
        <v>58.589844777690081557484872400</v>
      </c>
      <c r="AH27" s="328">
        <v>50.593411090648659709433190100</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50">
        <v>53.922902494331065759637188210</v>
      </c>
      <c r="D28" s="451">
        <v>77.596371882086167800453514740</v>
      </c>
      <c r="E28" s="451">
        <v>86.75736961451247165532879819</v>
      </c>
      <c r="F28" s="451">
        <v>79.047619047619047619047619050</v>
      </c>
      <c r="G28" s="451">
        <v>72.154195011337868480725623580</v>
      </c>
      <c r="H28" s="451">
        <v>77.052154195011337868480725620</v>
      </c>
      <c r="I28" s="451">
        <v>75.691609977324263038548752830</v>
      </c>
      <c r="J28" s="451">
        <v>55.419501133786848072562358280</v>
      </c>
      <c r="K28" s="451">
        <v>77.868480725623582766439909300</v>
      </c>
      <c r="L28" s="451">
        <v>86.12244897959183673469387755</v>
      </c>
      <c r="M28" s="451">
        <v>83.17460317460317460317460317</v>
      </c>
      <c r="N28" s="451">
        <v>70.158730158730158730158730160</v>
      </c>
      <c r="O28" s="451">
        <v>75.238095238095238095238095240</v>
      </c>
      <c r="P28" s="451">
        <v>71.428571428571428571428571430</v>
      </c>
      <c r="Q28" s="451">
        <v>52.063492063492063492063492060</v>
      </c>
      <c r="R28" s="451">
        <v>77.959183673469387755102040820</v>
      </c>
      <c r="S28" s="451">
        <v>83.12925170068027210884353741</v>
      </c>
      <c r="T28" s="451">
        <v>76.099773242630385487528344670</v>
      </c>
      <c r="U28" s="451">
        <v>64.625850340136054421768707480</v>
      </c>
      <c r="V28" s="660">
        <v>70.385487528344671201814058960</v>
      </c>
      <c r="W28" s="451">
        <v>70.702947845804988662131519270</v>
      </c>
      <c r="X28" s="452">
        <v>49.569160997732426303854875280</v>
      </c>
      <c r="Y28" s="451">
        <v>70.793650793650793650793650790</v>
      </c>
      <c r="Z28" s="451">
        <v>79.81859410430839002267573696</v>
      </c>
      <c r="AA28" s="451">
        <v>77.959183673469387755102040820</v>
      </c>
      <c r="AB28" s="451">
        <v>68.253968253968253968253968250</v>
      </c>
      <c r="AC28" s="451">
        <v>71.247165532879818594104308390</v>
      </c>
      <c r="AD28" s="453">
        <v>72.335600907029478458049886620</v>
      </c>
      <c r="AE28" s="448"/>
      <c r="AF28" s="450">
        <v>69.996760609005506964690638160</v>
      </c>
      <c r="AG28" s="451">
        <v>72.377712989957887917071590540</v>
      </c>
      <c r="AH28" s="454">
        <v>70.118417737465356512975560590</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2" customHeight="1">
      <c r="B29" s="4"/>
      <c r="X29" s="27"/>
      <c r="AD29" s="28"/>
      <c r="AF29" s="22"/>
      <c r="AG29" s="22"/>
      <c r="AH29" s="2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18">
      <c r="B30" s="29"/>
      <c r="X30" s="27"/>
      <c r="AD30" s="28"/>
      <c r="AF30" s="22"/>
      <c r="AG30" s="22"/>
      <c r="AH30" s="2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s="41" customFormat="1" ht="18">
      <c r="B31" s="417" t="s">
        <v>76</v>
      </c>
      <c r="C31" s="309" t="s">
        <v>148</v>
      </c>
      <c r="D31" s="310"/>
      <c r="E31" s="310"/>
      <c r="F31" s="310"/>
      <c r="G31" s="310"/>
      <c r="H31" s="310"/>
      <c r="I31" s="310"/>
      <c r="J31" s="310"/>
      <c r="K31" s="310"/>
      <c r="L31" s="310"/>
      <c r="M31" s="310"/>
      <c r="N31" s="310"/>
      <c r="O31" s="310"/>
      <c r="P31" s="310"/>
      <c r="Q31" s="310"/>
      <c r="R31" s="310"/>
      <c r="S31" s="311"/>
      <c r="T31" s="311"/>
      <c r="U31" s="311"/>
      <c r="V31" s="656" t="s">
        <v>145</v>
      </c>
      <c r="W31" s="311"/>
      <c r="X31" s="312"/>
      <c r="Y31" s="311"/>
      <c r="Z31" s="311"/>
      <c r="AA31" s="311"/>
      <c r="AB31" s="311"/>
      <c r="AC31" s="311"/>
      <c r="AD31" s="336"/>
      <c r="AE31" s="25"/>
      <c r="AF31" s="316" t="s">
        <v>58</v>
      </c>
      <c r="AG31" s="317" t="s">
        <v>59</v>
      </c>
      <c r="AH31" s="318" t="s">
        <v>59</v>
      </c>
      <c r="AI31" s="25"/>
      <c r="AJ31" s="255"/>
      <c r="AK31" s="255"/>
      <c r="AL31" s="255"/>
      <c r="AM31" s="255"/>
      <c r="AN31" s="263"/>
      <c r="AO31" s="263"/>
      <c r="AP31" s="263"/>
      <c r="AQ31" s="263"/>
      <c r="AR31" s="263"/>
      <c r="AS31" s="263"/>
      <c r="AT31" s="263"/>
      <c r="AU31" s="263"/>
      <c r="AV31" s="263"/>
      <c r="AW31" s="263"/>
      <c r="AX31" s="263"/>
      <c r="AY31" s="263"/>
      <c r="AZ31" s="263"/>
      <c r="BA31" s="263"/>
      <c r="BB31" s="263"/>
      <c r="BC31" s="263"/>
      <c r="BD31" s="263"/>
      <c r="BE31" s="263"/>
      <c r="BF31" s="263"/>
      <c r="BG31" s="263"/>
      <c r="BH31" s="263"/>
      <c r="BI31" s="263"/>
      <c r="BJ31" s="263"/>
      <c r="BK31" s="263"/>
    </row>
    <row r="32" s="42" customFormat="1">
      <c r="C32" s="322">
        <v>13</v>
      </c>
      <c r="D32" s="42">
        <v>14</v>
      </c>
      <c r="E32" s="42">
        <v>15</v>
      </c>
      <c r="F32" s="42">
        <v>16</v>
      </c>
      <c r="G32" s="42">
        <v>17</v>
      </c>
      <c r="H32" s="42">
        <v>18</v>
      </c>
      <c r="I32" s="42">
        <v>19</v>
      </c>
      <c r="J32" s="42">
        <v>20</v>
      </c>
      <c r="K32" s="42">
        <v>21</v>
      </c>
      <c r="L32" s="42">
        <v>22</v>
      </c>
      <c r="M32" s="42">
        <v>23</v>
      </c>
      <c r="N32" s="42">
        <v>24</v>
      </c>
      <c r="O32" s="42">
        <v>25</v>
      </c>
      <c r="P32" s="42">
        <v>26</v>
      </c>
      <c r="Q32" s="42">
        <v>27</v>
      </c>
      <c r="R32" s="42">
        <v>28</v>
      </c>
      <c r="S32" s="42">
        <v>29</v>
      </c>
      <c r="T32" s="42">
        <v>30</v>
      </c>
      <c r="U32" s="42">
        <v>31</v>
      </c>
      <c r="V32" s="657">
        <v>1</v>
      </c>
      <c r="W32" s="42">
        <v>2</v>
      </c>
      <c r="X32" s="323">
        <v>3</v>
      </c>
      <c r="Y32" s="42">
        <v>4</v>
      </c>
      <c r="Z32" s="42">
        <v>5</v>
      </c>
      <c r="AA32" s="42">
        <v>6</v>
      </c>
      <c r="AB32" s="42">
        <v>7</v>
      </c>
      <c r="AC32" s="42">
        <v>8</v>
      </c>
      <c r="AD32" s="337">
        <v>9</v>
      </c>
      <c r="AE32" s="25"/>
      <c r="AF32" s="324" t="s">
        <v>60</v>
      </c>
      <c r="AG32" s="325">
        <v>28</v>
      </c>
      <c r="AH32" s="326" t="s">
        <v>31</v>
      </c>
      <c r="AI32" s="25"/>
      <c r="AJ32" s="255"/>
      <c r="AK32" s="255"/>
      <c r="AL32" s="255"/>
      <c r="AM32" s="255"/>
      <c r="AN32" s="264"/>
      <c r="AO32" s="264"/>
      <c r="AP32" s="264"/>
      <c r="AQ32" s="264"/>
      <c r="AR32" s="264"/>
      <c r="AS32" s="264"/>
      <c r="AT32" s="264"/>
      <c r="AU32" s="264"/>
      <c r="AV32" s="264"/>
      <c r="AW32" s="264"/>
      <c r="AX32" s="264"/>
      <c r="AY32" s="264"/>
      <c r="AZ32" s="264"/>
      <c r="BA32" s="264"/>
      <c r="BB32" s="264"/>
      <c r="BC32" s="264"/>
      <c r="BD32" s="264"/>
      <c r="BE32" s="264"/>
      <c r="BF32" s="264"/>
      <c r="BG32" s="264"/>
      <c r="BH32" s="264"/>
      <c r="BI32" s="264"/>
      <c r="BJ32" s="264"/>
      <c r="BK32" s="264"/>
    </row>
    <row r="33" ht="14.25" customHeight="1">
      <c r="B33" s="46" t="s">
        <v>32</v>
      </c>
      <c r="C33" s="444">
        <v>41.463414634070434265318303650</v>
      </c>
      <c r="D33" s="445">
        <v>-3.5087719297534626038780639500</v>
      </c>
      <c r="E33" s="445">
        <v>24.137931034581212841855012670</v>
      </c>
      <c r="F33" s="445">
        <v>40.350877193085872576177361510</v>
      </c>
      <c r="G33" s="445">
        <v>32.000000000036960000000010340</v>
      </c>
      <c r="H33" s="445">
        <v>809.0909090945454545454690910</v>
      </c>
      <c r="I33" s="445">
        <v>553.33333333594666666667711999</v>
      </c>
      <c r="J33" s="445">
        <v>-57.317073170754610350981546300</v>
      </c>
      <c r="K33" s="445">
        <v>-52.678571428539317602040794540</v>
      </c>
      <c r="L33" s="445">
        <v>2.3437499999632202148437632200</v>
      </c>
      <c r="M33" s="445">
        <v>-14.705882352949956747404843390</v>
      </c>
      <c r="N33" s="445">
        <v>-81.88976377953468906937813595</v>
      </c>
      <c r="O33" s="445">
        <v>-83.14606741573336699911627266</v>
      </c>
      <c r="P33" s="445">
        <v>-87.09677419353548387096772902</v>
      </c>
      <c r="Q33" s="445">
        <v>-64.864864864900949598246858470</v>
      </c>
      <c r="R33" s="445">
        <v>56.451612903382258064516285490</v>
      </c>
      <c r="S33" s="445">
        <v>90.32258064535161290322599676</v>
      </c>
      <c r="T33" s="445">
        <v>207.14285714272551020408168908</v>
      </c>
      <c r="U33" s="445">
        <v>-2.1739130434825141776937616200</v>
      </c>
      <c r="V33" s="658">
        <v>48.979591836765097875885054110</v>
      </c>
      <c r="W33" s="445">
        <v>83.33333333335625000000000287</v>
      </c>
      <c r="X33" s="446">
        <v>-24.324324324402045288531695200</v>
      </c>
      <c r="Y33" s="445">
        <v>12.903225806225806451613354870</v>
      </c>
      <c r="Z33" s="445">
        <v>28.571428571454810495626827530</v>
      </c>
      <c r="AA33" s="445">
        <v>28.813559322143062338408595800</v>
      </c>
      <c r="AB33" s="445">
        <v>21.568627451023298731257223900</v>
      </c>
      <c r="AC33" s="445">
        <v>78.378378378195178962746718460</v>
      </c>
      <c r="AD33" s="447">
        <v>28.723404255324626527840652110</v>
      </c>
      <c r="AE33" s="448"/>
      <c r="AF33" s="444">
        <v>30.886075949212676173690295930</v>
      </c>
      <c r="AG33" s="445">
        <v>12.684031710055283581017564670</v>
      </c>
      <c r="AH33" s="449">
        <v>52.702702702929693206720571180</v>
      </c>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row>
    <row r="34" ht="14.25" customHeight="1">
      <c r="B34" s="47" t="s">
        <v>26</v>
      </c>
      <c r="C34" s="327">
        <v>12.871287128562562493873349850</v>
      </c>
      <c r="D34" s="81">
        <v>-0.9416195856683541340823694400</v>
      </c>
      <c r="E34" s="81">
        <v>26.388888889006061921296404930</v>
      </c>
      <c r="F34" s="81">
        <v>5.1107325383931665355850725800</v>
      </c>
      <c r="G34" s="81">
        <v>1.8835616438537600863201383400</v>
      </c>
      <c r="H34" s="81">
        <v>9.931034482716164565992882040</v>
      </c>
      <c r="I34" s="81">
        <v>9.732016925168512834183166050</v>
      </c>
      <c r="J34" s="81">
        <v>28.277634961572812762273715710</v>
      </c>
      <c r="K34" s="81">
        <v>24.684684684661769661553449560</v>
      </c>
      <c r="L34" s="81">
        <v>25.431711146017732749421472340</v>
      </c>
      <c r="M34" s="81">
        <v>20.421393841079499538993835310</v>
      </c>
      <c r="N34" s="81">
        <v>10.603290676483140547242936880</v>
      </c>
      <c r="O34" s="81">
        <v>15.123859191641692773449785760</v>
      </c>
      <c r="P34" s="81">
        <v>16.027397260294635015950463430</v>
      </c>
      <c r="Q34" s="81">
        <v>20.654911838783030156907283740</v>
      </c>
      <c r="R34" s="81">
        <v>34.937611408293450389392574770</v>
      </c>
      <c r="S34" s="81">
        <v>23.467862481217950625724838450</v>
      </c>
      <c r="T34" s="81">
        <v>19.108280254863177005152401090</v>
      </c>
      <c r="U34" s="81">
        <v>1.8480492812623032521113900500</v>
      </c>
      <c r="V34" s="659">
        <v>5.8912386706923047434762370400</v>
      </c>
      <c r="W34" s="81">
        <v>17.719298245622709141274238880</v>
      </c>
      <c r="X34" s="82">
        <v>6.4267352186195280232090547200</v>
      </c>
      <c r="Y34" s="81">
        <v>12.127659574594526935264968290</v>
      </c>
      <c r="Z34" s="81">
        <v>8.932038834925228013950425770</v>
      </c>
      <c r="AA34" s="81">
        <v>-20.272314674747070065297843860</v>
      </c>
      <c r="AB34" s="81">
        <v>-25.131810193326880013343175610</v>
      </c>
      <c r="AC34" s="81">
        <v>-6.3583815028533663002438961200</v>
      </c>
      <c r="AD34" s="83">
        <v>21.538461538528384615384652140</v>
      </c>
      <c r="AE34" s="88"/>
      <c r="AF34" s="327">
        <v>-1.9214932748592055471862196100</v>
      </c>
      <c r="AG34" s="81">
        <v>11.524256651056755767741570290</v>
      </c>
      <c r="AH34" s="328">
        <v>2.1272201568821046174351724600</v>
      </c>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row>
    <row r="35" ht="14.25" customHeight="1">
      <c r="A35" s="24"/>
      <c r="B35" s="49" t="s">
        <v>147</v>
      </c>
      <c r="C35" s="450">
        <v>7.6992753622851845561594308100</v>
      </c>
      <c r="D35" s="451">
        <v>17.675378266850473436651536630</v>
      </c>
      <c r="E35" s="451">
        <v>12.99468399287361373697820300</v>
      </c>
      <c r="F35" s="451">
        <v>4.62184873943425605536335800</v>
      </c>
      <c r="G35" s="451">
        <v>5.7142857142365448504983617400</v>
      </c>
      <c r="H35" s="451">
        <v>17.011019283665567441886994560</v>
      </c>
      <c r="I35" s="451">
        <v>22.630418809639733339955684030</v>
      </c>
      <c r="J35" s="451">
        <v>8.525754884522010038836611270</v>
      </c>
      <c r="K35" s="451">
        <v>14.696058784209853240214569640</v>
      </c>
      <c r="L35" s="451">
        <v>7.0462232243903661684687766800</v>
      </c>
      <c r="M35" s="451">
        <v>8.264462809912881633768185410</v>
      </c>
      <c r="N35" s="451">
        <v>5.4533060667997645543469625200</v>
      </c>
      <c r="O35" s="451">
        <v>6.6881028939109151063367869600</v>
      </c>
      <c r="P35" s="451">
        <v>10.526315789535346260387846040</v>
      </c>
      <c r="Q35" s="451">
        <v>11.456310679586762183052131100</v>
      </c>
      <c r="R35" s="451">
        <v>29.735849056702666571733788450</v>
      </c>
      <c r="S35" s="451">
        <v>20.910290237502509946672617810</v>
      </c>
      <c r="T35" s="451">
        <v>19.686162624839183782694787470</v>
      </c>
      <c r="U35" s="451">
        <v>11.067809820701925898295908660</v>
      </c>
      <c r="V35" s="660">
        <v>5.0778605281398248659541253900</v>
      </c>
      <c r="W35" s="451">
        <v>12.319884726204553334883608680</v>
      </c>
      <c r="X35" s="452">
        <v>7.1568627450066407151096511900</v>
      </c>
      <c r="Y35" s="451">
        <v>7.2115384616132003513314130400</v>
      </c>
      <c r="Z35" s="451">
        <v>7.9092581237832446983472470900</v>
      </c>
      <c r="AA35" s="451">
        <v>10.903225806449824141519250810</v>
      </c>
      <c r="AB35" s="451">
        <v>15.061162079426254804590023540</v>
      </c>
      <c r="AC35" s="451">
        <v>19.015151515213727617079922330</v>
      </c>
      <c r="AD35" s="453">
        <v>18.675595238058151971726202060</v>
      </c>
      <c r="AE35" s="448"/>
      <c r="AF35" s="450">
        <v>12.202720947223157823870927360</v>
      </c>
      <c r="AG35" s="451">
        <v>12.211536047091641473266144690</v>
      </c>
      <c r="AH35" s="454">
        <v>11.919890613619250707964281020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3.5" customHeight="1">
      <c r="B36" s="40"/>
      <c r="C36" s="23"/>
      <c r="D36" s="23"/>
      <c r="E36" s="23"/>
      <c r="F36" s="23"/>
      <c r="G36" s="23"/>
      <c r="H36" s="23"/>
      <c r="I36" s="23"/>
      <c r="J36" s="23"/>
      <c r="K36" s="23"/>
      <c r="L36" s="23"/>
      <c r="M36" s="23"/>
      <c r="N36" s="23"/>
      <c r="O36" s="23"/>
      <c r="P36" s="23"/>
      <c r="Q36" s="23"/>
      <c r="R36" s="23"/>
      <c r="S36" s="23"/>
      <c r="T36" s="23"/>
      <c r="U36" s="23"/>
      <c r="V36" s="23"/>
      <c r="W36" s="23"/>
      <c r="X36" s="44"/>
      <c r="Y36" s="23"/>
      <c r="Z36" s="23"/>
      <c r="AA36" s="23"/>
      <c r="AB36" s="23"/>
      <c r="AC36" s="23"/>
      <c r="AD36" s="45"/>
      <c r="AF36" s="43"/>
      <c r="AG36" s="43"/>
      <c r="AH36" s="43"/>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8">
      <c r="B37" s="29"/>
      <c r="X37" s="27"/>
      <c r="AD37" s="28"/>
      <c r="AF37" s="43"/>
      <c r="AG37" s="43"/>
      <c r="AH37" s="43"/>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s="41" customFormat="1" ht="18">
      <c r="B38" s="417" t="s">
        <v>91</v>
      </c>
      <c r="C38" s="309" t="s">
        <v>148</v>
      </c>
      <c r="D38" s="310"/>
      <c r="E38" s="310"/>
      <c r="F38" s="310"/>
      <c r="G38" s="310"/>
      <c r="H38" s="310"/>
      <c r="I38" s="310"/>
      <c r="J38" s="310"/>
      <c r="K38" s="310"/>
      <c r="L38" s="310"/>
      <c r="M38" s="310"/>
      <c r="N38" s="310"/>
      <c r="O38" s="310"/>
      <c r="P38" s="310"/>
      <c r="Q38" s="310"/>
      <c r="R38" s="310"/>
      <c r="S38" s="311"/>
      <c r="T38" s="311"/>
      <c r="U38" s="311"/>
      <c r="V38" s="656" t="s">
        <v>145</v>
      </c>
      <c r="W38" s="311"/>
      <c r="X38" s="312"/>
      <c r="Y38" s="311"/>
      <c r="Z38" s="311"/>
      <c r="AA38" s="311"/>
      <c r="AB38" s="311"/>
      <c r="AC38" s="311"/>
      <c r="AD38" s="336"/>
      <c r="AE38" s="25"/>
      <c r="AF38" s="316" t="s">
        <v>58</v>
      </c>
      <c r="AG38" s="317" t="s">
        <v>59</v>
      </c>
      <c r="AH38" s="318" t="s">
        <v>59</v>
      </c>
      <c r="AI38" s="25"/>
      <c r="AJ38" s="255"/>
      <c r="AK38" s="255"/>
      <c r="AL38" s="255"/>
      <c r="AM38" s="255"/>
      <c r="AN38" s="263"/>
      <c r="AO38" s="263"/>
      <c r="AP38" s="263"/>
      <c r="AQ38" s="263"/>
      <c r="AR38" s="263"/>
      <c r="AS38" s="263"/>
      <c r="AT38" s="263"/>
      <c r="AU38" s="263"/>
      <c r="AV38" s="263"/>
      <c r="AW38" s="263"/>
      <c r="AX38" s="263"/>
      <c r="AY38" s="263"/>
      <c r="AZ38" s="263"/>
      <c r="BA38" s="263"/>
      <c r="BB38" s="263"/>
      <c r="BC38" s="263"/>
      <c r="BD38" s="263"/>
      <c r="BE38" s="263"/>
      <c r="BF38" s="263"/>
      <c r="BG38" s="263"/>
      <c r="BH38" s="263"/>
      <c r="BI38" s="263"/>
      <c r="BJ38" s="263"/>
      <c r="BK38" s="263"/>
    </row>
    <row r="39" s="42" customFormat="1">
      <c r="C39" s="313">
        <v>13</v>
      </c>
      <c r="D39" s="42">
        <v>14</v>
      </c>
      <c r="E39" s="42">
        <v>15</v>
      </c>
      <c r="F39" s="42">
        <v>16</v>
      </c>
      <c r="G39" s="42">
        <v>17</v>
      </c>
      <c r="H39" s="42">
        <v>18</v>
      </c>
      <c r="I39" s="42">
        <v>19</v>
      </c>
      <c r="J39" s="42">
        <v>20</v>
      </c>
      <c r="K39" s="42">
        <v>21</v>
      </c>
      <c r="L39" s="42">
        <v>22</v>
      </c>
      <c r="M39" s="42">
        <v>23</v>
      </c>
      <c r="N39" s="42">
        <v>24</v>
      </c>
      <c r="O39" s="42">
        <v>25</v>
      </c>
      <c r="P39" s="42">
        <v>26</v>
      </c>
      <c r="Q39" s="42">
        <v>27</v>
      </c>
      <c r="R39" s="42">
        <v>28</v>
      </c>
      <c r="S39" s="42">
        <v>29</v>
      </c>
      <c r="T39" s="42">
        <v>30</v>
      </c>
      <c r="U39" s="42">
        <v>31</v>
      </c>
      <c r="V39" s="657">
        <v>1</v>
      </c>
      <c r="W39" s="42">
        <v>2</v>
      </c>
      <c r="X39" s="323">
        <v>3</v>
      </c>
      <c r="Y39" s="42">
        <v>4</v>
      </c>
      <c r="Z39" s="42">
        <v>5</v>
      </c>
      <c r="AA39" s="42">
        <v>6</v>
      </c>
      <c r="AB39" s="42">
        <v>7</v>
      </c>
      <c r="AC39" s="42">
        <v>8</v>
      </c>
      <c r="AD39" s="337">
        <v>9</v>
      </c>
      <c r="AE39" s="25"/>
      <c r="AF39" s="324" t="s">
        <v>60</v>
      </c>
      <c r="AG39" s="325">
        <v>28</v>
      </c>
      <c r="AH39" s="326" t="s">
        <v>31</v>
      </c>
      <c r="AI39" s="25"/>
      <c r="AJ39" s="255"/>
      <c r="AK39" s="255"/>
      <c r="AL39" s="255"/>
      <c r="AM39" s="255"/>
      <c r="AN39" s="264"/>
      <c r="AO39" s="264"/>
      <c r="AP39" s="264"/>
      <c r="AQ39" s="264"/>
      <c r="AR39" s="264"/>
      <c r="AS39" s="264"/>
      <c r="AT39" s="264"/>
      <c r="AU39" s="264"/>
      <c r="AV39" s="264"/>
      <c r="AW39" s="264"/>
      <c r="AX39" s="264"/>
      <c r="AY39" s="264"/>
      <c r="AZ39" s="264"/>
      <c r="BA39" s="264"/>
      <c r="BB39" s="264"/>
      <c r="BC39" s="264"/>
      <c r="BD39" s="264"/>
      <c r="BE39" s="264"/>
      <c r="BF39" s="264"/>
      <c r="BG39" s="264"/>
      <c r="BH39" s="264"/>
      <c r="BI39" s="264"/>
      <c r="BJ39" s="264"/>
      <c r="BK39" s="264"/>
    </row>
    <row r="40" ht="14.25" customHeight="1">
      <c r="A40" s="1"/>
      <c r="B40" s="46" t="s">
        <v>26</v>
      </c>
      <c r="C40" s="444">
        <v>74.264289756725907351145343750</v>
      </c>
      <c r="D40" s="445">
        <v>61.051146817086783003200690260</v>
      </c>
      <c r="E40" s="445">
        <v>57.745480326122790511509051150</v>
      </c>
      <c r="F40" s="445">
        <v>75.704501489985288643452035560</v>
      </c>
      <c r="G40" s="445">
        <v>64.765519110861446544462188320</v>
      </c>
      <c r="H40" s="445">
        <v>73.258590682820276729848483480</v>
      </c>
      <c r="I40" s="445">
        <v>73.546728584433459420062167360</v>
      </c>
      <c r="J40" s="445">
        <v>40.952873488884586031588700140</v>
      </c>
      <c r="K40" s="445">
        <v>44.718441171003965406300293930</v>
      </c>
      <c r="L40" s="445">
        <v>95.72853163232518047737314969</v>
      </c>
      <c r="M40" s="445">
        <v>91.15616723832374603960763617</v>
      </c>
      <c r="N40" s="445">
        <v>22.196747533978241412207440650</v>
      </c>
      <c r="O40" s="445">
        <v>9.918532860844282288070278100</v>
      </c>
      <c r="P40" s="445">
        <v>5.514719884221024952743247800</v>
      </c>
      <c r="Q40" s="445">
        <v>15.846184928284019407055382750</v>
      </c>
      <c r="R40" s="445">
        <v>74.815698640661308105218051140</v>
      </c>
      <c r="S40" s="445">
        <v>83.41013824888831858604570081</v>
      </c>
      <c r="T40" s="445">
        <v>100.69432465075138832643479871</v>
      </c>
      <c r="U40" s="445">
        <v>52.972164412123090997490904650</v>
      </c>
      <c r="V40" s="658">
        <v>60.802540150009514022152987790</v>
      </c>
      <c r="W40" s="445">
        <v>76.573241671031967094898518110</v>
      </c>
      <c r="X40" s="446">
        <v>39.488857721703694218030476370</v>
      </c>
      <c r="Y40" s="445">
        <v>38.777009242806410496005686380</v>
      </c>
      <c r="Z40" s="445">
        <v>65.568397447000904026515682890</v>
      </c>
      <c r="AA40" s="445">
        <v>84.20150578437963421989806183</v>
      </c>
      <c r="AB40" s="445">
        <v>84.97652582163214970574622954</v>
      </c>
      <c r="AC40" s="445">
        <v>158.58223815202294595139418592</v>
      </c>
      <c r="AD40" s="447">
        <v>111.78542262142438414542750595</v>
      </c>
      <c r="AE40" s="448"/>
      <c r="AF40" s="444">
        <v>84.48398833542376890475442575</v>
      </c>
      <c r="AG40" s="445">
        <v>65.216840245074928093457940080</v>
      </c>
      <c r="AH40" s="449">
        <v>80.05349163385500353300844155</v>
      </c>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row>
    <row r="41" ht="14.25" customHeight="1">
      <c r="A41" s="24"/>
      <c r="B41" s="48" t="s">
        <v>147</v>
      </c>
      <c r="C41" s="329">
        <v>57.8284815106548736483593900</v>
      </c>
      <c r="D41" s="330">
        <v>38.107313210528453372930270050</v>
      </c>
      <c r="E41" s="330">
        <v>44.618316105431097434274805660</v>
      </c>
      <c r="F41" s="330">
        <v>54.411193159748828192677436560</v>
      </c>
      <c r="G41" s="330">
        <v>49.177834999316172994443691310</v>
      </c>
      <c r="H41" s="330">
        <v>69.775389697935042610836716040</v>
      </c>
      <c r="I41" s="330">
        <v>69.608999014305542535585385440</v>
      </c>
      <c r="J41" s="330">
        <v>33.954120690557382198801327530</v>
      </c>
      <c r="K41" s="330">
        <v>36.593270332736954619230159870</v>
      </c>
      <c r="L41" s="330">
        <v>81.77903480608713708379252295</v>
      </c>
      <c r="M41" s="330">
        <v>74.981531642455459772815705640</v>
      </c>
      <c r="N41" s="330">
        <v>17.625164209612013736476033770</v>
      </c>
      <c r="O41" s="330">
        <v>10.718660677827006373048157130</v>
      </c>
      <c r="P41" s="330">
        <v>6.0215053763416774193548396800</v>
      </c>
      <c r="Q41" s="330">
        <v>13.424468922106529511523479040</v>
      </c>
      <c r="R41" s="330">
        <v>66.894668693325080768218434810</v>
      </c>
      <c r="S41" s="330">
        <v>76.315928409252782846829650420</v>
      </c>
      <c r="T41" s="330">
        <v>91.13672190399271232484805123</v>
      </c>
      <c r="U41" s="330">
        <v>37.436332767423262443034593020</v>
      </c>
      <c r="V41" s="661">
        <v>55.760517126739745747224496970</v>
      </c>
      <c r="W41" s="330">
        <v>66.916344223969628685340142280</v>
      </c>
      <c r="X41" s="331">
        <v>30.369211699102001994431148240</v>
      </c>
      <c r="Y41" s="330">
        <v>26.580355851276187095347116730</v>
      </c>
      <c r="Z41" s="330">
        <v>42.434934017599768408112003940</v>
      </c>
      <c r="AA41" s="330">
        <v>52.412317739100063282315474690</v>
      </c>
      <c r="AB41" s="330">
        <v>48.837209302302866414277998660</v>
      </c>
      <c r="AC41" s="330">
        <v>99.60781092787880968046343836</v>
      </c>
      <c r="AD41" s="338">
        <v>89.93325917689983123010242758</v>
      </c>
      <c r="AE41" s="88"/>
      <c r="AF41" s="329">
        <v>56.728541400441577184871498120</v>
      </c>
      <c r="AG41" s="330">
        <v>52.793109770944676873268107780</v>
      </c>
      <c r="AH41" s="332">
        <v>57.761988107490615780799534190</v>
      </c>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row>
    <row r="42" ht="12" customHeight="1">
      <c r="B42" s="4"/>
      <c r="X42" s="27"/>
      <c r="AD42" s="28"/>
      <c r="AF42" s="43"/>
      <c r="AG42" s="43"/>
      <c r="AH42" s="43"/>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8">
      <c r="B43" s="29"/>
      <c r="X43" s="27"/>
      <c r="AD43" s="28"/>
      <c r="AF43" s="43"/>
      <c r="AG43" s="43"/>
      <c r="AH43" s="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s="41" customFormat="1" ht="18">
      <c r="B44" s="417" t="s">
        <v>77</v>
      </c>
      <c r="C44" s="309" t="s">
        <v>148</v>
      </c>
      <c r="D44" s="310"/>
      <c r="E44" s="310"/>
      <c r="F44" s="310"/>
      <c r="G44" s="310"/>
      <c r="H44" s="310"/>
      <c r="I44" s="310"/>
      <c r="J44" s="310"/>
      <c r="K44" s="310"/>
      <c r="L44" s="310"/>
      <c r="M44" s="310"/>
      <c r="N44" s="310"/>
      <c r="O44" s="310"/>
      <c r="P44" s="310"/>
      <c r="Q44" s="310"/>
      <c r="R44" s="310"/>
      <c r="S44" s="311"/>
      <c r="T44" s="311"/>
      <c r="U44" s="311"/>
      <c r="V44" s="656" t="s">
        <v>145</v>
      </c>
      <c r="W44" s="311"/>
      <c r="X44" s="312"/>
      <c r="Y44" s="311"/>
      <c r="Z44" s="311"/>
      <c r="AA44" s="311"/>
      <c r="AB44" s="311"/>
      <c r="AC44" s="311"/>
      <c r="AD44" s="336"/>
      <c r="AE44" s="25"/>
      <c r="AF44" s="316" t="s">
        <v>58</v>
      </c>
      <c r="AG44" s="317" t="s">
        <v>59</v>
      </c>
      <c r="AH44" s="318" t="s">
        <v>59</v>
      </c>
      <c r="AI44" s="25"/>
      <c r="AJ44" s="255"/>
      <c r="AK44" s="255"/>
      <c r="AL44" s="255"/>
      <c r="AM44" s="255"/>
      <c r="AN44" s="263"/>
      <c r="AO44" s="263"/>
      <c r="AP44" s="263"/>
      <c r="AQ44" s="263"/>
      <c r="AR44" s="263"/>
      <c r="AS44" s="263"/>
      <c r="AT44" s="263"/>
      <c r="AU44" s="263"/>
      <c r="AV44" s="263"/>
      <c r="AW44" s="263"/>
      <c r="AX44" s="263"/>
      <c r="AY44" s="263"/>
      <c r="AZ44" s="263"/>
      <c r="BA44" s="263"/>
      <c r="BB44" s="263"/>
      <c r="BC44" s="263"/>
      <c r="BD44" s="263"/>
      <c r="BE44" s="263"/>
      <c r="BF44" s="263"/>
      <c r="BG44" s="263"/>
      <c r="BH44" s="263"/>
      <c r="BI44" s="263"/>
      <c r="BJ44" s="263"/>
      <c r="BK44" s="263"/>
    </row>
    <row r="45" s="42" customFormat="1">
      <c r="C45" s="322">
        <v>13</v>
      </c>
      <c r="D45" s="42">
        <v>14</v>
      </c>
      <c r="E45" s="42">
        <v>15</v>
      </c>
      <c r="F45" s="42">
        <v>16</v>
      </c>
      <c r="G45" s="42">
        <v>17</v>
      </c>
      <c r="H45" s="42">
        <v>18</v>
      </c>
      <c r="I45" s="42">
        <v>19</v>
      </c>
      <c r="J45" s="42">
        <v>20</v>
      </c>
      <c r="K45" s="42">
        <v>21</v>
      </c>
      <c r="L45" s="42">
        <v>22</v>
      </c>
      <c r="M45" s="42">
        <v>23</v>
      </c>
      <c r="N45" s="42">
        <v>24</v>
      </c>
      <c r="O45" s="42">
        <v>25</v>
      </c>
      <c r="P45" s="42">
        <v>26</v>
      </c>
      <c r="Q45" s="42">
        <v>27</v>
      </c>
      <c r="R45" s="42">
        <v>28</v>
      </c>
      <c r="S45" s="42">
        <v>29</v>
      </c>
      <c r="T45" s="42">
        <v>30</v>
      </c>
      <c r="U45" s="42">
        <v>31</v>
      </c>
      <c r="V45" s="657">
        <v>1</v>
      </c>
      <c r="W45" s="42">
        <v>2</v>
      </c>
      <c r="X45" s="323">
        <v>3</v>
      </c>
      <c r="Y45" s="42">
        <v>4</v>
      </c>
      <c r="Z45" s="42">
        <v>5</v>
      </c>
      <c r="AA45" s="42">
        <v>6</v>
      </c>
      <c r="AB45" s="42">
        <v>7</v>
      </c>
      <c r="AC45" s="42">
        <v>8</v>
      </c>
      <c r="AD45" s="337">
        <v>9</v>
      </c>
      <c r="AE45" s="25"/>
      <c r="AF45" s="324" t="s">
        <v>60</v>
      </c>
      <c r="AG45" s="325">
        <v>28</v>
      </c>
      <c r="AH45" s="326" t="s">
        <v>31</v>
      </c>
      <c r="AI45" s="25"/>
      <c r="AJ45" s="255"/>
      <c r="AK45" s="255"/>
      <c r="AL45" s="255"/>
      <c r="AM45" s="255"/>
      <c r="AN45" s="264"/>
      <c r="AO45" s="264"/>
      <c r="AP45" s="264"/>
      <c r="AQ45" s="264"/>
      <c r="AR45" s="264"/>
      <c r="AS45" s="264"/>
      <c r="AT45" s="264"/>
      <c r="AU45" s="264"/>
      <c r="AV45" s="264"/>
      <c r="AW45" s="264"/>
      <c r="AX45" s="264"/>
      <c r="AY45" s="264"/>
      <c r="AZ45" s="264"/>
      <c r="BA45" s="264"/>
      <c r="BB45" s="264"/>
      <c r="BC45" s="264"/>
      <c r="BD45" s="264"/>
      <c r="BE45" s="264"/>
      <c r="BF45" s="264"/>
      <c r="BG45" s="264"/>
      <c r="BH45" s="264"/>
      <c r="BI45" s="264"/>
      <c r="BJ45" s="264"/>
      <c r="BK45" s="264"/>
    </row>
    <row r="46" ht="14.25" customHeight="1">
      <c r="A46" s="1"/>
      <c r="B46" s="46" t="s">
        <v>26</v>
      </c>
      <c r="C46" s="444">
        <v>25.331621737610959818653756920</v>
      </c>
      <c r="D46" s="445">
        <v>-2.5915549330697239420828259100</v>
      </c>
      <c r="E46" s="445">
        <v>-1.7809776431943047049403774600</v>
      </c>
      <c r="F46" s="445">
        <v>33.526685433048195619597454120</v>
      </c>
      <c r="G46" s="445">
        <v>29.559663865610342550974803740</v>
      </c>
      <c r="H46" s="445">
        <v>726.96475418836048879511213353</v>
      </c>
      <c r="I46" s="445">
        <v>495.38988860479958998950040940</v>
      </c>
      <c r="J46" s="445">
        <v>-66.726135197293958553057140600</v>
      </c>
      <c r="K46" s="445">
        <v>-62.047120148627636036138585500</v>
      </c>
      <c r="L46" s="445">
        <v>-18.406797559430830413563529640</v>
      </c>
      <c r="M46" s="445">
        <v>-29.170295305153337206124845640</v>
      </c>
      <c r="N46" s="445">
        <v>-83.62595171473763702009691636</v>
      </c>
      <c r="O46" s="445">
        <v>-85.36017407460564441290195820</v>
      </c>
      <c r="P46" s="445">
        <v>-88.87915603458406144633980172</v>
      </c>
      <c r="Q46" s="445">
        <v>-70.879647915150219232571837110</v>
      </c>
      <c r="R46" s="445">
        <v>15.943665572799684499732646540</v>
      </c>
      <c r="S46" s="445">
        <v>54.147465437883957202586928290</v>
      </c>
      <c r="T46" s="445">
        <v>157.86860198605070174450459680</v>
      </c>
      <c r="U46" s="445">
        <v>-3.9489831695296422383854470900</v>
      </c>
      <c r="V46" s="658">
        <v>40.691140935573174138042651030</v>
      </c>
      <c r="W46" s="445">
        <v>55.737704917814398930838022730</v>
      </c>
      <c r="X46" s="446">
        <v>-28.894111502771514711125824370</v>
      </c>
      <c r="Y46" s="445">
        <v>0.6916814591487459366463163600</v>
      </c>
      <c r="Z46" s="445">
        <v>18.029029793748992315304787890</v>
      </c>
      <c r="AA46" s="445">
        <v>61.566912166553599016706444370</v>
      </c>
      <c r="AB46" s="445">
        <v>62.376875632956921926646677500</v>
      </c>
      <c r="AC46" s="445">
        <v>90.49049049020386315347542875</v>
      </c>
      <c r="AD46" s="447">
        <v>5.9116617289047838823154432700</v>
      </c>
      <c r="AE46" s="448"/>
      <c r="AF46" s="444">
        <v>33.450314772993717101642640370</v>
      </c>
      <c r="AG46" s="445">
        <v>1.0399307682302334725352403800</v>
      </c>
      <c r="AH46" s="449">
        <v>49.522039734541125586470928580</v>
      </c>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row>
    <row r="47" ht="14.25" customHeight="1">
      <c r="A47" s="24"/>
      <c r="B47" s="48" t="s">
        <v>147</v>
      </c>
      <c r="C47" s="329">
        <v>31.350386674779572591250698330</v>
      </c>
      <c r="D47" s="330">
        <v>-18.002194264091762687849922230</v>
      </c>
      <c r="E47" s="330">
        <v>9.861744506914535674566859920</v>
      </c>
      <c r="F47" s="330">
        <v>34.150637638354921677436619700</v>
      </c>
      <c r="G47" s="330">
        <v>24.864864865098073012044446970</v>
      </c>
      <c r="H47" s="330">
        <v>676.92760447526191112605518612</v>
      </c>
      <c r="I47" s="330">
        <v>432.76612742228772820963177562</v>
      </c>
      <c r="J47" s="330">
        <v>-60.670232725244648564622111660</v>
      </c>
      <c r="K47" s="330">
        <v>-58.741887844240236917746194160</v>
      </c>
      <c r="L47" s="330">
        <v>-4.3929370721937740679027351700</v>
      </c>
      <c r="M47" s="330">
        <v>-21.216883700036666328740951490</v>
      </c>
      <c r="N47" s="330">
        <v>-82.82629829641226180024644356</v>
      </c>
      <c r="O47" s="330">
        <v>-84.20261291830322919523935961</v>
      </c>
      <c r="P47" s="330">
        <v>-88.32565284178177873914542584</v>
      </c>
      <c r="Q47" s="330">
        <v>-68.476316037314095086009292440</v>
      </c>
      <c r="R47" s="330">
        <v>20.592429957371144572632875150</v>
      </c>
      <c r="S47" s="330">
        <v>57.408091793848773673336234600</v>
      </c>
      <c r="T47" s="330">
        <v>156.62353141523861437315910770</v>
      </c>
      <c r="U47" s="330">
        <v>-11.922196796292556520499454730</v>
      </c>
      <c r="V47" s="661">
        <v>41.780191458036081490090635580</v>
      </c>
      <c r="W47" s="330">
        <v>63.224289074156222441750211620</v>
      </c>
      <c r="X47" s="331">
        <v>-29.378600924741010009419617840</v>
      </c>
      <c r="Y47" s="330">
        <v>5.3088384202300387238619603500</v>
      </c>
      <c r="Z47" s="330">
        <v>19.147727272824415980377241850</v>
      </c>
      <c r="AA47" s="330">
        <v>16.149515386209224499651279050</v>
      </c>
      <c r="AB47" s="330">
        <v>5.6556576118916048853525994600</v>
      </c>
      <c r="AC47" s="330">
        <v>49.878713850494451849055955440</v>
      </c>
      <c r="AD47" s="338">
        <v>8.466617755013393686728571280</v>
      </c>
      <c r="AE47" s="88"/>
      <c r="AF47" s="329">
        <v>16.651427741111529825963886420</v>
      </c>
      <c r="AG47" s="330">
        <v>0.4210758355709167716705945100</v>
      </c>
      <c r="AH47" s="332">
        <v>36.439288731943883121178346650</v>
      </c>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row>
    <row r="48" ht="14.25" customHeight="1">
      <c r="A48" s="24"/>
      <c r="B48" s="53"/>
      <c r="C48" s="472"/>
      <c r="D48" s="472"/>
      <c r="E48" s="472"/>
      <c r="F48" s="472"/>
      <c r="G48" s="472"/>
      <c r="H48" s="472"/>
      <c r="I48" s="472"/>
      <c r="J48" s="472"/>
      <c r="K48" s="472"/>
      <c r="L48" s="472"/>
      <c r="M48" s="472"/>
      <c r="N48" s="472"/>
      <c r="O48" s="472"/>
      <c r="P48" s="472"/>
      <c r="Q48" s="472"/>
      <c r="R48" s="472"/>
      <c r="S48" s="472"/>
      <c r="T48" s="472"/>
      <c r="U48" s="472"/>
      <c r="V48" s="472"/>
      <c r="W48" s="472"/>
      <c r="X48" s="473"/>
      <c r="Y48" s="472"/>
      <c r="Z48" s="472"/>
      <c r="AA48" s="472"/>
      <c r="AB48" s="472"/>
      <c r="AC48" s="472"/>
      <c r="AD48" s="474"/>
      <c r="AE48" s="475"/>
      <c r="AF48" s="472"/>
      <c r="AG48" s="472"/>
      <c r="AH48" s="472"/>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8">
      <c r="B49" s="29"/>
      <c r="X49" s="27"/>
      <c r="AD49" s="28"/>
      <c r="AF49" s="43"/>
      <c r="AG49" s="43"/>
      <c r="AH49" s="43"/>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s="41" customFormat="1" ht="18">
      <c r="B50" s="417" t="s">
        <v>55</v>
      </c>
      <c r="C50" s="309" t="s">
        <v>148</v>
      </c>
      <c r="D50" s="310"/>
      <c r="E50" s="310"/>
      <c r="F50" s="310"/>
      <c r="G50" s="310"/>
      <c r="H50" s="310"/>
      <c r="I50" s="310"/>
      <c r="J50" s="310"/>
      <c r="K50" s="310"/>
      <c r="L50" s="310"/>
      <c r="M50" s="310"/>
      <c r="N50" s="310"/>
      <c r="O50" s="310"/>
      <c r="P50" s="310"/>
      <c r="Q50" s="310"/>
      <c r="R50" s="310"/>
      <c r="S50" s="311"/>
      <c r="T50" s="311"/>
      <c r="U50" s="311"/>
      <c r="V50" s="656" t="s">
        <v>145</v>
      </c>
      <c r="W50" s="311"/>
      <c r="X50" s="312"/>
      <c r="Y50" s="311"/>
      <c r="Z50" s="311"/>
      <c r="AA50" s="311"/>
      <c r="AB50" s="311"/>
      <c r="AC50" s="311"/>
      <c r="AD50" s="336"/>
      <c r="AE50" s="25"/>
      <c r="AF50" s="316" t="s">
        <v>58</v>
      </c>
      <c r="AG50" s="317" t="s">
        <v>59</v>
      </c>
      <c r="AH50" s="318" t="s">
        <v>59</v>
      </c>
      <c r="AI50" s="25"/>
      <c r="AJ50" s="255"/>
      <c r="AK50" s="255"/>
      <c r="AL50" s="255"/>
      <c r="AM50" s="255"/>
      <c r="AN50" s="263"/>
      <c r="AO50" s="263"/>
      <c r="AP50" s="263"/>
      <c r="AQ50" s="263"/>
      <c r="AR50" s="263"/>
      <c r="AS50" s="263"/>
      <c r="AT50" s="263"/>
      <c r="AU50" s="263"/>
      <c r="AV50" s="263"/>
      <c r="AW50" s="263"/>
      <c r="AX50" s="263"/>
      <c r="AY50" s="263"/>
      <c r="AZ50" s="263"/>
      <c r="BA50" s="263"/>
      <c r="BB50" s="263"/>
      <c r="BC50" s="263"/>
      <c r="BD50" s="263"/>
      <c r="BE50" s="263"/>
      <c r="BF50" s="263"/>
      <c r="BG50" s="263"/>
      <c r="BH50" s="263"/>
      <c r="BI50" s="263"/>
      <c r="BJ50" s="263"/>
      <c r="BK50" s="263"/>
    </row>
    <row r="51" s="42" customFormat="1">
      <c r="C51" s="322">
        <v>13</v>
      </c>
      <c r="D51" s="42">
        <v>14</v>
      </c>
      <c r="E51" s="42">
        <v>15</v>
      </c>
      <c r="F51" s="42">
        <v>16</v>
      </c>
      <c r="G51" s="42">
        <v>17</v>
      </c>
      <c r="H51" s="42">
        <v>18</v>
      </c>
      <c r="I51" s="42">
        <v>19</v>
      </c>
      <c r="J51" s="42">
        <v>20</v>
      </c>
      <c r="K51" s="42">
        <v>21</v>
      </c>
      <c r="L51" s="42">
        <v>22</v>
      </c>
      <c r="M51" s="42">
        <v>23</v>
      </c>
      <c r="N51" s="42">
        <v>24</v>
      </c>
      <c r="O51" s="42">
        <v>25</v>
      </c>
      <c r="P51" s="42">
        <v>26</v>
      </c>
      <c r="Q51" s="42">
        <v>27</v>
      </c>
      <c r="R51" s="42">
        <v>28</v>
      </c>
      <c r="S51" s="42">
        <v>29</v>
      </c>
      <c r="T51" s="42">
        <v>30</v>
      </c>
      <c r="U51" s="42">
        <v>31</v>
      </c>
      <c r="V51" s="657">
        <v>1</v>
      </c>
      <c r="W51" s="42">
        <v>2</v>
      </c>
      <c r="X51" s="323">
        <v>3</v>
      </c>
      <c r="Y51" s="42">
        <v>4</v>
      </c>
      <c r="Z51" s="42">
        <v>5</v>
      </c>
      <c r="AA51" s="42">
        <v>6</v>
      </c>
      <c r="AB51" s="42">
        <v>7</v>
      </c>
      <c r="AC51" s="42">
        <v>8</v>
      </c>
      <c r="AD51" s="337">
        <v>9</v>
      </c>
      <c r="AE51" s="25"/>
      <c r="AF51" s="324" t="s">
        <v>60</v>
      </c>
      <c r="AG51" s="325">
        <v>28</v>
      </c>
      <c r="AH51" s="326" t="s">
        <v>31</v>
      </c>
      <c r="AI51" s="25"/>
      <c r="AJ51" s="255"/>
      <c r="AK51" s="255"/>
      <c r="AL51" s="255"/>
      <c r="AM51" s="255"/>
      <c r="AN51" s="264"/>
      <c r="AO51" s="264"/>
      <c r="AP51" s="264"/>
      <c r="AQ51" s="264"/>
      <c r="AR51" s="264"/>
      <c r="AS51" s="264"/>
      <c r="AT51" s="264"/>
      <c r="AU51" s="264"/>
      <c r="AV51" s="264"/>
      <c r="AW51" s="264"/>
      <c r="AX51" s="264"/>
      <c r="AY51" s="264"/>
      <c r="AZ51" s="264"/>
      <c r="BA51" s="264"/>
      <c r="BB51" s="264"/>
      <c r="BC51" s="264"/>
      <c r="BD51" s="264"/>
      <c r="BE51" s="264"/>
      <c r="BF51" s="264"/>
      <c r="BG51" s="264"/>
      <c r="BH51" s="264"/>
      <c r="BI51" s="264"/>
      <c r="BJ51" s="264"/>
      <c r="BK51" s="264"/>
    </row>
    <row r="52" ht="14.25" customHeight="1">
      <c r="A52" s="1"/>
      <c r="B52" s="46" t="s">
        <v>56</v>
      </c>
      <c r="C52" s="455" t="s">
        <v>149</v>
      </c>
      <c r="D52" s="456" t="s">
        <v>149</v>
      </c>
      <c r="E52" s="456" t="s">
        <v>149</v>
      </c>
      <c r="F52" s="456" t="s">
        <v>149</v>
      </c>
      <c r="G52" s="456" t="s">
        <v>153</v>
      </c>
      <c r="H52" s="456" t="s">
        <v>149</v>
      </c>
      <c r="I52" s="456" t="s">
        <v>156</v>
      </c>
      <c r="J52" s="456" t="s">
        <v>149</v>
      </c>
      <c r="K52" s="456" t="s">
        <v>149</v>
      </c>
      <c r="L52" s="456" t="s">
        <v>152</v>
      </c>
      <c r="M52" s="456" t="s">
        <v>152</v>
      </c>
      <c r="N52" s="456" t="s">
        <v>153</v>
      </c>
      <c r="O52" s="456" t="s">
        <v>153</v>
      </c>
      <c r="P52" s="456" t="s">
        <v>153</v>
      </c>
      <c r="Q52" s="456" t="s">
        <v>153</v>
      </c>
      <c r="R52" s="456" t="s">
        <v>152</v>
      </c>
      <c r="S52" s="456" t="s">
        <v>152</v>
      </c>
      <c r="T52" s="456" t="s">
        <v>152</v>
      </c>
      <c r="U52" s="456" t="s">
        <v>153</v>
      </c>
      <c r="V52" s="662" t="s">
        <v>149</v>
      </c>
      <c r="W52" s="456" t="s">
        <v>152</v>
      </c>
      <c r="X52" s="457" t="s">
        <v>153</v>
      </c>
      <c r="Y52" s="456" t="s">
        <v>153</v>
      </c>
      <c r="Z52" s="456" t="s">
        <v>156</v>
      </c>
      <c r="AA52" s="456" t="s">
        <v>151</v>
      </c>
      <c r="AB52" s="456" t="s">
        <v>152</v>
      </c>
      <c r="AC52" s="456" t="s">
        <v>154</v>
      </c>
      <c r="AD52" s="458" t="s">
        <v>150</v>
      </c>
      <c r="AE52" s="459"/>
      <c r="AF52" s="455" t="s">
        <v>151</v>
      </c>
      <c r="AG52" s="456" t="s">
        <v>149</v>
      </c>
      <c r="AH52" s="460" t="s">
        <v>151</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ht="14.25" customHeight="1" thickBot="1">
      <c r="B53" s="48" t="s">
        <v>76</v>
      </c>
      <c r="C53" s="333" t="s">
        <v>150</v>
      </c>
      <c r="D53" s="334" t="s">
        <v>151</v>
      </c>
      <c r="E53" s="334" t="s">
        <v>152</v>
      </c>
      <c r="F53" s="334" t="s">
        <v>150</v>
      </c>
      <c r="G53" s="334" t="s">
        <v>154</v>
      </c>
      <c r="H53" s="334" t="s">
        <v>155</v>
      </c>
      <c r="I53" s="334" t="s">
        <v>155</v>
      </c>
      <c r="J53" s="334" t="s">
        <v>153</v>
      </c>
      <c r="K53" s="334" t="s">
        <v>153</v>
      </c>
      <c r="L53" s="334" t="s">
        <v>149</v>
      </c>
      <c r="M53" s="334" t="s">
        <v>153</v>
      </c>
      <c r="N53" s="334" t="s">
        <v>153</v>
      </c>
      <c r="O53" s="334" t="s">
        <v>153</v>
      </c>
      <c r="P53" s="334" t="s">
        <v>153</v>
      </c>
      <c r="Q53" s="334" t="s">
        <v>153</v>
      </c>
      <c r="R53" s="334" t="s">
        <v>151</v>
      </c>
      <c r="S53" s="334" t="s">
        <v>154</v>
      </c>
      <c r="T53" s="334" t="s">
        <v>155</v>
      </c>
      <c r="U53" s="334" t="s">
        <v>152</v>
      </c>
      <c r="V53" s="663" t="s">
        <v>154</v>
      </c>
      <c r="W53" s="334" t="s">
        <v>155</v>
      </c>
      <c r="X53" s="60" t="s">
        <v>156</v>
      </c>
      <c r="Y53" s="61" t="s">
        <v>152</v>
      </c>
      <c r="Z53" s="61" t="s">
        <v>150</v>
      </c>
      <c r="AA53" s="61" t="s">
        <v>154</v>
      </c>
      <c r="AB53" s="61" t="s">
        <v>150</v>
      </c>
      <c r="AC53" s="61" t="s">
        <v>155</v>
      </c>
      <c r="AD53" s="62" t="s">
        <v>150</v>
      </c>
      <c r="AE53" s="59"/>
      <c r="AF53" s="333" t="s">
        <v>150</v>
      </c>
      <c r="AG53" s="334" t="s">
        <v>151</v>
      </c>
      <c r="AH53" s="335" t="s">
        <v>155</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9.95" customHeight="1">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9.95" customHeight="1">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24.95" customHeight="1">
      <c r="B56" s="611" t="s">
        <v>114</v>
      </c>
      <c r="C56" s="611"/>
      <c r="D56" s="611"/>
      <c r="E56" s="611"/>
      <c r="F56" s="611"/>
      <c r="G56" s="611"/>
      <c r="H56" s="611"/>
      <c r="I56" s="611"/>
      <c r="J56" s="611"/>
      <c r="K56" s="611"/>
      <c r="L56" s="611"/>
      <c r="M56" s="611"/>
      <c r="N56" s="611"/>
      <c r="O56" s="611"/>
      <c r="P56" s="611"/>
      <c r="Q56" s="611"/>
      <c r="R56" s="611"/>
      <c r="S56" s="611"/>
      <c r="T56" s="611"/>
      <c r="U56" s="611"/>
      <c r="V56" s="611"/>
      <c r="W56" s="611"/>
      <c r="X56" s="611"/>
      <c r="Y56" s="611"/>
      <c r="Z56" s="611"/>
      <c r="AA56" s="611"/>
      <c r="AB56" s="611"/>
      <c r="AC56" s="611"/>
      <c r="AD56" s="611"/>
      <c r="AE56" s="611"/>
      <c r="AF56" s="611"/>
      <c r="AG56" s="611"/>
      <c r="AH56" s="61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B57" s="235"/>
      <c r="AF57" s="80"/>
      <c r="AG57" s="242"/>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9.95" customHeight="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s="25" customFormat="1">
      <c r="A65" s="255"/>
      <c r="B65" s="255"/>
      <c r="C65" s="255"/>
      <c r="D65" s="255"/>
      <c r="E65" s="255"/>
      <c r="F65" s="255"/>
      <c r="G65" s="255"/>
      <c r="H65" s="255"/>
      <c r="I65" s="255"/>
      <c r="J65" s="255"/>
      <c r="K65" s="255"/>
      <c r="L65" s="255"/>
      <c r="M65" s="255"/>
      <c r="N65" s="255"/>
      <c r="O65" s="255"/>
      <c r="P65" s="255"/>
      <c r="Q65" s="255"/>
      <c r="R65" s="255"/>
      <c r="S65" s="255"/>
      <c r="T65" s="255"/>
      <c r="U65" s="255"/>
      <c r="V65" s="255"/>
      <c r="W65" s="255"/>
      <c r="X65" s="255"/>
      <c r="Y65" s="255"/>
      <c r="Z65" s="255"/>
      <c r="AA65" s="255"/>
      <c r="AB65" s="255"/>
      <c r="AC65" s="255"/>
      <c r="AD65" s="255"/>
      <c r="AE65" s="255"/>
      <c r="AF65" s="255"/>
      <c r="AG65" s="255"/>
      <c r="AH65" s="255"/>
      <c r="AI65" s="255"/>
      <c r="AJ65" s="255"/>
      <c r="AK65" s="255"/>
      <c r="AL65" s="255"/>
      <c r="AM65" s="255"/>
      <c r="AN65" s="255"/>
      <c r="AO65" s="255"/>
      <c r="AP65" s="255"/>
      <c r="AQ65" s="255"/>
      <c r="AR65" s="255"/>
      <c r="AS65" s="255"/>
      <c r="AT65" s="255"/>
      <c r="AU65" s="255"/>
      <c r="AV65" s="255"/>
      <c r="AW65" s="255"/>
      <c r="AX65" s="255"/>
      <c r="AY65" s="255"/>
      <c r="AZ65" s="255"/>
      <c r="BA65" s="255"/>
      <c r="BB65" s="255"/>
      <c r="BC65" s="255"/>
      <c r="BD65" s="255"/>
      <c r="BE65" s="255"/>
      <c r="BF65" s="255"/>
      <c r="BG65" s="255"/>
      <c r="BH65" s="255"/>
      <c r="BI65" s="255"/>
      <c r="BJ65" s="255"/>
      <c r="BK65" s="255"/>
    </row>
    <row r="66" s="25" customFormat="1" ht="10.5" customHeight="1">
      <c r="A66" s="255"/>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55"/>
      <c r="AJ66" s="255"/>
      <c r="AK66" s="255"/>
      <c r="AL66" s="255"/>
      <c r="AM66" s="255"/>
      <c r="AN66" s="255"/>
      <c r="AO66" s="255"/>
      <c r="AP66" s="255"/>
      <c r="AQ66" s="255"/>
      <c r="AR66" s="255"/>
      <c r="AS66" s="255"/>
      <c r="AT66" s="255"/>
      <c r="AU66" s="255"/>
      <c r="AV66" s="255"/>
      <c r="AW66" s="255"/>
      <c r="AX66" s="255"/>
      <c r="AY66" s="255"/>
      <c r="AZ66" s="255"/>
      <c r="BA66" s="255"/>
      <c r="BB66" s="255"/>
      <c r="BC66" s="255"/>
      <c r="BD66" s="255"/>
      <c r="BE66" s="255"/>
      <c r="BF66" s="255"/>
      <c r="BG66" s="255"/>
      <c r="BH66" s="255"/>
      <c r="BI66" s="255"/>
      <c r="BJ66" s="255"/>
      <c r="BK66" s="255"/>
    </row>
    <row r="67" s="25" customFormat="1">
      <c r="A67" s="255"/>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55"/>
      <c r="AJ67" s="255"/>
      <c r="AK67" s="255"/>
      <c r="AL67" s="255"/>
      <c r="AM67" s="255"/>
      <c r="AN67" s="255"/>
      <c r="AO67" s="255"/>
      <c r="AP67" s="255"/>
      <c r="AQ67" s="255"/>
      <c r="AR67" s="255"/>
      <c r="AS67" s="255"/>
      <c r="AT67" s="255"/>
      <c r="AU67" s="255"/>
      <c r="AV67" s="255"/>
      <c r="AW67" s="255"/>
      <c r="AX67" s="255"/>
      <c r="AY67" s="255"/>
      <c r="AZ67" s="255"/>
      <c r="BA67" s="255"/>
      <c r="BB67" s="255"/>
      <c r="BC67" s="255"/>
      <c r="BD67" s="255"/>
      <c r="BE67" s="255"/>
      <c r="BF67" s="255"/>
      <c r="BG67" s="255"/>
      <c r="BH67" s="255"/>
      <c r="BI67" s="255"/>
      <c r="BJ67" s="255"/>
      <c r="BK67" s="255"/>
    </row>
    <row r="68" s="84" customFormat="1">
      <c r="A68" s="257"/>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7"/>
      <c r="AJ68" s="257"/>
      <c r="AK68" s="257"/>
      <c r="AL68" s="257"/>
      <c r="AM68" s="257"/>
      <c r="AN68" s="257"/>
      <c r="AO68" s="257"/>
      <c r="AP68" s="257"/>
      <c r="AQ68" s="257"/>
      <c r="AR68" s="257"/>
      <c r="AS68" s="257"/>
      <c r="AT68" s="257"/>
      <c r="AU68" s="257"/>
      <c r="AV68" s="257"/>
      <c r="AW68" s="257"/>
      <c r="AX68" s="257"/>
      <c r="AY68" s="257"/>
      <c r="AZ68" s="257"/>
      <c r="BA68" s="257"/>
      <c r="BB68" s="257"/>
      <c r="BC68" s="257"/>
      <c r="BD68" s="257"/>
      <c r="BE68" s="257"/>
      <c r="BF68" s="257"/>
      <c r="BG68" s="257"/>
      <c r="BH68" s="257"/>
      <c r="BI68" s="257"/>
      <c r="BJ68" s="257"/>
      <c r="BK68" s="257"/>
    </row>
    <row r="69" s="84" customFormat="1">
      <c r="A69" s="257"/>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7"/>
      <c r="AJ69" s="257"/>
      <c r="AK69" s="257"/>
      <c r="AL69" s="257"/>
      <c r="AM69" s="257"/>
      <c r="AN69" s="257"/>
      <c r="AO69" s="257"/>
      <c r="AP69" s="257"/>
      <c r="AQ69" s="257"/>
      <c r="AR69" s="257"/>
      <c r="AS69" s="257"/>
      <c r="AT69" s="257"/>
      <c r="AU69" s="257"/>
      <c r="AV69" s="257"/>
      <c r="AW69" s="257"/>
      <c r="AX69" s="257"/>
      <c r="AY69" s="257"/>
      <c r="AZ69" s="257"/>
      <c r="BA69" s="257"/>
      <c r="BB69" s="257"/>
      <c r="BC69" s="257"/>
      <c r="BD69" s="257"/>
      <c r="BE69" s="257"/>
      <c r="BF69" s="257"/>
      <c r="BG69" s="257"/>
      <c r="BH69" s="257"/>
      <c r="BI69" s="257"/>
      <c r="BJ69" s="257"/>
      <c r="BK69" s="257"/>
    </row>
    <row r="70" s="84" customFormat="1">
      <c r="A70" s="257"/>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7"/>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45801</v>
      </c>
      <c r="C72" s="664">
        <v>45808</v>
      </c>
      <c r="D72" s="664">
        <v>45815</v>
      </c>
      <c r="E72" s="664">
        <v>45822</v>
      </c>
      <c r="F72" s="664">
        <v>45829</v>
      </c>
      <c r="G72" s="664">
        <v>45836</v>
      </c>
      <c r="H72" s="664">
        <v>45843</v>
      </c>
      <c r="I72" s="664">
        <v>45850</v>
      </c>
      <c r="J72" s="664">
        <v>45857</v>
      </c>
      <c r="K72" s="664">
        <v>45864</v>
      </c>
      <c r="L72" s="664">
        <v>45871</v>
      </c>
      <c r="M72" s="664">
        <v>45878</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37.634408602150537634408602150</v>
      </c>
      <c r="C73" s="664">
        <v>39.016897081413210445468509980</v>
      </c>
      <c r="D73" s="664">
        <v>42.242703533026113671274961600</v>
      </c>
      <c r="E73" s="664">
        <v>28.673835125448028673835125450</v>
      </c>
      <c r="F73" s="664">
        <v>45.314900153609831029185867900</v>
      </c>
      <c r="G73" s="664">
        <v>50.768049155145929339477726570</v>
      </c>
      <c r="H73" s="664">
        <v>29.877112135176651305683563750</v>
      </c>
      <c r="I73" s="664">
        <v>39.170506912442396313364055300</v>
      </c>
      <c r="J73" s="664">
        <v>40.629800307219662058371735790</v>
      </c>
      <c r="K73" s="664">
        <v>29.262672811059907834101382490</v>
      </c>
      <c r="L73" s="664">
        <v>43.241167434715821812596006140</v>
      </c>
      <c r="M73" s="664">
        <v>39.708141321044546850998463900</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57.090239410681399631675874770</v>
      </c>
      <c r="C74" s="664">
        <v>49.039726387792686135227571690</v>
      </c>
      <c r="D74" s="664">
        <v>61.444356748224151539068666140</v>
      </c>
      <c r="E74" s="664">
        <v>58.945014469876348329387003420</v>
      </c>
      <c r="F74" s="664">
        <v>63.785845830044725072349381740</v>
      </c>
      <c r="G74" s="664">
        <v>61.70923734425436356572288700</v>
      </c>
      <c r="H74" s="664">
        <v>45.803735858984477769008155750</v>
      </c>
      <c r="I74" s="664">
        <v>62.865035516969218626677190210</v>
      </c>
      <c r="J74" s="664">
        <v>59.155485398579321231254932910</v>
      </c>
      <c r="K74" s="664">
        <v>66.666666666666666666666666670</v>
      </c>
      <c r="L74" s="664">
        <v>61.536437779531702183635885290</v>
      </c>
      <c r="M74" s="664">
        <v>47.000789265982636148382004730</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ht="14.25">
      <c r="A75" s="260" t="s">
        <v>147</v>
      </c>
      <c r="B75" s="664">
        <v>72.432782636864269517330741820</v>
      </c>
      <c r="C75" s="664">
        <v>63.446712018140589569160997730</v>
      </c>
      <c r="D75" s="664">
        <v>78.736637512147716229348882410</v>
      </c>
      <c r="E75" s="664">
        <v>74.408811143505021056041464200</v>
      </c>
      <c r="F75" s="664">
        <v>77.680596047942986718496922580</v>
      </c>
      <c r="G75" s="664">
        <v>75.730482669258179462261094910</v>
      </c>
      <c r="H75" s="664">
        <v>63.122772918691286038224813740</v>
      </c>
      <c r="I75" s="664">
        <v>77.032717849044379656624554580</v>
      </c>
      <c r="J75" s="664">
        <v>74.603174603174603174603174600</v>
      </c>
      <c r="K75" s="664">
        <v>74.201490119857466796242306450</v>
      </c>
      <c r="L75" s="664">
        <v>70.709426627793974732750242950</v>
      </c>
      <c r="M75" s="664">
        <v>69.996760609005506964690638160</v>
      </c>
      <c r="N75" s="664"/>
      <c r="O75" s="664"/>
      <c r="P75" s="664"/>
      <c r="Q75" s="664"/>
      <c r="R75" s="664"/>
      <c r="S75" s="664"/>
      <c r="T75" s="664"/>
      <c r="U75" s="664"/>
      <c r="V75" s="664"/>
      <c r="W75" s="664"/>
      <c r="X75" s="664"/>
      <c r="Y75" s="664"/>
      <c r="Z75" s="664"/>
      <c r="AA75" s="664"/>
      <c r="AB75" s="664"/>
      <c r="AC75" s="664"/>
      <c r="AD75" s="664"/>
      <c r="AE75" s="664"/>
      <c r="AF75" s="664"/>
      <c r="AG75" s="664"/>
      <c r="AH75" s="66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c r="BH75" s="244"/>
      <c r="BI75" s="244"/>
      <c r="BJ75" s="244"/>
      <c r="BK75" s="244"/>
    </row>
    <row r="76">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c r="BH76" s="244"/>
      <c r="BI76" s="244"/>
      <c r="BJ76" s="244"/>
      <c r="BK76" s="244"/>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4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4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6:AH56"/>
  </mergeCells>
  <phoneticPr fontId="0" type="noConversion"/>
  <printOptions horizontalCentered="1" verticalCentered="1"/>
  <pageMargins left="0.25" right="0.25" top="0.25" bottom="0.25" header="0" footer="0"/>
  <pageSetup scale="55" orientation="landscape" r:id="rId1"/>
  <headerFooter alignWithMargins="0">
    <oddHeader/>
    <oddFooter/>
  </headerFooter>
  <drawing r:id="rId55"/>
</worksheet>
</file>

<file path=xl/worksheets/sheet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K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style="1" customWidth="1"/>
    <col min="35" max="35" width="2" style="1" customWidth="1"/>
    <col min="36" max="39" width="9.28515625" style="1" bestFit="1" customWidth="1"/>
  </cols>
  <sheetData>
    <row r="1" ht="36" customHeight="1">
      <c r="A1" s="6"/>
      <c r="B1" s="39" t="s">
        <v>125</v>
      </c>
      <c r="AF1"/>
      <c r="AG1"/>
      <c r="AH1"/>
      <c r="AI1"/>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row>
    <row r="2" ht="17.1" customHeight="1">
      <c r="A2" s="5"/>
      <c r="B2" s="10" t="s">
        <v>141</v>
      </c>
      <c r="AF2"/>
      <c r="AG2" s="216"/>
      <c r="AH2"/>
      <c r="AI2"/>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row>
    <row r="3" ht="17.1" customHeight="1">
      <c r="A3" s="5"/>
      <c r="B3" s="10" t="s">
        <v>142</v>
      </c>
      <c r="AF3"/>
      <c r="AG3"/>
      <c r="AH3"/>
      <c r="AI3"/>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row>
    <row r="4" ht="17.1" customHeight="1">
      <c r="A4" s="5"/>
      <c r="B4" s="4" t="s">
        <v>143</v>
      </c>
      <c r="R4" s="618" t="s">
        <v>146</v>
      </c>
      <c r="S4" s="618"/>
      <c r="T4" s="618"/>
      <c r="U4" s="618"/>
      <c r="V4" s="618"/>
      <c r="W4" s="618"/>
      <c r="X4" s="618"/>
      <c r="Y4" s="618"/>
      <c r="Z4" s="618"/>
      <c r="AA4" s="618"/>
      <c r="AB4" s="618"/>
      <c r="AC4" s="618"/>
      <c r="AD4" s="618"/>
      <c r="AE4" s="618"/>
      <c r="AF4" s="618"/>
      <c r="AG4" s="618"/>
      <c r="AH4"/>
      <c r="AI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row>
    <row r="5" ht="23.25">
      <c r="A5" s="5"/>
      <c r="AF5"/>
      <c r="AG5"/>
      <c r="AH5"/>
      <c r="AI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row>
    <row r="6" ht="23.25">
      <c r="A6" s="5"/>
      <c r="AF6"/>
      <c r="AG6"/>
      <c r="AH6"/>
      <c r="AI6"/>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row>
    <row r="7" ht="23.25">
      <c r="A7" s="5"/>
      <c r="Y7" s="26"/>
      <c r="Z7" s="26"/>
      <c r="AA7" s="26"/>
      <c r="AB7" s="26"/>
      <c r="AC7" s="26"/>
      <c r="AF7"/>
      <c r="AG7"/>
      <c r="AH7"/>
      <c r="AI7"/>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row>
    <row r="8" ht="23.25">
      <c r="A8" s="5"/>
      <c r="AF8"/>
      <c r="AG8"/>
      <c r="AH8"/>
      <c r="AI8"/>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row>
    <row r="9" ht="23.25">
      <c r="A9" s="5"/>
      <c r="AF9"/>
      <c r="AG9"/>
      <c r="AH9"/>
      <c r="AI9"/>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row>
    <row r="10" ht="23.25">
      <c r="A10" s="5"/>
      <c r="AF10"/>
      <c r="AG10"/>
      <c r="AH10"/>
      <c r="AI10"/>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row>
    <row r="11" ht="23.25">
      <c r="A11" s="5"/>
      <c r="AF11"/>
      <c r="AG11"/>
      <c r="AH11"/>
      <c r="AI11"/>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row>
    <row r="12" ht="23.25">
      <c r="A12" s="5"/>
      <c r="AF12"/>
      <c r="AG12"/>
      <c r="AH12"/>
      <c r="AI12"/>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row>
    <row r="13" ht="23.25">
      <c r="A13" s="5"/>
      <c r="AF13"/>
      <c r="AG13"/>
      <c r="AH13"/>
      <c r="AI13"/>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row>
    <row r="14" ht="23.25">
      <c r="A14" s="5"/>
      <c r="AF14"/>
      <c r="AG14"/>
      <c r="AH14"/>
      <c r="AI1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row>
    <row r="15" ht="23.25">
      <c r="A15" s="5"/>
      <c r="AF15"/>
      <c r="AG15"/>
      <c r="AH15"/>
      <c r="AI1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row>
    <row r="16" ht="23.25">
      <c r="A16" s="5"/>
      <c r="AF16"/>
      <c r="AG16"/>
      <c r="AH16"/>
      <c r="AI16"/>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row>
    <row r="17" ht="23.25">
      <c r="A17" s="5"/>
      <c r="AF17"/>
      <c r="AG17"/>
      <c r="AH17"/>
      <c r="AI17"/>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row>
    <row r="18" ht="23.25">
      <c r="A18" s="5"/>
      <c r="AF18"/>
      <c r="AG18"/>
      <c r="AH18"/>
      <c r="AI18"/>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row>
    <row r="19" ht="23.25">
      <c r="A19" s="5"/>
      <c r="AF19"/>
      <c r="AG19"/>
      <c r="AH19"/>
      <c r="AI19"/>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row>
    <row r="20" ht="11.25" customHeight="1">
      <c r="A20" s="5"/>
      <c r="AF20"/>
      <c r="AG20"/>
      <c r="AH20"/>
      <c r="AI20"/>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row>
    <row r="21" ht="20.1" customHeight="1" thickBot="1">
      <c r="AF21"/>
      <c r="AG21"/>
      <c r="AH21"/>
      <c r="AI2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row>
    <row r="22" ht="18" customHeight="1">
      <c r="A22" s="8"/>
      <c r="B22" s="29"/>
      <c r="X22" s="517" t="s">
        <v>72</v>
      </c>
      <c r="Y22" s="517"/>
      <c r="Z22" s="517"/>
      <c r="AA22" s="517"/>
      <c r="AB22" s="517"/>
      <c r="AC22" s="517"/>
      <c r="AD22" s="617"/>
      <c r="AF22"/>
      <c r="AG22"/>
      <c r="AH22"/>
      <c r="AI22"/>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row>
    <row r="24" s="41" customFormat="1" ht="18">
      <c r="B24" s="418" t="s">
        <v>12</v>
      </c>
      <c r="C24" s="309" t="s">
        <v>148</v>
      </c>
      <c r="D24" s="310"/>
      <c r="E24" s="310"/>
      <c r="F24" s="310"/>
      <c r="G24" s="310"/>
      <c r="H24" s="310"/>
      <c r="I24" s="310"/>
      <c r="J24" s="310"/>
      <c r="K24" s="310"/>
      <c r="L24" s="310"/>
      <c r="M24" s="310"/>
      <c r="N24" s="310"/>
      <c r="O24" s="310"/>
      <c r="P24" s="310"/>
      <c r="Q24" s="310"/>
      <c r="R24" s="310"/>
      <c r="S24" s="311"/>
      <c r="T24" s="311"/>
      <c r="U24" s="311"/>
      <c r="V24" s="656" t="s">
        <v>145</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c r="BK24" s="263"/>
    </row>
    <row r="25" s="42" customFormat="1">
      <c r="C25" s="322">
        <v>13</v>
      </c>
      <c r="D25" s="42">
        <v>14</v>
      </c>
      <c r="E25" s="42">
        <v>15</v>
      </c>
      <c r="F25" s="42">
        <v>16</v>
      </c>
      <c r="G25" s="42">
        <v>17</v>
      </c>
      <c r="H25" s="42">
        <v>18</v>
      </c>
      <c r="I25" s="42">
        <v>19</v>
      </c>
      <c r="J25" s="42">
        <v>20</v>
      </c>
      <c r="K25" s="42">
        <v>21</v>
      </c>
      <c r="L25" s="42">
        <v>22</v>
      </c>
      <c r="M25" s="42">
        <v>23</v>
      </c>
      <c r="N25" s="42">
        <v>24</v>
      </c>
      <c r="O25" s="42">
        <v>25</v>
      </c>
      <c r="P25" s="42">
        <v>26</v>
      </c>
      <c r="Q25" s="42">
        <v>27</v>
      </c>
      <c r="R25" s="42">
        <v>28</v>
      </c>
      <c r="S25" s="42">
        <v>29</v>
      </c>
      <c r="T25" s="42">
        <v>30</v>
      </c>
      <c r="U25" s="42">
        <v>31</v>
      </c>
      <c r="V25" s="657">
        <v>1</v>
      </c>
      <c r="W25" s="42">
        <v>2</v>
      </c>
      <c r="X25" s="323">
        <v>3</v>
      </c>
      <c r="Y25" s="42">
        <v>4</v>
      </c>
      <c r="Z25" s="42">
        <v>5</v>
      </c>
      <c r="AA25" s="42">
        <v>6</v>
      </c>
      <c r="AB25" s="42">
        <v>7</v>
      </c>
      <c r="AC25" s="42">
        <v>8</v>
      </c>
      <c r="AD25" s="337">
        <v>9</v>
      </c>
      <c r="AE25" s="25"/>
      <c r="AF25" s="324" t="s">
        <v>60</v>
      </c>
      <c r="AG25" s="325">
        <v>28</v>
      </c>
      <c r="AH25" s="326"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c r="BK25" s="264"/>
    </row>
    <row r="26" ht="14.25" customHeight="1">
      <c r="B26" s="46" t="s">
        <v>32</v>
      </c>
      <c r="C26" s="461">
        <v>90.000000000</v>
      </c>
      <c r="D26" s="462">
        <v>95.23636363636363636363636364</v>
      </c>
      <c r="E26" s="462">
        <v>102.55555555555555555555555556</v>
      </c>
      <c r="F26" s="462">
        <v>98.687500000</v>
      </c>
      <c r="G26" s="462">
        <v>92.28787878787878787878787879</v>
      </c>
      <c r="H26" s="462">
        <v>104.020000000</v>
      </c>
      <c r="I26" s="462">
        <v>102.80612244897959183673469388</v>
      </c>
      <c r="J26" s="462">
        <v>97.51428571428571428571428571</v>
      </c>
      <c r="K26" s="462">
        <v>100.71698113207547169811320755</v>
      </c>
      <c r="L26" s="462">
        <v>106.87022900763358778625954198</v>
      </c>
      <c r="M26" s="462">
        <v>107.7672413793103448275862069</v>
      </c>
      <c r="N26" s="462">
        <v>74.000000000</v>
      </c>
      <c r="O26" s="462">
        <v>41.000000000</v>
      </c>
      <c r="P26" s="462">
        <v>92.125000000</v>
      </c>
      <c r="Q26" s="462">
        <v>74.538461538461538461538461538</v>
      </c>
      <c r="R26" s="462">
        <v>113.95876288659793814432989691</v>
      </c>
      <c r="S26" s="462">
        <v>110.56779661016949152542372881</v>
      </c>
      <c r="T26" s="462">
        <v>110.16279069767441860465116279</v>
      </c>
      <c r="U26" s="462">
        <v>80.95555555555555555555555556</v>
      </c>
      <c r="V26" s="671">
        <v>94.41095890410958904109589041</v>
      </c>
      <c r="W26" s="462">
        <v>95.000000000</v>
      </c>
      <c r="X26" s="463">
        <v>87.53571428571428571428571429</v>
      </c>
      <c r="Y26" s="462">
        <v>100.94285714285714285714285714</v>
      </c>
      <c r="Z26" s="462">
        <v>91.14285714285714285714285714</v>
      </c>
      <c r="AA26" s="462">
        <v>94.30263157894736842105263158</v>
      </c>
      <c r="AB26" s="462">
        <v>97.45161290322580645161290323</v>
      </c>
      <c r="AC26" s="462">
        <v>105.56060606060606060606060606</v>
      </c>
      <c r="AD26" s="464">
        <v>107.97520661157024793388429752</v>
      </c>
      <c r="AE26" s="465"/>
      <c r="AF26" s="461">
        <v>100.45261121856866537717601547</v>
      </c>
      <c r="AG26" s="462">
        <v>100.86482412060301507537688442</v>
      </c>
      <c r="AH26" s="466">
        <v>99.0943952802359882005899705</v>
      </c>
      <c r="AI26"/>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row>
    <row r="27" ht="14.25" customHeight="1">
      <c r="B27" s="47" t="s">
        <v>26</v>
      </c>
      <c r="C27" s="370">
        <v>122.43809210526315789473684211</v>
      </c>
      <c r="D27" s="85">
        <v>140.55796577946768060836501902</v>
      </c>
      <c r="E27" s="85">
        <v>142.56042582417582417582417582</v>
      </c>
      <c r="F27" s="85">
        <v>137.5721393841166936790923825</v>
      </c>
      <c r="G27" s="85">
        <v>134.3840504201680672268907563</v>
      </c>
      <c r="H27" s="85">
        <v>127.64540777917189460476787953</v>
      </c>
      <c r="I27" s="85">
        <v>131.22871465295629820051413882</v>
      </c>
      <c r="J27" s="85">
        <v>126.00342685370741482965931865</v>
      </c>
      <c r="K27" s="85">
        <v>142.34976878612716763005780346</v>
      </c>
      <c r="L27" s="85">
        <v>144.27495619524405506883604507</v>
      </c>
      <c r="M27" s="85">
        <v>141.87512786002691790040376851</v>
      </c>
      <c r="N27" s="85">
        <v>138.68687603305785123966942148</v>
      </c>
      <c r="O27" s="85">
        <v>135.99947904869762174405436014</v>
      </c>
      <c r="P27" s="85">
        <v>135.56263282172373081463990555</v>
      </c>
      <c r="Q27" s="85">
        <v>135.10125260960334029227557411</v>
      </c>
      <c r="R27" s="85">
        <v>138.58989431968295904887714663</v>
      </c>
      <c r="S27" s="85">
        <v>138.75909200968523002421307506</v>
      </c>
      <c r="T27" s="85">
        <v>138.27795454545454545454545454</v>
      </c>
      <c r="U27" s="85">
        <v>130.68808467741935483870967741</v>
      </c>
      <c r="V27" s="672">
        <v>131.98644793152639087018544936</v>
      </c>
      <c r="W27" s="85">
        <v>142.08141579731743666169895677</v>
      </c>
      <c r="X27" s="86">
        <v>137.2228985507246376811594203</v>
      </c>
      <c r="Y27" s="85">
        <v>147.99785578747628083491461102</v>
      </c>
      <c r="Z27" s="85">
        <v>139.54985739750445632798573976</v>
      </c>
      <c r="AA27" s="85">
        <v>143.75094876660341555977229603</v>
      </c>
      <c r="AB27" s="85">
        <v>133.74474178403755868544600938</v>
      </c>
      <c r="AC27" s="85">
        <v>112.96954732510288065843621398</v>
      </c>
      <c r="AD27" s="87">
        <v>115.51170886075949367088607596</v>
      </c>
      <c r="AE27" s="169"/>
      <c r="AF27" s="370">
        <v>132.58640638119227539882451722</v>
      </c>
      <c r="AG27" s="85">
        <v>135.6751812977099236641221374</v>
      </c>
      <c r="AH27" s="371">
        <v>133.78975935288169868554095046</v>
      </c>
      <c r="AI27"/>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row>
    <row r="28" ht="14.25" customHeight="1">
      <c r="A28" s="24"/>
      <c r="B28" s="49" t="s">
        <v>147</v>
      </c>
      <c r="C28" s="467">
        <v>114.784693019343986543313709</v>
      </c>
      <c r="D28" s="468">
        <v>132.78784336645236703682057276</v>
      </c>
      <c r="E28" s="468">
        <v>144.03815995818086774699424987</v>
      </c>
      <c r="F28" s="468">
        <v>142.08777969018932874354561102</v>
      </c>
      <c r="G28" s="468">
        <v>128.12130735386549340037712131</v>
      </c>
      <c r="H28" s="468">
        <v>122.66333137139493819894055327</v>
      </c>
      <c r="I28" s="468">
        <v>124.85799880167765128819652487</v>
      </c>
      <c r="J28" s="468">
        <v>116.81423895253682487725040917</v>
      </c>
      <c r="K28" s="468">
        <v>131.93185789167152009318578917</v>
      </c>
      <c r="L28" s="468">
        <v>141.01527119536598209583991575</v>
      </c>
      <c r="M28" s="468">
        <v>137.0774263904034896401308615</v>
      </c>
      <c r="N28" s="468">
        <v>124.77052359405300581771170006</v>
      </c>
      <c r="O28" s="468">
        <v>128.65099457504520795660036166</v>
      </c>
      <c r="P28" s="468">
        <v>125.13904761904761904761904762</v>
      </c>
      <c r="Q28" s="468">
        <v>115.69163763066202090592334495</v>
      </c>
      <c r="R28" s="468">
        <v>130.7068062827225130890052356</v>
      </c>
      <c r="S28" s="468">
        <v>136.45771958537915984724495363</v>
      </c>
      <c r="T28" s="468">
        <v>130.67163289630512514898688915</v>
      </c>
      <c r="U28" s="468">
        <v>123.90666666666666666666666667</v>
      </c>
      <c r="V28" s="673">
        <v>122.5</v>
      </c>
      <c r="W28" s="468">
        <v>117.19050673508659397049390635</v>
      </c>
      <c r="X28" s="469">
        <v>111.38334858188472095150960659</v>
      </c>
      <c r="Y28" s="468">
        <v>126.96412556053811659192825112</v>
      </c>
      <c r="Z28" s="468">
        <v>132.82102272727272727272727273</v>
      </c>
      <c r="AA28" s="468">
        <v>133.29552065154159394997091332</v>
      </c>
      <c r="AB28" s="468">
        <v>124.23322259136212624584717608</v>
      </c>
      <c r="AC28" s="468">
        <v>120.47167409293443666454487588</v>
      </c>
      <c r="AD28" s="470">
        <v>120.42695924764890282131661442</v>
      </c>
      <c r="AE28" s="465"/>
      <c r="AF28" s="467">
        <v>125.05979266938171047760088856</v>
      </c>
      <c r="AG28" s="468">
        <v>128.15984872219487087678467529</v>
      </c>
      <c r="AH28" s="471">
        <v>123.89263384836507366151634926</v>
      </c>
      <c r="AI28"/>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row>
    <row r="29" ht="14.25">
      <c r="A29" s="24"/>
      <c r="B29" s="53"/>
      <c r="C29" s="489"/>
      <c r="D29" s="489"/>
      <c r="E29" s="489"/>
      <c r="F29" s="489"/>
      <c r="G29" s="489"/>
      <c r="H29" s="489"/>
      <c r="I29" s="489"/>
      <c r="J29" s="489"/>
      <c r="K29" s="489"/>
      <c r="L29" s="489"/>
      <c r="M29" s="489"/>
      <c r="N29" s="489"/>
      <c r="O29" s="489"/>
      <c r="P29" s="489"/>
      <c r="Q29" s="489"/>
      <c r="R29" s="489"/>
      <c r="S29" s="489"/>
      <c r="T29" s="489"/>
      <c r="U29" s="489"/>
      <c r="V29" s="489"/>
      <c r="W29" s="489"/>
      <c r="X29" s="490"/>
      <c r="Y29" s="489"/>
      <c r="Z29" s="489"/>
      <c r="AA29" s="489"/>
      <c r="AB29" s="489"/>
      <c r="AC29" s="489"/>
      <c r="AD29" s="491"/>
      <c r="AE29" s="169"/>
      <c r="AF29" s="489"/>
      <c r="AG29" s="489"/>
      <c r="AH29" s="489"/>
      <c r="AI29"/>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89"/>
      <c r="AG30" s="489"/>
      <c r="AH30" s="489"/>
      <c r="AI30"/>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row>
    <row r="31" ht="0" hidden="1" customHeight="1">
      <c r="B31" s="4"/>
      <c r="X31" s="27"/>
      <c r="AD31" s="28"/>
      <c r="AF31" s="22"/>
      <c r="AG31" s="22"/>
      <c r="AH31" s="22"/>
      <c r="AI31"/>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row>
    <row r="32" ht="18">
      <c r="B32" s="29"/>
      <c r="X32" s="27"/>
      <c r="AD32" s="28"/>
      <c r="AF32" s="22"/>
      <c r="AG32" s="22"/>
      <c r="AH32" s="22"/>
      <c r="AI3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row>
    <row r="33" s="41" customFormat="1" ht="18">
      <c r="B33" s="418" t="s">
        <v>78</v>
      </c>
      <c r="C33" s="309" t="s">
        <v>148</v>
      </c>
      <c r="D33" s="310"/>
      <c r="E33" s="310"/>
      <c r="F33" s="310"/>
      <c r="G33" s="310"/>
      <c r="H33" s="310"/>
      <c r="I33" s="310"/>
      <c r="J33" s="310"/>
      <c r="K33" s="310"/>
      <c r="L33" s="310"/>
      <c r="M33" s="310"/>
      <c r="N33" s="310"/>
      <c r="O33" s="310"/>
      <c r="P33" s="310"/>
      <c r="Q33" s="310"/>
      <c r="R33" s="310"/>
      <c r="S33" s="311"/>
      <c r="T33" s="311"/>
      <c r="U33" s="311"/>
      <c r="V33" s="656" t="s">
        <v>145</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c r="BK33" s="263"/>
    </row>
    <row r="34" s="42" customFormat="1">
      <c r="C34" s="322">
        <v>13</v>
      </c>
      <c r="D34" s="42">
        <v>14</v>
      </c>
      <c r="E34" s="42">
        <v>15</v>
      </c>
      <c r="F34" s="42">
        <v>16</v>
      </c>
      <c r="G34" s="42">
        <v>17</v>
      </c>
      <c r="H34" s="42">
        <v>18</v>
      </c>
      <c r="I34" s="42">
        <v>19</v>
      </c>
      <c r="J34" s="42">
        <v>20</v>
      </c>
      <c r="K34" s="42">
        <v>21</v>
      </c>
      <c r="L34" s="42">
        <v>22</v>
      </c>
      <c r="M34" s="42">
        <v>23</v>
      </c>
      <c r="N34" s="42">
        <v>24</v>
      </c>
      <c r="O34" s="42">
        <v>25</v>
      </c>
      <c r="P34" s="42">
        <v>26</v>
      </c>
      <c r="Q34" s="42">
        <v>27</v>
      </c>
      <c r="R34" s="42">
        <v>28</v>
      </c>
      <c r="S34" s="42">
        <v>29</v>
      </c>
      <c r="T34" s="42">
        <v>30</v>
      </c>
      <c r="U34" s="42">
        <v>31</v>
      </c>
      <c r="V34" s="657">
        <v>1</v>
      </c>
      <c r="W34" s="42">
        <v>2</v>
      </c>
      <c r="X34" s="323">
        <v>3</v>
      </c>
      <c r="Y34" s="42">
        <v>4</v>
      </c>
      <c r="Z34" s="42">
        <v>5</v>
      </c>
      <c r="AA34" s="42">
        <v>6</v>
      </c>
      <c r="AB34" s="42">
        <v>7</v>
      </c>
      <c r="AC34" s="42">
        <v>8</v>
      </c>
      <c r="AD34" s="337">
        <v>9</v>
      </c>
      <c r="AE34" s="25"/>
      <c r="AF34" s="324" t="s">
        <v>60</v>
      </c>
      <c r="AG34" s="325">
        <v>28</v>
      </c>
      <c r="AH34" s="326"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c r="BK34" s="264"/>
    </row>
    <row r="35" ht="14.25" customHeight="1">
      <c r="B35" s="46" t="s">
        <v>32</v>
      </c>
      <c r="C35" s="444">
        <v>-4.6757943683384006330214867700</v>
      </c>
      <c r="D35" s="445">
        <v>-13.696776990908358656642578520</v>
      </c>
      <c r="E35" s="445">
        <v>-5.3132406523167028311454830300</v>
      </c>
      <c r="F35" s="445">
        <v>-6.3872940589303270506122954900</v>
      </c>
      <c r="G35" s="445">
        <v>-9.183350927102157174977485940</v>
      </c>
      <c r="H35" s="445">
        <v>10.874031007730450769184548360</v>
      </c>
      <c r="I35" s="445">
        <v>-57.056757540108775339709818760</v>
      </c>
      <c r="J35" s="445">
        <v>-9.963163736403693479919447280</v>
      </c>
      <c r="K35" s="445">
        <v>-13.521144688814250471452773120</v>
      </c>
      <c r="L35" s="445">
        <v>-14.074187732555909317580267750</v>
      </c>
      <c r="M35" s="445">
        <v>-16.805671637712378766696774500</v>
      </c>
      <c r="N35" s="445">
        <v>-34.485883583123159904173906220</v>
      </c>
      <c r="O35" s="445">
        <v>-59.469065866938646797840683510</v>
      </c>
      <c r="P35" s="445">
        <v>-4.533678756476683937823834200</v>
      </c>
      <c r="Q35" s="445">
        <v>-27.859715487216160459389533570</v>
      </c>
      <c r="R35" s="445">
        <v>1.2966781214203894616265750300</v>
      </c>
      <c r="S35" s="445">
        <v>12.031433074526628725447330170</v>
      </c>
      <c r="T35" s="445">
        <v>18.061679237139734579936724530</v>
      </c>
      <c r="U35" s="445">
        <v>-10.005907308921810709201772590</v>
      </c>
      <c r="V35" s="658">
        <v>-16.706211985923904718153240720</v>
      </c>
      <c r="W35" s="445">
        <v>-6.1148857319332921556516368100</v>
      </c>
      <c r="X35" s="446">
        <v>-12.107966660210236435226815490</v>
      </c>
      <c r="Y35" s="445">
        <v>11.718263885319150329319219470</v>
      </c>
      <c r="Z35" s="445">
        <v>-11.651829871395216026282598370</v>
      </c>
      <c r="AA35" s="445">
        <v>-8.308252090327894758254587070</v>
      </c>
      <c r="AB35" s="445">
        <v>-2.5292751899850130366568389900</v>
      </c>
      <c r="AC35" s="445">
        <v>-3.0472278952054456932504885700</v>
      </c>
      <c r="AD35" s="447">
        <v>-5.0190022319833167347685903600</v>
      </c>
      <c r="AE35" s="448"/>
      <c r="AF35" s="444">
        <v>-4.2754543163117146830277912200</v>
      </c>
      <c r="AG35" s="445">
        <v>-8.079944579329315540387244170</v>
      </c>
      <c r="AH35" s="449">
        <v>-2.9043750178600141985584297500</v>
      </c>
      <c r="AI35"/>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row>
    <row r="36" ht="14.25" customHeight="1">
      <c r="B36" s="47" t="s">
        <v>26</v>
      </c>
      <c r="C36" s="327">
        <v>-7.925861901759311712360355770</v>
      </c>
      <c r="D36" s="81">
        <v>0.9956357925684357320870401700</v>
      </c>
      <c r="E36" s="81">
        <v>-1.4613428808995847373833432700</v>
      </c>
      <c r="F36" s="81">
        <v>-5.0668391405997066112962160100</v>
      </c>
      <c r="G36" s="81">
        <v>-8.386347834859406981721782110</v>
      </c>
      <c r="H36" s="81">
        <v>-6.4894131047748430901016124400</v>
      </c>
      <c r="I36" s="81">
        <v>3.0902178738923472976988808900</v>
      </c>
      <c r="J36" s="81">
        <v>-0.793920435954872013139470800</v>
      </c>
      <c r="K36" s="81">
        <v>3.0191534905045082923927193200</v>
      </c>
      <c r="L36" s="81">
        <v>2.9195646711336453724167160800</v>
      </c>
      <c r="M36" s="81">
        <v>1.970049640923929499300135400</v>
      </c>
      <c r="N36" s="81">
        <v>1.9587999429732879452182645700</v>
      </c>
      <c r="O36" s="81">
        <v>0.4471282012264520084766517300</v>
      </c>
      <c r="P36" s="81">
        <v>-0.3637542576289898437246428100</v>
      </c>
      <c r="Q36" s="81">
        <v>2.1384482401878266581813475100</v>
      </c>
      <c r="R36" s="81">
        <v>-3.694585736324562688506220300</v>
      </c>
      <c r="S36" s="81">
        <v>-2.2634711676152279196450200500</v>
      </c>
      <c r="T36" s="81">
        <v>-5.6622336146502858098969038500</v>
      </c>
      <c r="U36" s="81">
        <v>-6.4114117791375752980681879900</v>
      </c>
      <c r="V36" s="659">
        <v>2.5505032815585220878946131900</v>
      </c>
      <c r="W36" s="81">
        <v>13.470329960535252532020944530</v>
      </c>
      <c r="X36" s="82">
        <v>4.4233192286929163051509994400</v>
      </c>
      <c r="Y36" s="81">
        <v>7.7083875794564325015156966700</v>
      </c>
      <c r="Z36" s="81">
        <v>-3.0190927018798412423538396700</v>
      </c>
      <c r="AA36" s="81">
        <v>1.0523005285503338972551826400</v>
      </c>
      <c r="AB36" s="81">
        <v>-1.1066226648009788529024334500</v>
      </c>
      <c r="AC36" s="81">
        <v>-13.339957385136131932946431160</v>
      </c>
      <c r="AD36" s="83">
        <v>-9.862730009685509348112885050</v>
      </c>
      <c r="AE36" s="88"/>
      <c r="AF36" s="327">
        <v>-2.4379532878240667191361258500</v>
      </c>
      <c r="AG36" s="81">
        <v>-1.0156584297933037567427833500</v>
      </c>
      <c r="AH36" s="328">
        <v>-0.7983078721542821493888290400</v>
      </c>
      <c r="AI36"/>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row>
    <row r="37" ht="14.25" customHeight="1">
      <c r="A37" s="24"/>
      <c r="B37" s="49" t="s">
        <v>147</v>
      </c>
      <c r="C37" s="450">
        <v>3.285734971082340424036131900</v>
      </c>
      <c r="D37" s="451">
        <v>6.250735632604293223041366200</v>
      </c>
      <c r="E37" s="451">
        <v>6.377506601972927148957718900</v>
      </c>
      <c r="F37" s="451">
        <v>7.5620426415267272739598156200</v>
      </c>
      <c r="G37" s="451">
        <v>3.0035083160088662407322263100</v>
      </c>
      <c r="H37" s="451">
        <v>-2.3197940345329095904035783800</v>
      </c>
      <c r="I37" s="451">
        <v>-0.9340793259490143664755015400</v>
      </c>
      <c r="J37" s="451">
        <v>1.2796028832720032179236633900</v>
      </c>
      <c r="K37" s="451">
        <v>11.765533138174740305030356850</v>
      </c>
      <c r="L37" s="451">
        <v>5.6807333324799870501474913900</v>
      </c>
      <c r="M37" s="451">
        <v>4.3430334250419316578235819700</v>
      </c>
      <c r="N37" s="451">
        <v>4.1606344571587047822751936700</v>
      </c>
      <c r="O37" s="451">
        <v>2.6651561201604708427938888800</v>
      </c>
      <c r="P37" s="451">
        <v>3.3439829253319411091104816800</v>
      </c>
      <c r="Q37" s="451">
        <v>-2.0312030784259781572747299800</v>
      </c>
      <c r="R37" s="451">
        <v>3.7542046037387014443207852600</v>
      </c>
      <c r="S37" s="451">
        <v>4.8695671239429500243472982100</v>
      </c>
      <c r="T37" s="451">
        <v>-2.0238791563822837963943052900</v>
      </c>
      <c r="U37" s="451">
        <v>2.2658432507352095166631475100</v>
      </c>
      <c r="V37" s="660">
        <v>4.1092461635355487468672482600</v>
      </c>
      <c r="W37" s="451">
        <v>-0.3635908778373516830168460100</v>
      </c>
      <c r="X37" s="452">
        <v>-0.1450081268998803181343211700</v>
      </c>
      <c r="Y37" s="451">
        <v>-0.1006415614542062784939768400</v>
      </c>
      <c r="Z37" s="451">
        <v>-3.1898573671116565651166811400</v>
      </c>
      <c r="AA37" s="451">
        <v>0.009224600445553104959403200</v>
      </c>
      <c r="AB37" s="451">
        <v>3.3696279577258755555409358700</v>
      </c>
      <c r="AC37" s="451">
        <v>1.5735983256647777139176047100</v>
      </c>
      <c r="AD37" s="453">
        <v>2.9820720817861304970702634600</v>
      </c>
      <c r="AE37" s="448"/>
      <c r="AF37" s="450">
        <v>0.341198495216688157503330800</v>
      </c>
      <c r="AG37" s="451">
        <v>2.7074254742588870577043967300</v>
      </c>
      <c r="AH37" s="454">
        <v>0.3206335561651890792420432800</v>
      </c>
      <c r="AI37"/>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c r="BK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I38"/>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row>
    <row r="39" ht="18">
      <c r="B39" s="29"/>
      <c r="X39" s="27"/>
      <c r="AD39" s="28"/>
      <c r="AF39" s="43"/>
      <c r="AG39" s="43"/>
      <c r="AH39" s="43"/>
      <c r="AI39"/>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row>
    <row r="40" s="41" customFormat="1" ht="18">
      <c r="B40" s="418" t="s">
        <v>92</v>
      </c>
      <c r="C40" s="309" t="s">
        <v>148</v>
      </c>
      <c r="D40" s="310"/>
      <c r="E40" s="310"/>
      <c r="F40" s="310"/>
      <c r="G40" s="310"/>
      <c r="H40" s="310"/>
      <c r="I40" s="310"/>
      <c r="J40" s="310"/>
      <c r="K40" s="310"/>
      <c r="L40" s="310"/>
      <c r="M40" s="310"/>
      <c r="N40" s="310"/>
      <c r="O40" s="310"/>
      <c r="P40" s="310"/>
      <c r="Q40" s="310"/>
      <c r="R40" s="310"/>
      <c r="S40" s="311"/>
      <c r="T40" s="311"/>
      <c r="U40" s="311"/>
      <c r="V40" s="656" t="s">
        <v>145</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4">
        <v>1</v>
      </c>
      <c r="W41" s="314">
        <v>2</v>
      </c>
      <c r="X41" s="315">
        <v>3</v>
      </c>
      <c r="Y41" s="314">
        <v>4</v>
      </c>
      <c r="Z41" s="314">
        <v>5</v>
      </c>
      <c r="AA41" s="314">
        <v>6</v>
      </c>
      <c r="AB41" s="314">
        <v>7</v>
      </c>
      <c r="AC41" s="314">
        <v>8</v>
      </c>
      <c r="AD41" s="373">
        <v>9</v>
      </c>
      <c r="AE41" s="25"/>
      <c r="AF41" s="324" t="s">
        <v>60</v>
      </c>
      <c r="AG41" s="325">
        <v>28</v>
      </c>
      <c r="AH41" s="326"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c r="BK41" s="264"/>
    </row>
    <row r="42" ht="14.25" customHeight="1">
      <c r="A42" s="1"/>
      <c r="B42" s="46" t="s">
        <v>26</v>
      </c>
      <c r="C42" s="444">
        <v>73.506535794920438492253520470</v>
      </c>
      <c r="D42" s="445">
        <v>67.755934790466071895643433090</v>
      </c>
      <c r="E42" s="445">
        <v>71.938306134146300698754051270</v>
      </c>
      <c r="F42" s="445">
        <v>71.735091452249291356813512870</v>
      </c>
      <c r="G42" s="445">
        <v>68.674726278384665484494264330</v>
      </c>
      <c r="H42" s="445">
        <v>81.49137662667266463020216403</v>
      </c>
      <c r="I42" s="445">
        <v>78.341179154900269734591723970</v>
      </c>
      <c r="J42" s="445">
        <v>77.390185449089059774327868210</v>
      </c>
      <c r="K42" s="445">
        <v>70.753175077801856629308178840</v>
      </c>
      <c r="L42" s="445">
        <v>74.073998582984244716923910410</v>
      </c>
      <c r="M42" s="445">
        <v>75.959220622273731938955101150</v>
      </c>
      <c r="N42" s="445">
        <v>53.357608244300370332904879490</v>
      </c>
      <c r="O42" s="445">
        <v>30.147174303012091770170024920</v>
      </c>
      <c r="P42" s="445">
        <v>67.957517556602971707862223770</v>
      </c>
      <c r="Q42" s="445">
        <v>55.172294925979833697444488020</v>
      </c>
      <c r="R42" s="445">
        <v>82.22732504847516512593248250</v>
      </c>
      <c r="S42" s="445">
        <v>79.68328057554615110164871370</v>
      </c>
      <c r="T42" s="445">
        <v>79.66764554752336886826600400</v>
      </c>
      <c r="U42" s="445">
        <v>61.945628597581909178143359100</v>
      </c>
      <c r="V42" s="658">
        <v>71.530797580906325613078642330</v>
      </c>
      <c r="W42" s="445">
        <v>66.863072462292639229515547420</v>
      </c>
      <c r="X42" s="446">
        <v>63.790894384418138683600039230</v>
      </c>
      <c r="Y42" s="445">
        <v>68.205621362375741613575339950</v>
      </c>
      <c r="Z42" s="445">
        <v>65.312038896064069951206169340</v>
      </c>
      <c r="AA42" s="445">
        <v>65.601397686815292344316644420</v>
      </c>
      <c r="AB42" s="445">
        <v>72.863883546623309432470438060</v>
      </c>
      <c r="AC42" s="445">
        <v>93.44164738203939595070743253</v>
      </c>
      <c r="AD42" s="447">
        <v>93.47555124622752769473180946</v>
      </c>
      <c r="AE42" s="448"/>
      <c r="AF42" s="444">
        <v>75.763884066483210439946624150</v>
      </c>
      <c r="AG42" s="445">
        <v>74.342870343607125950661875630</v>
      </c>
      <c r="AH42" s="449">
        <v>74.067249810093957655434893140</v>
      </c>
      <c r="AI42"/>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row>
    <row r="43" ht="14.25" customHeight="1">
      <c r="A43" s="24"/>
      <c r="B43" s="48" t="s">
        <v>147</v>
      </c>
      <c r="C43" s="329">
        <v>78.407667113651922427553279230</v>
      </c>
      <c r="D43" s="330">
        <v>71.720694622253402047563680310</v>
      </c>
      <c r="E43" s="330">
        <v>71.200267752182662897087763860</v>
      </c>
      <c r="F43" s="330">
        <v>69.455304471061855742520313210</v>
      </c>
      <c r="G43" s="330">
        <v>72.031639930865530558047434020</v>
      </c>
      <c r="H43" s="330">
        <v>84.80121878073592624705974267</v>
      </c>
      <c r="I43" s="330">
        <v>82.33843521091244531315456444</v>
      </c>
      <c r="J43" s="330">
        <v>83.47808160094062081435216181</v>
      </c>
      <c r="K43" s="330">
        <v>76.340152213085528246623218660</v>
      </c>
      <c r="L43" s="330">
        <v>75.786280522445824782622585860</v>
      </c>
      <c r="M43" s="330">
        <v>78.617788659371600617449205740</v>
      </c>
      <c r="N43" s="330">
        <v>59.308879908795400706821213210</v>
      </c>
      <c r="O43" s="330">
        <v>31.869166760384526160589924840</v>
      </c>
      <c r="P43" s="330">
        <v>73.618108618250790780776526980</v>
      </c>
      <c r="Q43" s="330">
        <v>64.428564643882237790941784140</v>
      </c>
      <c r="R43" s="330">
        <v>87.18655602380915364500714642</v>
      </c>
      <c r="S43" s="330">
        <v>81.02714668404839365445089431</v>
      </c>
      <c r="T43" s="330">
        <v>84.30505401665773903653996439</v>
      </c>
      <c r="U43" s="330">
        <v>65.335915922361274817266842090</v>
      </c>
      <c r="V43" s="661">
        <v>77.070170533967011462119094210</v>
      </c>
      <c r="W43" s="330">
        <v>81.06458675423265325745394930</v>
      </c>
      <c r="X43" s="331">
        <v>78.589587582159476453966638540</v>
      </c>
      <c r="Y43" s="330">
        <v>79.50502293244764166316573726</v>
      </c>
      <c r="Z43" s="330">
        <v>68.620806609798572686843079700</v>
      </c>
      <c r="AA43" s="330">
        <v>70.747037198272245814644745820</v>
      </c>
      <c r="AB43" s="330">
        <v>78.442473655973453904452302490</v>
      </c>
      <c r="AC43" s="330">
        <v>87.62276016784204095158115759</v>
      </c>
      <c r="AD43" s="338">
        <v>89.66032795826993846885059173</v>
      </c>
      <c r="AE43" s="88"/>
      <c r="AF43" s="329">
        <v>80.32366684320252150169763319</v>
      </c>
      <c r="AG43" s="330">
        <v>78.702358910580620400832282420</v>
      </c>
      <c r="AH43" s="332">
        <v>79.98408961221364302635284462</v>
      </c>
      <c r="AI43"/>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row>
    <row r="44" ht="12" customHeight="1">
      <c r="B44" s="4"/>
      <c r="X44" s="27"/>
      <c r="AD44" s="28"/>
      <c r="AF44" s="43"/>
      <c r="AG44" s="43"/>
      <c r="AH44" s="43"/>
      <c r="AI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row>
    <row r="45" ht="18">
      <c r="B45" s="29"/>
      <c r="X45" s="27"/>
      <c r="AD45" s="28"/>
      <c r="AF45" s="43"/>
      <c r="AG45" s="43"/>
      <c r="AH45" s="43"/>
      <c r="AI45"/>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row>
    <row r="46" s="41" customFormat="1" ht="18">
      <c r="B46" s="418" t="s">
        <v>77</v>
      </c>
      <c r="C46" s="309" t="s">
        <v>148</v>
      </c>
      <c r="D46" s="310"/>
      <c r="E46" s="310"/>
      <c r="F46" s="310"/>
      <c r="G46" s="310"/>
      <c r="H46" s="310"/>
      <c r="I46" s="310"/>
      <c r="J46" s="310"/>
      <c r="K46" s="310"/>
      <c r="L46" s="310"/>
      <c r="M46" s="310"/>
      <c r="N46" s="310"/>
      <c r="O46" s="310"/>
      <c r="P46" s="310"/>
      <c r="Q46" s="310"/>
      <c r="R46" s="310"/>
      <c r="S46" s="311"/>
      <c r="T46" s="311"/>
      <c r="U46" s="311"/>
      <c r="V46" s="656" t="s">
        <v>145</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c r="BK46" s="263"/>
    </row>
    <row r="47" s="42" customFormat="1">
      <c r="C47" s="322">
        <v>13</v>
      </c>
      <c r="D47" s="42">
        <v>14</v>
      </c>
      <c r="E47" s="42">
        <v>15</v>
      </c>
      <c r="F47" s="42">
        <v>16</v>
      </c>
      <c r="G47" s="42">
        <v>17</v>
      </c>
      <c r="H47" s="42">
        <v>18</v>
      </c>
      <c r="I47" s="42">
        <v>19</v>
      </c>
      <c r="J47" s="42">
        <v>20</v>
      </c>
      <c r="K47" s="42">
        <v>21</v>
      </c>
      <c r="L47" s="42">
        <v>22</v>
      </c>
      <c r="M47" s="42">
        <v>23</v>
      </c>
      <c r="N47" s="42">
        <v>24</v>
      </c>
      <c r="O47" s="42">
        <v>25</v>
      </c>
      <c r="P47" s="42">
        <v>26</v>
      </c>
      <c r="Q47" s="42">
        <v>27</v>
      </c>
      <c r="R47" s="42">
        <v>28</v>
      </c>
      <c r="S47" s="42">
        <v>29</v>
      </c>
      <c r="T47" s="42">
        <v>30</v>
      </c>
      <c r="U47" s="42">
        <v>31</v>
      </c>
      <c r="V47" s="657">
        <v>1</v>
      </c>
      <c r="W47" s="42">
        <v>2</v>
      </c>
      <c r="X47" s="323">
        <v>3</v>
      </c>
      <c r="Y47" s="42">
        <v>4</v>
      </c>
      <c r="Z47" s="42">
        <v>5</v>
      </c>
      <c r="AA47" s="42">
        <v>6</v>
      </c>
      <c r="AB47" s="42">
        <v>7</v>
      </c>
      <c r="AC47" s="42">
        <v>8</v>
      </c>
      <c r="AD47" s="337">
        <v>9</v>
      </c>
      <c r="AE47" s="25"/>
      <c r="AF47" s="324" t="s">
        <v>60</v>
      </c>
      <c r="AG47" s="325">
        <v>28</v>
      </c>
      <c r="AH47" s="326"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c r="BK47" s="264"/>
    </row>
    <row r="48" ht="14.25" customHeight="1">
      <c r="A48" s="1"/>
      <c r="B48" s="46" t="s">
        <v>26</v>
      </c>
      <c r="C48" s="444">
        <v>3.5298375857744321810700144100</v>
      </c>
      <c r="D48" s="445">
        <v>-14.547571950215638174464245970</v>
      </c>
      <c r="E48" s="445">
        <v>-3.9090219859506811506140588100</v>
      </c>
      <c r="F48" s="445">
        <v>-1.3909311628870320408738167500</v>
      </c>
      <c r="G48" s="445">
        <v>-0.8699610521875748887334241700</v>
      </c>
      <c r="H48" s="445">
        <v>18.568425981499132447974218780</v>
      </c>
      <c r="I48" s="445">
        <v>-58.344018137202405306869354310</v>
      </c>
      <c r="J48" s="445">
        <v>-9.242622368186948433672130190</v>
      </c>
      <c r="K48" s="445">
        <v>-16.055556291144386592453268530</v>
      </c>
      <c r="L48" s="445">
        <v>-16.511683136177057847868607950</v>
      </c>
      <c r="M48" s="445">
        <v>-18.412976501132952959586122830</v>
      </c>
      <c r="N48" s="445">
        <v>-35.744519890852718828106433910</v>
      </c>
      <c r="O48" s="445">
        <v>-59.649484401495887509345050700</v>
      </c>
      <c r="P48" s="445">
        <v>-4.185148153420729039275105200</v>
      </c>
      <c r="Q48" s="445">
        <v>-29.370099354656904978132161080</v>
      </c>
      <c r="R48" s="445">
        <v>5.1827448082156037304436864800</v>
      </c>
      <c r="S48" s="445">
        <v>14.625958598005716225115988640</v>
      </c>
      <c r="T48" s="445">
        <v>25.147842439669043031886180750</v>
      </c>
      <c r="U48" s="445">
        <v>-3.8407412677985730420628597100</v>
      </c>
      <c r="V48" s="658">
        <v>-18.777787189046222410652513220</v>
      </c>
      <c r="W48" s="445">
        <v>-17.26020863713996190817668600</v>
      </c>
      <c r="X48" s="446">
        <v>-15.831028941662126973504083080</v>
      </c>
      <c r="Y48" s="445">
        <v>3.7229006914430928690470790300</v>
      </c>
      <c r="Z48" s="445">
        <v>-8.901481136901506616036664300</v>
      </c>
      <c r="AA48" s="445">
        <v>-9.263077208511483068768587780</v>
      </c>
      <c r="AB48" s="445">
        <v>-1.4385720899816473423914324700</v>
      </c>
      <c r="AC48" s="445">
        <v>11.877134120181994540017134970</v>
      </c>
      <c r="AD48" s="447">
        <v>5.3737236308527858467470143400</v>
      </c>
      <c r="AE48" s="448"/>
      <c r="AF48" s="444">
        <v>-1.8834178766140981784628734100</v>
      </c>
      <c r="AG48" s="445">
        <v>-7.1367713695230507897516088600</v>
      </c>
      <c r="AH48" s="449">
        <v>-2.1230153442944497622195590900</v>
      </c>
      <c r="AI48"/>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c r="BK48" s="244"/>
    </row>
    <row r="49" ht="14.25" customHeight="1">
      <c r="A49" s="24"/>
      <c r="B49" s="48" t="s">
        <v>147</v>
      </c>
      <c r="C49" s="329">
        <v>-7.708256461266490930916551500</v>
      </c>
      <c r="D49" s="330">
        <v>-18.773999544301564749562234310</v>
      </c>
      <c r="E49" s="330">
        <v>-10.989867715171447236961684120</v>
      </c>
      <c r="F49" s="330">
        <v>-12.968642429864383383321853870</v>
      </c>
      <c r="G49" s="330">
        <v>-11.831499181366392727551604920</v>
      </c>
      <c r="H49" s="330">
        <v>13.507163413335428339230900060</v>
      </c>
      <c r="I49" s="330">
        <v>-56.651851446288367312514698040</v>
      </c>
      <c r="J49" s="330">
        <v>-11.100721467634592211852098640</v>
      </c>
      <c r="K49" s="330">
        <v>-22.624754803174309762450186250</v>
      </c>
      <c r="L49" s="330">
        <v>-18.693020423047156306595096570</v>
      </c>
      <c r="M49" s="330">
        <v>-20.268439941373485978773799970</v>
      </c>
      <c r="N49" s="330">
        <v>-37.102805912912800031773812790</v>
      </c>
      <c r="O49" s="330">
        <v>-60.521236547258354851974924800</v>
      </c>
      <c r="P49" s="330">
        <v>-7.6227579571962297758813076700</v>
      </c>
      <c r="Q49" s="330">
        <v>-26.364019177931162265005862560</v>
      </c>
      <c r="R49" s="330">
        <v>-2.3686042331740713268878889600</v>
      </c>
      <c r="S49" s="330">
        <v>6.8293082034726139084018225600</v>
      </c>
      <c r="T49" s="330">
        <v>20.500462990967807280955081390</v>
      </c>
      <c r="U49" s="330">
        <v>-11.999852707011205139439810880</v>
      </c>
      <c r="V49" s="661">
        <v>-19.993861176116292517256003550</v>
      </c>
      <c r="W49" s="330">
        <v>-5.7722823461975005262141237100</v>
      </c>
      <c r="X49" s="331">
        <v>-11.980330986861841244398051830</v>
      </c>
      <c r="Y49" s="330">
        <v>11.830812160992911709886282870</v>
      </c>
      <c r="Z49" s="330">
        <v>-8.740791278815280106856297150</v>
      </c>
      <c r="AA49" s="330">
        <v>-8.316709507556691988814378300</v>
      </c>
      <c r="AB49" s="330">
        <v>-5.7066115688015308324200453100</v>
      </c>
      <c r="AC49" s="330">
        <v>-4.5492394647255174619812245800</v>
      </c>
      <c r="AD49" s="338">
        <v>-7.7693856338684459607068722300</v>
      </c>
      <c r="AE49" s="88"/>
      <c r="AF49" s="329">
        <v>-4.600954424284783355712779400</v>
      </c>
      <c r="AG49" s="330">
        <v>-10.503008914700738167852104160</v>
      </c>
      <c r="AH49" s="332">
        <v>-3.2147011633286114294833830800</v>
      </c>
      <c r="AI49"/>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c r="BK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I50"/>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row>
    <row r="51" ht="18">
      <c r="B51" s="29"/>
      <c r="X51" s="27"/>
      <c r="AD51" s="28"/>
      <c r="AF51" s="43"/>
      <c r="AG51" s="43"/>
      <c r="AH51" s="43"/>
      <c r="AI51"/>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row>
    <row r="52" ht="18">
      <c r="B52" s="418" t="s">
        <v>55</v>
      </c>
      <c r="C52" s="309" t="s">
        <v>148</v>
      </c>
      <c r="D52" s="310"/>
      <c r="E52" s="310"/>
      <c r="F52" s="310"/>
      <c r="G52" s="310"/>
      <c r="H52" s="310"/>
      <c r="I52" s="310"/>
      <c r="J52" s="310"/>
      <c r="K52" s="310"/>
      <c r="L52" s="310"/>
      <c r="M52" s="310"/>
      <c r="N52" s="310"/>
      <c r="O52" s="310"/>
      <c r="P52" s="310"/>
      <c r="Q52" s="310"/>
      <c r="R52" s="310"/>
      <c r="S52" s="311"/>
      <c r="T52" s="311"/>
      <c r="U52" s="311"/>
      <c r="V52" s="656" t="s">
        <v>145</v>
      </c>
      <c r="W52" s="311"/>
      <c r="X52" s="312"/>
      <c r="Y52" s="311"/>
      <c r="Z52" s="311"/>
      <c r="AA52" s="311"/>
      <c r="AB52" s="311"/>
      <c r="AC52" s="311"/>
      <c r="AD52" s="336"/>
      <c r="AE52" s="25"/>
      <c r="AF52" s="316" t="s">
        <v>58</v>
      </c>
      <c r="AG52" s="317" t="s">
        <v>59</v>
      </c>
      <c r="AH52" s="318" t="s">
        <v>59</v>
      </c>
      <c r="AI52"/>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row>
    <row r="53">
      <c r="B53" s="42"/>
      <c r="C53" s="322">
        <v>13</v>
      </c>
      <c r="D53" s="42">
        <v>14</v>
      </c>
      <c r="E53" s="42">
        <v>15</v>
      </c>
      <c r="F53" s="42">
        <v>16</v>
      </c>
      <c r="G53" s="42">
        <v>17</v>
      </c>
      <c r="H53" s="42">
        <v>18</v>
      </c>
      <c r="I53" s="42">
        <v>19</v>
      </c>
      <c r="J53" s="42">
        <v>20</v>
      </c>
      <c r="K53" s="42">
        <v>21</v>
      </c>
      <c r="L53" s="42">
        <v>22</v>
      </c>
      <c r="M53" s="42">
        <v>23</v>
      </c>
      <c r="N53" s="42">
        <v>24</v>
      </c>
      <c r="O53" s="42">
        <v>25</v>
      </c>
      <c r="P53" s="42">
        <v>26</v>
      </c>
      <c r="Q53" s="42">
        <v>27</v>
      </c>
      <c r="R53" s="42">
        <v>28</v>
      </c>
      <c r="S53" s="42">
        <v>29</v>
      </c>
      <c r="T53" s="42">
        <v>30</v>
      </c>
      <c r="U53" s="42">
        <v>31</v>
      </c>
      <c r="V53" s="657">
        <v>1</v>
      </c>
      <c r="W53" s="42">
        <v>2</v>
      </c>
      <c r="X53" s="323">
        <v>3</v>
      </c>
      <c r="Y53" s="42">
        <v>4</v>
      </c>
      <c r="Z53" s="42">
        <v>5</v>
      </c>
      <c r="AA53" s="42">
        <v>6</v>
      </c>
      <c r="AB53" s="42">
        <v>7</v>
      </c>
      <c r="AC53" s="42">
        <v>8</v>
      </c>
      <c r="AD53" s="337">
        <v>9</v>
      </c>
      <c r="AE53" s="25"/>
      <c r="AF53" s="324" t="s">
        <v>60</v>
      </c>
      <c r="AG53" s="325">
        <v>28</v>
      </c>
      <c r="AH53" s="326" t="s">
        <v>31</v>
      </c>
      <c r="AI53"/>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row>
    <row r="54" ht="14.25" customHeight="1">
      <c r="B54" s="46" t="s">
        <v>56</v>
      </c>
      <c r="C54" s="455" t="s">
        <v>156</v>
      </c>
      <c r="D54" s="456" t="s">
        <v>156</v>
      </c>
      <c r="E54" s="456" t="s">
        <v>149</v>
      </c>
      <c r="F54" s="456" t="s">
        <v>156</v>
      </c>
      <c r="G54" s="456" t="s">
        <v>149</v>
      </c>
      <c r="H54" s="456" t="s">
        <v>152</v>
      </c>
      <c r="I54" s="456" t="s">
        <v>156</v>
      </c>
      <c r="J54" s="456" t="s">
        <v>152</v>
      </c>
      <c r="K54" s="456" t="s">
        <v>152</v>
      </c>
      <c r="L54" s="456" t="s">
        <v>152</v>
      </c>
      <c r="M54" s="456" t="s">
        <v>152</v>
      </c>
      <c r="N54" s="456" t="s">
        <v>153</v>
      </c>
      <c r="O54" s="456" t="s">
        <v>153</v>
      </c>
      <c r="P54" s="456" t="s">
        <v>149</v>
      </c>
      <c r="Q54" s="456" t="s">
        <v>153</v>
      </c>
      <c r="R54" s="456" t="s">
        <v>152</v>
      </c>
      <c r="S54" s="456" t="s">
        <v>151</v>
      </c>
      <c r="T54" s="456" t="s">
        <v>152</v>
      </c>
      <c r="U54" s="456" t="s">
        <v>149</v>
      </c>
      <c r="V54" s="662" t="s">
        <v>149</v>
      </c>
      <c r="W54" s="456" t="s">
        <v>156</v>
      </c>
      <c r="X54" s="457" t="s">
        <v>156</v>
      </c>
      <c r="Y54" s="456" t="s">
        <v>152</v>
      </c>
      <c r="Z54" s="456" t="s">
        <v>149</v>
      </c>
      <c r="AA54" s="456" t="s">
        <v>156</v>
      </c>
      <c r="AB54" s="456" t="s">
        <v>152</v>
      </c>
      <c r="AC54" s="456" t="s">
        <v>152</v>
      </c>
      <c r="AD54" s="458" t="s">
        <v>152</v>
      </c>
      <c r="AE54" s="459"/>
      <c r="AF54" s="455" t="s">
        <v>156</v>
      </c>
      <c r="AG54" s="456" t="s">
        <v>156</v>
      </c>
      <c r="AH54" s="460" t="s">
        <v>156</v>
      </c>
      <c r="AI5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row>
    <row r="55" ht="14.25" customHeight="1" thickBot="1">
      <c r="B55" s="48" t="s">
        <v>78</v>
      </c>
      <c r="C55" s="333" t="s">
        <v>151</v>
      </c>
      <c r="D55" s="334" t="s">
        <v>149</v>
      </c>
      <c r="E55" s="334" t="s">
        <v>153</v>
      </c>
      <c r="F55" s="334" t="s">
        <v>152</v>
      </c>
      <c r="G55" s="334" t="s">
        <v>152</v>
      </c>
      <c r="H55" s="334" t="s">
        <v>155</v>
      </c>
      <c r="I55" s="334" t="s">
        <v>153</v>
      </c>
      <c r="J55" s="334" t="s">
        <v>156</v>
      </c>
      <c r="K55" s="334" t="s">
        <v>153</v>
      </c>
      <c r="L55" s="334" t="s">
        <v>153</v>
      </c>
      <c r="M55" s="334" t="s">
        <v>153</v>
      </c>
      <c r="N55" s="334" t="s">
        <v>153</v>
      </c>
      <c r="O55" s="334" t="s">
        <v>153</v>
      </c>
      <c r="P55" s="334" t="s">
        <v>156</v>
      </c>
      <c r="Q55" s="334" t="s">
        <v>149</v>
      </c>
      <c r="R55" s="334" t="s">
        <v>150</v>
      </c>
      <c r="S55" s="334" t="s">
        <v>155</v>
      </c>
      <c r="T55" s="334" t="s">
        <v>155</v>
      </c>
      <c r="U55" s="334" t="s">
        <v>149</v>
      </c>
      <c r="V55" s="663" t="s">
        <v>153</v>
      </c>
      <c r="W55" s="334" t="s">
        <v>149</v>
      </c>
      <c r="X55" s="60" t="s">
        <v>149</v>
      </c>
      <c r="Y55" s="61" t="s">
        <v>150</v>
      </c>
      <c r="Z55" s="61" t="s">
        <v>156</v>
      </c>
      <c r="AA55" s="61" t="s">
        <v>149</v>
      </c>
      <c r="AB55" s="61" t="s">
        <v>150</v>
      </c>
      <c r="AC55" s="61" t="s">
        <v>151</v>
      </c>
      <c r="AD55" s="62" t="s">
        <v>156</v>
      </c>
      <c r="AE55" s="59"/>
      <c r="AF55" s="333" t="s">
        <v>151</v>
      </c>
      <c r="AG55" s="334" t="s">
        <v>149</v>
      </c>
      <c r="AH55" s="335" t="s">
        <v>151</v>
      </c>
      <c r="AI55"/>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row>
    <row r="56" ht="9.95" customHeight="1">
      <c r="AF56"/>
      <c r="AG56"/>
      <c r="AH56"/>
      <c r="AI56"/>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row>
    <row r="57" ht="9.95" customHeight="1">
      <c r="AF57"/>
      <c r="AG57"/>
      <c r="AH57"/>
      <c r="AI57"/>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I58"/>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row>
    <row r="59" ht="9.95" customHeight="1">
      <c r="AF59" s="80"/>
      <c r="AG59" s="242"/>
      <c r="AH59"/>
      <c r="AI59"/>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row>
    <row r="60" ht="9.95" customHeight="1">
      <c r="B60" s="235"/>
      <c r="AF60"/>
      <c r="AG60"/>
      <c r="AH60"/>
      <c r="AI60"/>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row>
    <row r="61" ht="9.95" customHeight="1">
      <c r="AF61"/>
      <c r="AG61"/>
      <c r="AH61"/>
      <c r="AI6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row>
    <row r="66">
      <c r="A66" s="24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66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row>
    <row r="67">
      <c r="A67" s="24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66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row>
    <row r="68" s="25" customFormat="1">
      <c r="A68" s="255"/>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664"/>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c r="BK68" s="255"/>
    </row>
    <row r="69" s="25" customFormat="1" ht="10.5" customHeight="1">
      <c r="A69" s="255"/>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664"/>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c r="BK69" s="255"/>
    </row>
    <row r="70" s="84" customFormat="1">
      <c r="A70" s="256"/>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664"/>
      <c r="AI70" s="257"/>
      <c r="AJ70" s="257"/>
      <c r="AK70" s="257"/>
      <c r="AL70" s="257"/>
      <c r="AM70" s="257"/>
      <c r="AN70" s="257"/>
      <c r="AO70" s="257"/>
      <c r="AP70" s="257"/>
      <c r="AQ70" s="257"/>
      <c r="AR70" s="257"/>
      <c r="AS70" s="257"/>
      <c r="AT70" s="257"/>
      <c r="AU70" s="257"/>
      <c r="AV70" s="257"/>
      <c r="AW70" s="257"/>
      <c r="AX70" s="257"/>
      <c r="AY70" s="257"/>
      <c r="AZ70" s="257"/>
      <c r="BA70" s="257"/>
      <c r="BB70" s="257"/>
      <c r="BC70" s="257"/>
      <c r="BD70" s="257"/>
      <c r="BE70" s="257"/>
      <c r="BF70" s="257"/>
      <c r="BG70" s="257"/>
      <c r="BH70" s="257"/>
      <c r="BI70" s="257"/>
      <c r="BJ70" s="257"/>
      <c r="BK70" s="257"/>
    </row>
    <row r="71" s="84" customFormat="1">
      <c r="A71" s="256"/>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664"/>
      <c r="AI71" s="257"/>
      <c r="AJ71" s="257"/>
      <c r="AK71" s="257"/>
      <c r="AL71" s="257"/>
      <c r="AM71" s="257"/>
      <c r="AN71" s="257"/>
      <c r="AO71" s="257"/>
      <c r="AP71" s="257"/>
      <c r="AQ71" s="257"/>
      <c r="AR71" s="257"/>
      <c r="AS71" s="257"/>
      <c r="AT71" s="257"/>
      <c r="AU71" s="257"/>
      <c r="AV71" s="257"/>
      <c r="AW71" s="257"/>
      <c r="AX71" s="257"/>
      <c r="AY71" s="257"/>
      <c r="AZ71" s="257"/>
      <c r="BA71" s="257"/>
      <c r="BB71" s="257"/>
      <c r="BC71" s="257"/>
      <c r="BD71" s="257"/>
      <c r="BE71" s="257"/>
      <c r="BF71" s="257"/>
      <c r="BG71" s="257"/>
      <c r="BH71" s="257"/>
      <c r="BI71" s="257"/>
      <c r="BJ71" s="257"/>
      <c r="BK71" s="257"/>
    </row>
    <row r="72" s="84" customFormat="1">
      <c r="A72" s="256"/>
      <c r="B72" s="664" t="n">
        <v>45801</v>
      </c>
      <c r="C72" s="664">
        <v>45808</v>
      </c>
      <c r="D72" s="664">
        <v>45815</v>
      </c>
      <c r="E72" s="664">
        <v>45822</v>
      </c>
      <c r="F72" s="664">
        <v>45829</v>
      </c>
      <c r="G72" s="664">
        <v>45836</v>
      </c>
      <c r="H72" s="664">
        <v>45843</v>
      </c>
      <c r="I72" s="664">
        <v>45850</v>
      </c>
      <c r="J72" s="664">
        <v>45857</v>
      </c>
      <c r="K72" s="664">
        <v>45864</v>
      </c>
      <c r="L72" s="664">
        <v>45871</v>
      </c>
      <c r="M72" s="664">
        <v>45878</v>
      </c>
      <c r="N72" s="664"/>
      <c r="O72" s="664"/>
      <c r="P72" s="664"/>
      <c r="Q72" s="664"/>
      <c r="R72" s="664"/>
      <c r="S72" s="664"/>
      <c r="T72" s="664"/>
      <c r="U72" s="664"/>
      <c r="V72" s="664"/>
      <c r="W72" s="664"/>
      <c r="X72" s="664"/>
      <c r="Y72" s="664"/>
      <c r="Z72" s="664"/>
      <c r="AA72" s="664"/>
      <c r="AB72" s="664"/>
      <c r="AC72" s="664"/>
      <c r="AD72" s="664"/>
      <c r="AE72" s="664"/>
      <c r="AF72" s="664"/>
      <c r="AG72" s="664"/>
      <c r="AH72" s="664"/>
      <c r="AI72" s="257"/>
      <c r="AJ72" s="257"/>
      <c r="AK72" s="257"/>
      <c r="AL72" s="257"/>
      <c r="AM72" s="257"/>
      <c r="AN72" s="257"/>
      <c r="AO72" s="257"/>
      <c r="AP72" s="257"/>
      <c r="AQ72" s="257"/>
      <c r="AR72" s="257"/>
      <c r="AS72" s="257"/>
      <c r="AT72" s="257"/>
      <c r="AU72" s="257"/>
      <c r="AV72" s="257"/>
      <c r="AW72" s="257"/>
      <c r="AX72" s="257"/>
      <c r="AY72" s="257"/>
      <c r="AZ72" s="257"/>
      <c r="BA72" s="257"/>
      <c r="BB72" s="257"/>
      <c r="BC72" s="257"/>
      <c r="BD72" s="257"/>
      <c r="BE72" s="257"/>
      <c r="BF72" s="257"/>
      <c r="BG72" s="257"/>
      <c r="BH72" s="257"/>
      <c r="BI72" s="257"/>
      <c r="BJ72" s="257"/>
      <c r="BK72" s="257"/>
    </row>
    <row r="73" s="84" customFormat="1" ht="14.25">
      <c r="A73" s="260" t="s">
        <v>32</v>
      </c>
      <c r="B73" s="664">
        <v>102.77346938775510204081632653</v>
      </c>
      <c r="C73" s="664">
        <v>104.76968503937007874015748031</v>
      </c>
      <c r="D73" s="664">
        <v>115.15090909090909090909090909</v>
      </c>
      <c r="E73" s="664">
        <v>106.484375000</v>
      </c>
      <c r="F73" s="664">
        <v>102.18135593220338983050847458</v>
      </c>
      <c r="G73" s="664">
        <v>100.78517397881996974281391831</v>
      </c>
      <c r="H73" s="664">
        <v>95.51670951156812339331619537</v>
      </c>
      <c r="I73" s="664">
        <v>97.99803921568627450980392157</v>
      </c>
      <c r="J73" s="664">
        <v>98.87523629489603024574669187</v>
      </c>
      <c r="K73" s="664">
        <v>100.54068241469816272965879265</v>
      </c>
      <c r="L73" s="664">
        <v>103.33214920071047957371225577</v>
      </c>
      <c r="M73" s="664">
        <v>100.45261121856866537717601547</v>
      </c>
      <c r="N73" s="664"/>
      <c r="O73" s="664"/>
      <c r="P73" s="664"/>
      <c r="Q73" s="664"/>
      <c r="R73" s="664"/>
      <c r="S73" s="664"/>
      <c r="T73" s="664"/>
      <c r="U73" s="664"/>
      <c r="V73" s="664"/>
      <c r="W73" s="664"/>
      <c r="X73" s="664"/>
      <c r="Y73" s="664"/>
      <c r="Z73" s="664"/>
      <c r="AA73" s="664"/>
      <c r="AB73" s="664"/>
      <c r="AC73" s="664"/>
      <c r="AD73" s="664"/>
      <c r="AE73" s="664"/>
      <c r="AF73" s="664"/>
      <c r="AG73" s="664"/>
      <c r="AH73" s="664"/>
      <c r="AI73" s="257"/>
      <c r="AJ73" s="257"/>
      <c r="AK73" s="257"/>
      <c r="AL73" s="257"/>
      <c r="AM73" s="257"/>
      <c r="AN73" s="257"/>
      <c r="AO73" s="257"/>
      <c r="AP73" s="257"/>
      <c r="AQ73" s="257"/>
      <c r="AR73" s="257"/>
      <c r="AS73" s="257"/>
      <c r="AT73" s="257"/>
      <c r="AU73" s="257"/>
      <c r="AV73" s="257"/>
      <c r="AW73" s="257"/>
      <c r="AX73" s="257"/>
      <c r="AY73" s="257"/>
      <c r="AZ73" s="257"/>
      <c r="BA73" s="257"/>
      <c r="BB73" s="257"/>
      <c r="BC73" s="257"/>
      <c r="BD73" s="257"/>
      <c r="BE73" s="257"/>
      <c r="BF73" s="257"/>
      <c r="BG73" s="257"/>
      <c r="BH73" s="257"/>
      <c r="BI73" s="257"/>
      <c r="BJ73" s="257"/>
      <c r="BK73" s="257"/>
    </row>
    <row r="74" s="84" customFormat="1" ht="14.25">
      <c r="A74" s="260" t="s">
        <v>26</v>
      </c>
      <c r="B74" s="664">
        <v>134.47078341013824884792626728</v>
      </c>
      <c r="C74" s="664">
        <v>127.38291040772532188841201716</v>
      </c>
      <c r="D74" s="664">
        <v>137.21882680368229501177478056</v>
      </c>
      <c r="E74" s="664">
        <v>135.44609462173621959384066057</v>
      </c>
      <c r="F74" s="664">
        <v>136.92653536811713755413487317</v>
      </c>
      <c r="G74" s="664">
        <v>142.35440396452832131211157067</v>
      </c>
      <c r="H74" s="664">
        <v>128.12612291786329695577254451</v>
      </c>
      <c r="I74" s="664">
        <v>136.84996024272860431052521448</v>
      </c>
      <c r="J74" s="664">
        <v>133.91574382921947965310206804</v>
      </c>
      <c r="K74" s="664">
        <v>138.2962332280978689818468824</v>
      </c>
      <c r="L74" s="664">
        <v>136.88614578879863189397178281</v>
      </c>
      <c r="M74" s="664">
        <v>132.58640638119227539882451722</v>
      </c>
      <c r="N74" s="664"/>
      <c r="O74" s="664"/>
      <c r="P74" s="664"/>
      <c r="Q74" s="664"/>
      <c r="R74" s="664"/>
      <c r="S74" s="664"/>
      <c r="T74" s="664"/>
      <c r="U74" s="664"/>
      <c r="V74" s="664"/>
      <c r="W74" s="664"/>
      <c r="X74" s="664"/>
      <c r="Y74" s="664"/>
      <c r="Z74" s="664"/>
      <c r="AA74" s="664"/>
      <c r="AB74" s="664"/>
      <c r="AC74" s="664"/>
      <c r="AD74" s="664"/>
      <c r="AE74" s="664"/>
      <c r="AF74" s="664"/>
      <c r="AG74" s="664"/>
      <c r="AH74" s="664"/>
      <c r="AI74" s="257"/>
      <c r="AJ74" s="257"/>
      <c r="AK74" s="257"/>
      <c r="AL74" s="257"/>
      <c r="AM74" s="257"/>
      <c r="AN74" s="257"/>
      <c r="AO74" s="257"/>
      <c r="AP74" s="257"/>
      <c r="AQ74" s="257"/>
      <c r="AR74" s="257"/>
      <c r="AS74" s="257"/>
      <c r="AT74" s="257"/>
      <c r="AU74" s="257"/>
      <c r="AV74" s="257"/>
      <c r="AW74" s="257"/>
      <c r="AX74" s="257"/>
      <c r="AY74" s="257"/>
      <c r="AZ74" s="257"/>
      <c r="BA74" s="257"/>
      <c r="BB74" s="257"/>
      <c r="BC74" s="257"/>
      <c r="BD74" s="257"/>
      <c r="BE74" s="257"/>
      <c r="BF74" s="257"/>
      <c r="BG74" s="257"/>
      <c r="BH74" s="257"/>
      <c r="BI74" s="257"/>
      <c r="BJ74" s="257"/>
      <c r="BK74" s="257"/>
    </row>
    <row r="75" s="84" customFormat="1" ht="14.25">
      <c r="A75" s="260" t="s">
        <v>147</v>
      </c>
      <c r="B75" s="664">
        <v>127.83998211091234347048300537</v>
      </c>
      <c r="C75" s="664">
        <v>119.81793117532931685898090473</v>
      </c>
      <c r="D75" s="664">
        <v>132.01555171562577141446556406</v>
      </c>
      <c r="E75" s="664">
        <v>127.87261645624727905964301263</v>
      </c>
      <c r="F75" s="664">
        <v>132.60592160133444537114261885</v>
      </c>
      <c r="G75" s="664">
        <v>129.74813927624262126785867054</v>
      </c>
      <c r="H75" s="664">
        <v>120.9638714974853741147490506</v>
      </c>
      <c r="I75" s="664">
        <v>133.70874684608915054667788057</v>
      </c>
      <c r="J75" s="664">
        <v>130.91767260095527572731220148</v>
      </c>
      <c r="K75" s="664">
        <v>130.27224308041561163014057452</v>
      </c>
      <c r="L75" s="664">
        <v>126.10225398570643210555250137</v>
      </c>
      <c r="M75" s="664">
        <v>125.05979266938171047760088856</v>
      </c>
      <c r="N75" s="664"/>
      <c r="O75" s="664"/>
      <c r="P75" s="664"/>
      <c r="Q75" s="664"/>
      <c r="R75" s="664"/>
      <c r="S75" s="664"/>
      <c r="T75" s="664"/>
      <c r="U75" s="664"/>
      <c r="V75" s="664"/>
      <c r="W75" s="664"/>
      <c r="X75" s="664"/>
      <c r="Y75" s="664"/>
      <c r="Z75" s="664"/>
      <c r="AA75" s="664"/>
      <c r="AB75" s="664"/>
      <c r="AC75" s="664"/>
      <c r="AD75" s="664"/>
      <c r="AE75" s="664"/>
      <c r="AF75" s="664"/>
      <c r="AG75" s="664"/>
      <c r="AH75" s="664"/>
      <c r="AI75" s="257"/>
      <c r="AJ75" s="257"/>
      <c r="AK75" s="257"/>
      <c r="AL75" s="257"/>
      <c r="AM75" s="257"/>
      <c r="AN75" s="257"/>
      <c r="AO75" s="257"/>
      <c r="AP75" s="257"/>
      <c r="AQ75" s="257"/>
      <c r="AR75" s="257"/>
      <c r="AS75" s="257"/>
      <c r="AT75" s="257"/>
      <c r="AU75" s="257"/>
      <c r="AV75" s="257"/>
      <c r="AW75" s="257"/>
      <c r="AX75" s="257"/>
      <c r="AY75" s="257"/>
      <c r="AZ75" s="257"/>
      <c r="BA75" s="257"/>
      <c r="BB75" s="257"/>
      <c r="BC75" s="257"/>
      <c r="BD75" s="257"/>
      <c r="BE75" s="257"/>
      <c r="BF75" s="257"/>
      <c r="BG75" s="257"/>
      <c r="BH75" s="257"/>
      <c r="BI75" s="257"/>
      <c r="BJ75" s="257"/>
      <c r="BK75" s="257"/>
    </row>
    <row r="76" s="84" customFormat="1">
      <c r="A76" s="256"/>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664"/>
      <c r="AI76" s="257"/>
      <c r="AJ76" s="257"/>
      <c r="AK76" s="257"/>
      <c r="AL76" s="257"/>
      <c r="AM76" s="257"/>
      <c r="AN76" s="257"/>
      <c r="AO76" s="257"/>
      <c r="AP76" s="257"/>
      <c r="AQ76" s="257"/>
      <c r="AR76" s="257"/>
      <c r="AS76" s="257"/>
      <c r="AT76" s="257"/>
      <c r="AU76" s="257"/>
      <c r="AV76" s="257"/>
      <c r="AW76" s="257"/>
      <c r="AX76" s="257"/>
      <c r="AY76" s="257"/>
      <c r="AZ76" s="257"/>
      <c r="BA76" s="257"/>
      <c r="BB76" s="257"/>
      <c r="BC76" s="257"/>
      <c r="BD76" s="257"/>
      <c r="BE76" s="257"/>
      <c r="BF76" s="257"/>
      <c r="BG76" s="257"/>
      <c r="BH76" s="257"/>
      <c r="BI76" s="257"/>
      <c r="BJ76" s="257"/>
      <c r="BK76" s="257"/>
    </row>
    <row r="77">
      <c r="A77" s="256"/>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66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c r="BH77" s="244"/>
      <c r="BI77" s="244"/>
      <c r="BJ77" s="244"/>
      <c r="BK77" s="244"/>
    </row>
    <row r="78">
      <c r="A78" s="256"/>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66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c r="BK78" s="244"/>
    </row>
    <row r="79">
      <c r="A79" s="256"/>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66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c r="BK79" s="244"/>
    </row>
    <row r="80">
      <c r="A80" s="24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66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row>
    <row r="81">
      <c r="A81" s="24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66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row>
    <row r="82">
      <c r="A82" s="24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66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row>
    <row r="83">
      <c r="A83" s="24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66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row>
    <row r="84">
      <c r="A84" s="24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66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row>
    <row r="85">
      <c r="A85" s="24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66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row>
    <row r="86">
      <c r="A86" s="24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66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row>
    <row r="87">
      <c r="A87" s="24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66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row>
    <row r="88">
      <c r="A88" s="24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66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row>
    <row r="89">
      <c r="A89" s="24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66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row>
    <row r="90">
      <c r="A90" s="24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66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row>
    <row r="91">
      <c r="A91" s="24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66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row>
    <row r="92">
      <c r="A92" s="24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66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row>
    <row r="93">
      <c r="A93" s="24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66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row>
    <row r="94">
      <c r="A94" s="24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66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row>
    <row r="95">
      <c r="A95" s="244"/>
      <c r="B95" s="664"/>
      <c r="C95" s="664"/>
      <c r="D95" s="664"/>
      <c r="E95" s="664"/>
      <c r="F95" s="664"/>
      <c r="G95" s="664"/>
      <c r="H95" s="664"/>
      <c r="I95" s="664"/>
      <c r="J95" s="664"/>
      <c r="K95" s="664"/>
      <c r="L95" s="664"/>
      <c r="M95" s="664"/>
      <c r="N95" s="664"/>
      <c r="O95" s="664"/>
      <c r="P95" s="664"/>
      <c r="Q95" s="664"/>
      <c r="R95" s="664"/>
      <c r="S95" s="664"/>
      <c r="T95" s="664"/>
      <c r="U95" s="664"/>
      <c r="V95" s="664"/>
      <c r="W95" s="664"/>
      <c r="X95" s="664"/>
      <c r="Y95" s="664"/>
      <c r="Z95" s="664"/>
      <c r="AA95" s="664"/>
      <c r="AB95" s="664"/>
      <c r="AC95" s="664"/>
      <c r="AD95" s="664"/>
      <c r="AE95" s="664"/>
      <c r="AF95" s="664"/>
      <c r="AG95" s="664"/>
      <c r="AH95" s="66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c r="BK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c r="BK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c r="BK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c r="BK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c r="BK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c r="BK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c r="BK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c r="BK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c r="BK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c r="BK113" s="244"/>
    </row>
  </sheetData>
  <mergeCells count="3">
    <mergeCell ref="X22:AD22"/>
    <mergeCell ref="R4:AG4"/>
    <mergeCell ref="B58:AH58"/>
  </mergeCells>
  <phoneticPr fontId="0" type="noConversion"/>
  <printOptions horizontalCentered="1" verticalCentered="1"/>
  <pageMargins left="0.25" right="0.25" top="0.25" bottom="0.25" header="0.19" footer="0.28"/>
  <pageSetup scale="55" orientation="landscape" r:id="rId1"/>
  <headerFooter alignWithMargins="0">
    <oddHeader/>
    <oddFooter/>
  </headerFooter>
  <drawing r:id="rId57"/>
</worksheet>
</file>

<file path=xl/worksheets/sheet1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J113"/>
  <sheetViews>
    <sheetView showGridLines="0" zoomScale="65" workbookViewId="0"/>
  </sheetViews>
  <sheetFormatPr defaultRowHeight="12.75"/>
  <cols>
    <col min="1" max="1" width="1" customWidth="1"/>
    <col min="2" max="2" width="21.7109375" customWidth="1"/>
    <col min="3" max="30" width="8.28515625" customWidth="1"/>
    <col min="31" max="31" width="1.7109375" customWidth="1"/>
    <col min="32" max="34" width="8.28515625" customWidth="1"/>
    <col min="35" max="35" width="2" customWidth="1"/>
    <col min="36" max="39" width="9.28515625" bestFit="1" customWidth="1"/>
  </cols>
  <sheetData>
    <row r="1" ht="36" customHeight="1">
      <c r="A1" s="4"/>
      <c r="B1" s="39" t="s">
        <v>129</v>
      </c>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row>
    <row r="2" ht="17.1" customHeight="1">
      <c r="A2" s="5"/>
      <c r="B2" s="10" t="s">
        <v>141</v>
      </c>
      <c r="AG2" s="216"/>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row>
    <row r="3" ht="17.1" customHeight="1">
      <c r="A3" s="5"/>
      <c r="B3" s="10" t="s">
        <v>142</v>
      </c>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row>
    <row r="4" ht="17.1" customHeight="1">
      <c r="A4" s="5"/>
      <c r="B4" s="4" t="s">
        <v>143</v>
      </c>
      <c r="R4" s="618" t="s">
        <v>157</v>
      </c>
      <c r="S4" s="618"/>
      <c r="T4" s="618"/>
      <c r="U4" s="618"/>
      <c r="V4" s="618"/>
      <c r="W4" s="618"/>
      <c r="X4" s="618"/>
      <c r="Y4" s="618"/>
      <c r="Z4" s="618"/>
      <c r="AA4" s="618"/>
      <c r="AB4" s="618"/>
      <c r="AC4" s="618"/>
      <c r="AD4" s="618"/>
      <c r="AE4" s="618"/>
      <c r="AF4" s="618"/>
      <c r="AG4" s="618"/>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row>
    <row r="5" ht="23.25">
      <c r="A5" s="5"/>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row>
    <row r="6" ht="23.25">
      <c r="A6" s="5"/>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row>
    <row r="7" ht="23.25">
      <c r="A7" s="5"/>
      <c r="Y7" s="26"/>
      <c r="Z7" s="26"/>
      <c r="AA7" s="26"/>
      <c r="AB7" s="26"/>
      <c r="AC7" s="26"/>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row>
    <row r="8" ht="23.25">
      <c r="A8" s="5"/>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row>
    <row r="9" ht="23.25">
      <c r="A9" s="5"/>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row>
    <row r="10" ht="23.25">
      <c r="A10" s="5"/>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row>
    <row r="11" ht="23.25">
      <c r="A11" s="5"/>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row>
    <row r="12" ht="23.25">
      <c r="A12" s="5"/>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row>
    <row r="13" ht="23.25">
      <c r="A13" s="5"/>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row>
    <row r="14" ht="23.25">
      <c r="A14" s="5"/>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row>
    <row r="15" ht="23.25">
      <c r="A15" s="5"/>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row>
    <row r="16" ht="23.25">
      <c r="A16" s="5"/>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row>
    <row r="17" ht="23.25">
      <c r="A17" s="5"/>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row>
    <row r="18" ht="23.25">
      <c r="A18" s="5"/>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row>
    <row r="19" ht="23.25">
      <c r="A19" s="5"/>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row>
    <row r="20" ht="11.25" customHeight="1">
      <c r="A20" s="5"/>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row>
    <row r="21" ht="20.1" customHeight="1" thickBot="1">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row>
    <row r="22" ht="18" customHeight="1">
      <c r="A22" s="8"/>
      <c r="B22" s="29"/>
      <c r="X22" s="517" t="s">
        <v>72</v>
      </c>
      <c r="Y22" s="517"/>
      <c r="Z22" s="517"/>
      <c r="AA22" s="517"/>
      <c r="AB22" s="517"/>
      <c r="AC22" s="517"/>
      <c r="AD22" s="617"/>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row>
    <row r="23" s="23" customFormat="1" ht="16.5">
      <c r="C23" s="50" t="s">
        <v>49</v>
      </c>
      <c r="D23" s="50" t="s">
        <v>47</v>
      </c>
      <c r="E23" s="50" t="s">
        <v>48</v>
      </c>
      <c r="F23" s="50" t="s">
        <v>50</v>
      </c>
      <c r="G23" s="50" t="s">
        <v>51</v>
      </c>
      <c r="H23" s="50" t="s">
        <v>52</v>
      </c>
      <c r="I23" s="50" t="s">
        <v>53</v>
      </c>
      <c r="J23" s="50" t="s">
        <v>49</v>
      </c>
      <c r="K23" s="50" t="s">
        <v>47</v>
      </c>
      <c r="L23" s="50" t="s">
        <v>48</v>
      </c>
      <c r="M23" s="50" t="s">
        <v>50</v>
      </c>
      <c r="N23" s="50" t="s">
        <v>51</v>
      </c>
      <c r="O23" s="50" t="s">
        <v>52</v>
      </c>
      <c r="P23" s="50" t="s">
        <v>53</v>
      </c>
      <c r="Q23" s="50" t="s">
        <v>49</v>
      </c>
      <c r="R23" s="50" t="s">
        <v>47</v>
      </c>
      <c r="S23" s="50" t="s">
        <v>48</v>
      </c>
      <c r="T23" s="50" t="s">
        <v>50</v>
      </c>
      <c r="U23" s="50" t="s">
        <v>51</v>
      </c>
      <c r="V23" s="50" t="s">
        <v>52</v>
      </c>
      <c r="W23" s="50" t="s">
        <v>53</v>
      </c>
      <c r="X23" s="51" t="s">
        <v>49</v>
      </c>
      <c r="Y23" s="50" t="s">
        <v>47</v>
      </c>
      <c r="Z23" s="50" t="s">
        <v>48</v>
      </c>
      <c r="AA23" s="50" t="s">
        <v>50</v>
      </c>
      <c r="AB23" s="50" t="s">
        <v>51</v>
      </c>
      <c r="AC23" s="50" t="s">
        <v>52</v>
      </c>
      <c r="AD23" s="52" t="s">
        <v>53</v>
      </c>
      <c r="AE23" s="4"/>
      <c r="AI23" s="4"/>
      <c r="AJ23" s="261"/>
      <c r="AK23" s="261"/>
      <c r="AL23" s="261"/>
      <c r="AM23" s="261"/>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row>
    <row r="24" s="41" customFormat="1" ht="18">
      <c r="B24" s="417" t="s">
        <v>13</v>
      </c>
      <c r="C24" s="309" t="s">
        <v>148</v>
      </c>
      <c r="D24" s="310"/>
      <c r="E24" s="310"/>
      <c r="F24" s="310"/>
      <c r="G24" s="310"/>
      <c r="H24" s="310"/>
      <c r="I24" s="310"/>
      <c r="J24" s="310"/>
      <c r="K24" s="310"/>
      <c r="L24" s="310"/>
      <c r="M24" s="310"/>
      <c r="N24" s="310"/>
      <c r="O24" s="310"/>
      <c r="P24" s="310"/>
      <c r="Q24" s="310"/>
      <c r="R24" s="310"/>
      <c r="S24" s="311"/>
      <c r="T24" s="311"/>
      <c r="U24" s="311"/>
      <c r="V24" s="656" t="s">
        <v>145</v>
      </c>
      <c r="W24" s="311"/>
      <c r="X24" s="312"/>
      <c r="Y24" s="311"/>
      <c r="Z24" s="311"/>
      <c r="AA24" s="311"/>
      <c r="AB24" s="311"/>
      <c r="AC24" s="311"/>
      <c r="AD24" s="336"/>
      <c r="AE24" s="25"/>
      <c r="AF24" s="316" t="s">
        <v>58</v>
      </c>
      <c r="AG24" s="317" t="s">
        <v>59</v>
      </c>
      <c r="AH24" s="318" t="s">
        <v>59</v>
      </c>
      <c r="AI24" s="25"/>
      <c r="AJ24" s="255"/>
      <c r="AK24" s="255"/>
      <c r="AL24" s="255"/>
      <c r="AM24" s="255"/>
      <c r="AN24" s="263"/>
      <c r="AO24" s="263"/>
      <c r="AP24" s="263"/>
      <c r="AQ24" s="263"/>
      <c r="AR24" s="263"/>
      <c r="AS24" s="263"/>
      <c r="AT24" s="263"/>
      <c r="AU24" s="263"/>
      <c r="AV24" s="263"/>
      <c r="AW24" s="263"/>
      <c r="AX24" s="263"/>
      <c r="AY24" s="263"/>
      <c r="AZ24" s="263"/>
      <c r="BA24" s="263"/>
      <c r="BB24" s="263"/>
      <c r="BC24" s="263"/>
      <c r="BD24" s="263"/>
      <c r="BE24" s="263"/>
      <c r="BF24" s="263"/>
      <c r="BG24" s="263"/>
      <c r="BH24" s="263"/>
      <c r="BI24" s="263"/>
      <c r="BJ24" s="263"/>
    </row>
    <row r="25" s="42" customFormat="1">
      <c r="C25" s="313">
        <v>13</v>
      </c>
      <c r="D25" s="314">
        <v>14</v>
      </c>
      <c r="E25" s="314">
        <v>15</v>
      </c>
      <c r="F25" s="314">
        <v>16</v>
      </c>
      <c r="G25" s="314">
        <v>17</v>
      </c>
      <c r="H25" s="314">
        <v>18</v>
      </c>
      <c r="I25" s="314">
        <v>19</v>
      </c>
      <c r="J25" s="314">
        <v>20</v>
      </c>
      <c r="K25" s="314">
        <v>21</v>
      </c>
      <c r="L25" s="314">
        <v>22</v>
      </c>
      <c r="M25" s="314">
        <v>23</v>
      </c>
      <c r="N25" s="314">
        <v>24</v>
      </c>
      <c r="O25" s="314">
        <v>25</v>
      </c>
      <c r="P25" s="314">
        <v>26</v>
      </c>
      <c r="Q25" s="314">
        <v>27</v>
      </c>
      <c r="R25" s="314">
        <v>28</v>
      </c>
      <c r="S25" s="314">
        <v>29</v>
      </c>
      <c r="T25" s="314">
        <v>30</v>
      </c>
      <c r="U25" s="314">
        <v>31</v>
      </c>
      <c r="V25" s="674">
        <v>1</v>
      </c>
      <c r="W25" s="314">
        <v>2</v>
      </c>
      <c r="X25" s="315">
        <v>3</v>
      </c>
      <c r="Y25" s="314">
        <v>4</v>
      </c>
      <c r="Z25" s="314">
        <v>5</v>
      </c>
      <c r="AA25" s="314">
        <v>6</v>
      </c>
      <c r="AB25" s="314">
        <v>7</v>
      </c>
      <c r="AC25" s="314">
        <v>8</v>
      </c>
      <c r="AD25" s="373">
        <v>9</v>
      </c>
      <c r="AE25" s="25"/>
      <c r="AF25" s="319" t="s">
        <v>60</v>
      </c>
      <c r="AG25" s="320">
        <v>28</v>
      </c>
      <c r="AH25" s="321" t="s">
        <v>31</v>
      </c>
      <c r="AI25" s="25"/>
      <c r="AJ25" s="255"/>
      <c r="AK25" s="255"/>
      <c r="AL25" s="255"/>
      <c r="AM25" s="255"/>
      <c r="AN25" s="264"/>
      <c r="AO25" s="264"/>
      <c r="AP25" s="264"/>
      <c r="AQ25" s="264"/>
      <c r="AR25" s="264"/>
      <c r="AS25" s="264"/>
      <c r="AT25" s="264"/>
      <c r="AU25" s="264"/>
      <c r="AV25" s="264"/>
      <c r="AW25" s="264"/>
      <c r="AX25" s="264"/>
      <c r="AY25" s="264"/>
      <c r="AZ25" s="264"/>
      <c r="BA25" s="264"/>
      <c r="BB25" s="264"/>
      <c r="BC25" s="264"/>
      <c r="BD25" s="264"/>
      <c r="BE25" s="264"/>
      <c r="BF25" s="264"/>
      <c r="BG25" s="264"/>
      <c r="BH25" s="264"/>
      <c r="BI25" s="264"/>
      <c r="BJ25" s="264"/>
    </row>
    <row r="26" ht="14.25" customHeight="1">
      <c r="B26" s="46" t="s">
        <v>32</v>
      </c>
      <c r="C26" s="461">
        <v>28.064516129032258064516129032</v>
      </c>
      <c r="D26" s="462">
        <v>28.161290322580645161290322581</v>
      </c>
      <c r="E26" s="462">
        <v>39.698924731182795698924731183</v>
      </c>
      <c r="F26" s="462">
        <v>42.44623655913978494623655914</v>
      </c>
      <c r="G26" s="462">
        <v>32.747311827956989247311827957</v>
      </c>
      <c r="H26" s="462">
        <v>55.924731182795698924731182796</v>
      </c>
      <c r="I26" s="462">
        <v>54.166666666666666666666666667</v>
      </c>
      <c r="J26" s="462">
        <v>18.349462365591397849462365591</v>
      </c>
      <c r="K26" s="462">
        <v>28.698924731182795698924731183</v>
      </c>
      <c r="L26" s="462">
        <v>75.268817204301075268817204301</v>
      </c>
      <c r="M26" s="462">
        <v>67.209677419354838709677419355</v>
      </c>
      <c r="N26" s="462">
        <v>9.150537634408602150537634409</v>
      </c>
      <c r="O26" s="462">
        <v>3.3064516129032258064516129032</v>
      </c>
      <c r="P26" s="462">
        <v>3.9623655913978494623655913978</v>
      </c>
      <c r="Q26" s="462">
        <v>5.2096774193548387096774193548</v>
      </c>
      <c r="R26" s="462">
        <v>59.430107526881720430107526882</v>
      </c>
      <c r="S26" s="462">
        <v>70.145161290322580645161290323</v>
      </c>
      <c r="T26" s="462">
        <v>76.403225806451612903225806452</v>
      </c>
      <c r="U26" s="462">
        <v>19.586021505376344086021505376</v>
      </c>
      <c r="V26" s="671">
        <v>37.05376344086021505376344086</v>
      </c>
      <c r="W26" s="462">
        <v>44.94623655913978494623655914</v>
      </c>
      <c r="X26" s="463">
        <v>13.177419354838709677419354839</v>
      </c>
      <c r="Y26" s="462">
        <v>18.994623655913978494623655914</v>
      </c>
      <c r="Z26" s="462">
        <v>30.870967741935483870967741935</v>
      </c>
      <c r="AA26" s="462">
        <v>38.532258064516129032258064516</v>
      </c>
      <c r="AB26" s="462">
        <v>32.483870967741935483870967742</v>
      </c>
      <c r="AC26" s="462">
        <v>74.913978494623655913978494624</v>
      </c>
      <c r="AD26" s="464">
        <v>70.241935483870967741935483871</v>
      </c>
      <c r="AE26" s="465"/>
      <c r="AF26" s="461">
        <v>39.88786482334869431643625192</v>
      </c>
      <c r="AG26" s="462">
        <v>38.54089861751152073732718894</v>
      </c>
      <c r="AH26" s="466">
        <v>40.135005973715651135005973716</v>
      </c>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row>
    <row r="27" ht="14.25" customHeight="1">
      <c r="B27" s="47" t="s">
        <v>26</v>
      </c>
      <c r="C27" s="370">
        <v>51.410469613259668508287292818</v>
      </c>
      <c r="D27" s="85">
        <v>68.078720073664825046040515654</v>
      </c>
      <c r="E27" s="85">
        <v>95.56536832412523020257826888</v>
      </c>
      <c r="F27" s="85">
        <v>78.160230202578268876611418048</v>
      </c>
      <c r="G27" s="85">
        <v>73.626620626151012891344383057</v>
      </c>
      <c r="H27" s="85">
        <v>93.67715469613259668508287293</v>
      </c>
      <c r="I27" s="85">
        <v>94.01099447513812154696132597</v>
      </c>
      <c r="J27" s="85">
        <v>57.896602209944751381215469613</v>
      </c>
      <c r="K27" s="85">
        <v>90.7053775322283609576427256</v>
      </c>
      <c r="L27" s="85">
        <v>106.14704419889502762430939227</v>
      </c>
      <c r="M27" s="85">
        <v>97.06558011049723756906077348</v>
      </c>
      <c r="N27" s="85">
        <v>77.26110497237569060773480663</v>
      </c>
      <c r="O27" s="85">
        <v>110.57784530386740331491712707</v>
      </c>
      <c r="P27" s="85">
        <v>105.7288674033149171270718232</v>
      </c>
      <c r="Q27" s="85">
        <v>59.588858195211786372007366483</v>
      </c>
      <c r="R27" s="85">
        <v>96.60455801104972375690607735</v>
      </c>
      <c r="S27" s="85">
        <v>105.53868324125230202578268877</v>
      </c>
      <c r="T27" s="85">
        <v>95.24116942909760589318600368</v>
      </c>
      <c r="U27" s="85">
        <v>59.688112338858195211786372007</v>
      </c>
      <c r="V27" s="672">
        <v>85.1956721915285451197053407</v>
      </c>
      <c r="W27" s="85">
        <v>87.78695211786372007366482505</v>
      </c>
      <c r="X27" s="86">
        <v>52.31149171270718232044198895</v>
      </c>
      <c r="Y27" s="85">
        <v>71.818480662983425414364640884</v>
      </c>
      <c r="Z27" s="85">
        <v>72.087909760589318600368324125</v>
      </c>
      <c r="AA27" s="85">
        <v>69.75759668508287292817679558</v>
      </c>
      <c r="AB27" s="85">
        <v>52.463406998158379373848987109</v>
      </c>
      <c r="AC27" s="85">
        <v>50.55543278084714548802946593</v>
      </c>
      <c r="AD27" s="87">
        <v>67.222283609576427255985267035</v>
      </c>
      <c r="AE27" s="169"/>
      <c r="AF27" s="370">
        <v>62.316657458563535911602209945</v>
      </c>
      <c r="AG27" s="85">
        <v>79.4918781241778479347540121</v>
      </c>
      <c r="AH27" s="371">
        <v>67.688802946593001841620626151</v>
      </c>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row>
    <row r="28" ht="14.25" customHeight="1">
      <c r="A28" s="24"/>
      <c r="B28" s="49" t="s">
        <v>147</v>
      </c>
      <c r="C28" s="467">
        <v>61.895238095238095238095238095</v>
      </c>
      <c r="D28" s="468">
        <v>103.0385487528344671201814059</v>
      </c>
      <c r="E28" s="468">
        <v>124.96371882086167800453514739</v>
      </c>
      <c r="F28" s="468">
        <v>112.31700680272108843537414966</v>
      </c>
      <c r="G28" s="468">
        <v>92.4448979591836734693877551</v>
      </c>
      <c r="H28" s="468">
        <v>94.51473922902494331065759637</v>
      </c>
      <c r="I28" s="468">
        <v>94.50702947845804988662131519</v>
      </c>
      <c r="J28" s="468">
        <v>64.737868480725623582766439909</v>
      </c>
      <c r="K28" s="468">
        <v>102.73333333333333333333333333</v>
      </c>
      <c r="L28" s="468">
        <v>121.44580498866213151927437642</v>
      </c>
      <c r="M28" s="468">
        <v>114.01360544217687074829931973</v>
      </c>
      <c r="N28" s="468">
        <v>87.53741496598639455782312925</v>
      </c>
      <c r="O28" s="468">
        <v>96.79455782312925170068027211</v>
      </c>
      <c r="P28" s="468">
        <v>89.3850340136054421768707483</v>
      </c>
      <c r="Q28" s="468">
        <v>60.233106575963718820861678005</v>
      </c>
      <c r="R28" s="468">
        <v>101.89795918367346938775510204</v>
      </c>
      <c r="S28" s="468">
        <v>113.43628117913832199546485261</v>
      </c>
      <c r="T28" s="468">
        <v>99.44081632653061224489795918</v>
      </c>
      <c r="U28" s="468">
        <v>80.07573696145124716553287982</v>
      </c>
      <c r="V28" s="673">
        <v>86.22222222222222222222222222</v>
      </c>
      <c r="W28" s="468">
        <v>82.85714285714285714285714286</v>
      </c>
      <c r="X28" s="469">
        <v>55.211791383219954648526077098</v>
      </c>
      <c r="Y28" s="468">
        <v>89.88253968253968253968253968</v>
      </c>
      <c r="Z28" s="468">
        <v>106.01587301587301587301587302</v>
      </c>
      <c r="AA28" s="468">
        <v>103.91609977324263038548752834</v>
      </c>
      <c r="AB28" s="468">
        <v>84.79410430839002267573696145</v>
      </c>
      <c r="AC28" s="468">
        <v>85.83265306122448979591836735</v>
      </c>
      <c r="AD28" s="470">
        <v>87.11156462585034013605442177</v>
      </c>
      <c r="AE28" s="465"/>
      <c r="AF28" s="467">
        <v>87.53780369290573372206025267</v>
      </c>
      <c r="AG28" s="468">
        <v>92.75916747651441528992549401</v>
      </c>
      <c r="AH28" s="471">
        <v>86.87155454774502393550012598</v>
      </c>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row>
    <row r="29" ht="0" hidden="1" customHeight="1">
      <c r="A29" s="24"/>
      <c r="B29" s="53"/>
      <c r="C29" s="492"/>
      <c r="D29" s="492"/>
      <c r="E29" s="492"/>
      <c r="F29" s="492"/>
      <c r="G29" s="492"/>
      <c r="H29" s="492"/>
      <c r="I29" s="492"/>
      <c r="J29" s="492"/>
      <c r="K29" s="492"/>
      <c r="L29" s="492"/>
      <c r="M29" s="492"/>
      <c r="N29" s="492"/>
      <c r="O29" s="492"/>
      <c r="P29" s="492"/>
      <c r="Q29" s="492"/>
      <c r="R29" s="492"/>
      <c r="S29" s="492"/>
      <c r="T29" s="492"/>
      <c r="U29" s="492"/>
      <c r="V29" s="492"/>
      <c r="W29" s="492"/>
      <c r="X29" s="493"/>
      <c r="Y29" s="492"/>
      <c r="Z29" s="492"/>
      <c r="AA29" s="492"/>
      <c r="AB29" s="492"/>
      <c r="AC29" s="492"/>
      <c r="AD29" s="494"/>
      <c r="AE29" s="169"/>
      <c r="AF29" s="492"/>
      <c r="AG29" s="492"/>
      <c r="AH29" s="492"/>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row>
    <row r="30" ht="0" hidden="1" customHeight="1">
      <c r="A30" s="24"/>
      <c r="B30" s="236" t="s">
        <v>82</v>
      </c>
      <c r="C30" s="367"/>
      <c r="D30" s="368"/>
      <c r="E30" s="368"/>
      <c r="F30" s="368"/>
      <c r="G30" s="368"/>
      <c r="H30" s="368"/>
      <c r="I30" s="368"/>
      <c r="J30" s="368"/>
      <c r="K30" s="368"/>
      <c r="L30" s="368"/>
      <c r="M30" s="368"/>
      <c r="N30" s="368"/>
      <c r="O30" s="368"/>
      <c r="P30" s="368"/>
      <c r="Q30" s="368"/>
      <c r="R30" s="368"/>
      <c r="S30" s="368"/>
      <c r="T30" s="368"/>
      <c r="U30" s="368"/>
      <c r="V30" s="368"/>
      <c r="W30" s="368"/>
      <c r="X30" s="369"/>
      <c r="Y30" s="368"/>
      <c r="Z30" s="368"/>
      <c r="AA30" s="368"/>
      <c r="AB30" s="368"/>
      <c r="AC30" s="368"/>
      <c r="AD30" s="372"/>
      <c r="AE30" s="169"/>
      <c r="AF30" s="492"/>
      <c r="AG30" s="492"/>
      <c r="AH30" s="492"/>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row>
    <row r="31" ht="12" customHeight="1">
      <c r="B31" s="4"/>
      <c r="X31" s="27"/>
      <c r="AD31" s="28"/>
      <c r="AF31" s="22"/>
      <c r="AG31" s="22"/>
      <c r="AH31" s="22"/>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row>
    <row r="32" ht="18">
      <c r="B32" s="29"/>
      <c r="X32" s="27"/>
      <c r="AD32" s="28"/>
      <c r="AF32" s="22"/>
      <c r="AG32" s="22"/>
      <c r="AH32" s="22"/>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row>
    <row r="33" s="41" customFormat="1" ht="18">
      <c r="B33" s="417" t="s">
        <v>79</v>
      </c>
      <c r="C33" s="309" t="s">
        <v>148</v>
      </c>
      <c r="D33" s="310"/>
      <c r="E33" s="310"/>
      <c r="F33" s="310"/>
      <c r="G33" s="310"/>
      <c r="H33" s="310"/>
      <c r="I33" s="310"/>
      <c r="J33" s="310"/>
      <c r="K33" s="310"/>
      <c r="L33" s="310"/>
      <c r="M33" s="310"/>
      <c r="N33" s="310"/>
      <c r="O33" s="310"/>
      <c r="P33" s="310"/>
      <c r="Q33" s="310"/>
      <c r="R33" s="310"/>
      <c r="S33" s="311"/>
      <c r="T33" s="311"/>
      <c r="U33" s="311"/>
      <c r="V33" s="656" t="s">
        <v>145</v>
      </c>
      <c r="W33" s="311"/>
      <c r="X33" s="312"/>
      <c r="Y33" s="311"/>
      <c r="Z33" s="311"/>
      <c r="AA33" s="311"/>
      <c r="AB33" s="311"/>
      <c r="AC33" s="311"/>
      <c r="AD33" s="336"/>
      <c r="AE33" s="25"/>
      <c r="AF33" s="316" t="s">
        <v>58</v>
      </c>
      <c r="AG33" s="317" t="s">
        <v>59</v>
      </c>
      <c r="AH33" s="318" t="s">
        <v>59</v>
      </c>
      <c r="AI33" s="25"/>
      <c r="AJ33" s="255"/>
      <c r="AK33" s="255"/>
      <c r="AL33" s="255"/>
      <c r="AM33" s="255"/>
      <c r="AN33" s="263"/>
      <c r="AO33" s="263"/>
      <c r="AP33" s="263"/>
      <c r="AQ33" s="263"/>
      <c r="AR33" s="263"/>
      <c r="AS33" s="263"/>
      <c r="AT33" s="263"/>
      <c r="AU33" s="263"/>
      <c r="AV33" s="263"/>
      <c r="AW33" s="263"/>
      <c r="AX33" s="263"/>
      <c r="AY33" s="263"/>
      <c r="AZ33" s="263"/>
      <c r="BA33" s="263"/>
      <c r="BB33" s="263"/>
      <c r="BC33" s="263"/>
      <c r="BD33" s="263"/>
      <c r="BE33" s="263"/>
      <c r="BF33" s="263"/>
      <c r="BG33" s="263"/>
      <c r="BH33" s="263"/>
      <c r="BI33" s="263"/>
      <c r="BJ33" s="263"/>
    </row>
    <row r="34" s="42" customFormat="1">
      <c r="C34" s="313">
        <v>13</v>
      </c>
      <c r="D34" s="314">
        <v>14</v>
      </c>
      <c r="E34" s="314">
        <v>15</v>
      </c>
      <c r="F34" s="314">
        <v>16</v>
      </c>
      <c r="G34" s="314">
        <v>17</v>
      </c>
      <c r="H34" s="314">
        <v>18</v>
      </c>
      <c r="I34" s="314">
        <v>19</v>
      </c>
      <c r="J34" s="314">
        <v>20</v>
      </c>
      <c r="K34" s="314">
        <v>21</v>
      </c>
      <c r="L34" s="314">
        <v>22</v>
      </c>
      <c r="M34" s="314">
        <v>23</v>
      </c>
      <c r="N34" s="314">
        <v>24</v>
      </c>
      <c r="O34" s="314">
        <v>25</v>
      </c>
      <c r="P34" s="314">
        <v>26</v>
      </c>
      <c r="Q34" s="314">
        <v>27</v>
      </c>
      <c r="R34" s="314">
        <v>28</v>
      </c>
      <c r="S34" s="314">
        <v>29</v>
      </c>
      <c r="T34" s="314">
        <v>30</v>
      </c>
      <c r="U34" s="314">
        <v>31</v>
      </c>
      <c r="V34" s="674">
        <v>1</v>
      </c>
      <c r="W34" s="314">
        <v>2</v>
      </c>
      <c r="X34" s="315">
        <v>3</v>
      </c>
      <c r="Y34" s="314">
        <v>4</v>
      </c>
      <c r="Z34" s="314">
        <v>5</v>
      </c>
      <c r="AA34" s="314">
        <v>6</v>
      </c>
      <c r="AB34" s="314">
        <v>7</v>
      </c>
      <c r="AC34" s="314">
        <v>8</v>
      </c>
      <c r="AD34" s="373">
        <v>9</v>
      </c>
      <c r="AE34" s="25"/>
      <c r="AF34" s="319" t="s">
        <v>60</v>
      </c>
      <c r="AG34" s="320">
        <v>28</v>
      </c>
      <c r="AH34" s="321" t="s">
        <v>31</v>
      </c>
      <c r="AI34" s="25"/>
      <c r="AJ34" s="255"/>
      <c r="AK34" s="255"/>
      <c r="AL34" s="255"/>
      <c r="AM34" s="255"/>
      <c r="AN34" s="264"/>
      <c r="AO34" s="264"/>
      <c r="AP34" s="264"/>
      <c r="AQ34" s="264"/>
      <c r="AR34" s="264"/>
      <c r="AS34" s="264"/>
      <c r="AT34" s="264"/>
      <c r="AU34" s="264"/>
      <c r="AV34" s="264"/>
      <c r="AW34" s="264"/>
      <c r="AX34" s="264"/>
      <c r="AY34" s="264"/>
      <c r="AZ34" s="264"/>
      <c r="BA34" s="264"/>
      <c r="BB34" s="264"/>
      <c r="BC34" s="264"/>
      <c r="BD34" s="264"/>
      <c r="BE34" s="264"/>
      <c r="BF34" s="264"/>
      <c r="BG34" s="264"/>
      <c r="BH34" s="264"/>
      <c r="BI34" s="264"/>
      <c r="BJ34" s="264"/>
    </row>
    <row r="35" ht="14.25" customHeight="1">
      <c r="B35" s="46" t="s">
        <v>32</v>
      </c>
      <c r="C35" s="444">
        <v>34.848876259294833956983056140</v>
      </c>
      <c r="D35" s="445">
        <v>-16.724960254432919742898188960</v>
      </c>
      <c r="E35" s="445">
        <v>17.542184017783810690601292400</v>
      </c>
      <c r="F35" s="445">
        <v>31.386253952417845190942161880</v>
      </c>
      <c r="G35" s="445">
        <v>19.877976776116622969263897570</v>
      </c>
      <c r="H35" s="445">
        <v>907.9457364294204074274600601</v>
      </c>
      <c r="I35" s="445">
        <v>180.56251740466954539416396595</v>
      </c>
      <c r="J35" s="445">
        <v>-61.569643058248783116263259740</v>
      </c>
      <c r="K35" s="445">
        <v>-59.076970254543858632039252570</v>
      </c>
      <c r="L35" s="445">
        <v>-12.060301507576355395065764170</v>
      </c>
      <c r="M35" s="445">
        <v>-29.040131690949690923588080700</v>
      </c>
      <c r="N35" s="445">
        <v>-88.13523875915283785604485107</v>
      </c>
      <c r="O35" s="445">
        <v>-93.16894368544501605096423357</v>
      </c>
      <c r="P35" s="445">
        <v>-87.68176500084846616362940657</v>
      </c>
      <c r="Q35" s="445">
        <v>-74.653413549617463965402257590</v>
      </c>
      <c r="R35" s="445">
        <v>58.480286738351254480286738350</v>
      </c>
      <c r="S35" s="445">
        <v>113.22111456097979814786888859</v>
      </c>
      <c r="T35" s="445">
        <v>262.61801480000839531776474319</v>
      </c>
      <c r="U35" s="445">
        <v>-11.962300628493064667707118290</v>
      </c>
      <c r="V35" s="658">
        <v>24.090745408562510430540470820</v>
      </c>
      <c r="W35" s="445">
        <v>72.122709491498156732837100640</v>
      </c>
      <c r="X35" s="446">
        <v>-33.487109905056452043470797040</v>
      </c>
      <c r="Y35" s="445">
        <v>26.133523741908157195351806550</v>
      </c>
      <c r="Z35" s="445">
        <v>13.590504451200366297141175590</v>
      </c>
      <c r="AA35" s="445">
        <v>18.111404086935984572124630200</v>
      </c>
      <c r="AB35" s="445">
        <v>18.493822318203838560149067840</v>
      </c>
      <c r="AC35" s="445">
        <v>72.942782673352918356671537370</v>
      </c>
      <c r="AD35" s="447">
        <v>22.262773722682655934294298780</v>
      </c>
      <c r="AE35" s="448"/>
      <c r="AF35" s="444">
        <v>25.290101565522727893321479250</v>
      </c>
      <c r="AG35" s="445">
        <v>3.5792243981411628688294322600</v>
      </c>
      <c r="AH35" s="449">
        <v>48.267643553612036384900843370</v>
      </c>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row>
    <row r="36" ht="14.25" customHeight="1">
      <c r="B36" s="47" t="s">
        <v>26</v>
      </c>
      <c r="C36" s="327">
        <v>3.9252647840770250578793193200</v>
      </c>
      <c r="D36" s="81">
        <v>0.0446411053235332343863818500</v>
      </c>
      <c r="E36" s="81">
        <v>24.541913858884545883072148890</v>
      </c>
      <c r="F36" s="81">
        <v>-0.2150591989434997602831098700</v>
      </c>
      <c r="G36" s="81">
        <v>-6.660748222101874718680455500</v>
      </c>
      <c r="H36" s="81">
        <v>2.7971555247722538450705234700</v>
      </c>
      <c r="I36" s="81">
        <v>13.122975325749892258828853590</v>
      </c>
      <c r="J36" s="81">
        <v>27.259212602777536055608032840</v>
      </c>
      <c r="K36" s="81">
        <v>28.449106694455827805843378050</v>
      </c>
      <c r="L36" s="81">
        <v>29.093771071080578042953905690</v>
      </c>
      <c r="M36" s="81">
        <v>22.793755078151463861159587660</v>
      </c>
      <c r="N36" s="81">
        <v>12.769787871038027606159453710</v>
      </c>
      <c r="O36" s="81">
        <v>15.638610432461078819840058870</v>
      </c>
      <c r="P36" s="81">
        <v>15.605342662704535417184795830</v>
      </c>
      <c r="Q36" s="81">
        <v>23.235054677716178833629445070</v>
      </c>
      <c r="R36" s="81">
        <v>29.952225664209036906687967040</v>
      </c>
      <c r="S36" s="81">
        <v>20.673203012824597714722691940</v>
      </c>
      <c r="T36" s="81">
        <v>12.364091172402181525577894600</v>
      </c>
      <c r="U36" s="81">
        <v>-4.681848547209603594875822500</v>
      </c>
      <c r="V36" s="659">
        <v>8.591998187895315315131945200</v>
      </c>
      <c r="W36" s="81">
        <v>33.576476146546167974453056390</v>
      </c>
      <c r="X36" s="82">
        <v>11.134329461810918092001660260</v>
      </c>
      <c r="Y36" s="81">
        <v>20.770894158216889353920895060</v>
      </c>
      <c r="Z36" s="81">
        <v>5.643279600493629408482521400</v>
      </c>
      <c r="AA36" s="81">
        <v>-19.433339820670079407806132370</v>
      </c>
      <c r="AB36" s="81">
        <v>-25.960318550469222237094507010</v>
      </c>
      <c r="AC36" s="81">
        <v>-18.850133505170411309103828110</v>
      </c>
      <c r="AD36" s="83">
        <v>9.551451218956512532098947590</v>
      </c>
      <c r="AE36" s="88"/>
      <c r="AF36" s="327">
        <v>-4.3126014540814136532041876800</v>
      </c>
      <c r="AG36" s="81">
        <v>10.391551137085656437132362420</v>
      </c>
      <c r="AH36" s="328">
        <v>1.3119305188918356773091413900</v>
      </c>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row>
    <row r="37" ht="14.25" customHeight="1">
      <c r="A37" s="24"/>
      <c r="B37" s="49" t="s">
        <v>147</v>
      </c>
      <c r="C37" s="450">
        <v>11.237988116584320331030118180</v>
      </c>
      <c r="D37" s="451">
        <v>25.030955067003963100323776360</v>
      </c>
      <c r="E37" s="451">
        <v>20.200927424506774604274951930</v>
      </c>
      <c r="F37" s="451">
        <v>12.533397553535074528701866350</v>
      </c>
      <c r="G37" s="451">
        <v>8.889423076889048978365395250</v>
      </c>
      <c r="H37" s="451">
        <v>14.296604638667334548818023790</v>
      </c>
      <c r="I37" s="451">
        <v>21.484953420331233844673466750</v>
      </c>
      <c r="J37" s="451">
        <v>9.914453573184757218317015910</v>
      </c>
      <c r="K37" s="451">
        <v>28.190661588696029649149143780</v>
      </c>
      <c r="L37" s="451">
        <v>13.127233708145167216907833960</v>
      </c>
      <c r="M37" s="451">
        <v>12.966424617136594000010785370</v>
      </c>
      <c r="N37" s="451">
        <v>9.840832655196557147839330370</v>
      </c>
      <c r="O37" s="451">
        <v>9.531507397692179909401436980</v>
      </c>
      <c r="P37" s="451">
        <v>14.222296917448315061433641270</v>
      </c>
      <c r="Q37" s="451">
        <v>9.192406666041219598682972540</v>
      </c>
      <c r="R37" s="451">
        <v>34.606398274638298734521659760</v>
      </c>
      <c r="S37" s="451">
        <v>26.798097980335164588896661650</v>
      </c>
      <c r="T37" s="451">
        <v>17.263859326336891353801883550</v>
      </c>
      <c r="U37" s="451">
        <v>13.58443229326445834787336100</v>
      </c>
      <c r="V37" s="660">
        <v>9.395768480463859767033910650</v>
      </c>
      <c r="W37" s="451">
        <v>11.911499871358894295094458530</v>
      </c>
      <c r="X37" s="452">
        <v>7.0014765856163212816219305900</v>
      </c>
      <c r="Y37" s="451">
        <v>7.1036390951109188665065912100</v>
      </c>
      <c r="Z37" s="451">
        <v>4.4671067038291312551630701700</v>
      </c>
      <c r="AA37" s="451">
        <v>10.913456185936036555411295420</v>
      </c>
      <c r="AB37" s="451">
        <v>18.938295165398941665209875280</v>
      </c>
      <c r="AC37" s="451">
        <v>20.887971946604894274139925110</v>
      </c>
      <c r="AD37" s="453">
        <v>22.214587031642774008325981730</v>
      </c>
      <c r="AE37" s="448"/>
      <c r="AF37" s="450">
        <v>12.585554942706351039129951760</v>
      </c>
      <c r="AG37" s="451">
        <v>15.249579759031674137180020880</v>
      </c>
      <c r="AH37" s="454">
        <v>12.278743338981166219616458410</v>
      </c>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c r="BH37" s="244"/>
      <c r="BI37" s="244"/>
      <c r="BJ37" s="244"/>
    </row>
    <row r="38" ht="13.5" customHeight="1">
      <c r="B38" s="40"/>
      <c r="C38" s="23"/>
      <c r="D38" s="23"/>
      <c r="E38" s="23"/>
      <c r="F38" s="23"/>
      <c r="G38" s="23"/>
      <c r="H38" s="23"/>
      <c r="I38" s="23"/>
      <c r="J38" s="23"/>
      <c r="K38" s="23"/>
      <c r="L38" s="23"/>
      <c r="M38" s="23"/>
      <c r="N38" s="23"/>
      <c r="O38" s="23"/>
      <c r="P38" s="23"/>
      <c r="Q38" s="23"/>
      <c r="R38" s="23"/>
      <c r="S38" s="23"/>
      <c r="T38" s="23"/>
      <c r="U38" s="23"/>
      <c r="V38" s="23"/>
      <c r="W38" s="23"/>
      <c r="X38" s="44"/>
      <c r="Y38" s="23"/>
      <c r="Z38" s="23"/>
      <c r="AA38" s="23"/>
      <c r="AB38" s="23"/>
      <c r="AC38" s="23"/>
      <c r="AD38" s="45"/>
      <c r="AF38" s="43"/>
      <c r="AG38" s="43"/>
      <c r="AH38" s="43"/>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row>
    <row r="39" ht="18">
      <c r="B39" s="29"/>
      <c r="X39" s="27"/>
      <c r="AD39" s="28"/>
      <c r="AF39" s="43"/>
      <c r="AG39" s="43"/>
      <c r="AH39" s="43"/>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row>
    <row r="40" s="41" customFormat="1" ht="18">
      <c r="B40" s="417" t="s">
        <v>93</v>
      </c>
      <c r="C40" s="309" t="s">
        <v>148</v>
      </c>
      <c r="D40" s="310"/>
      <c r="E40" s="310"/>
      <c r="F40" s="310"/>
      <c r="G40" s="310"/>
      <c r="H40" s="310"/>
      <c r="I40" s="310"/>
      <c r="J40" s="310"/>
      <c r="K40" s="310"/>
      <c r="L40" s="310"/>
      <c r="M40" s="310"/>
      <c r="N40" s="310"/>
      <c r="O40" s="310"/>
      <c r="P40" s="310"/>
      <c r="Q40" s="310"/>
      <c r="R40" s="310"/>
      <c r="S40" s="311"/>
      <c r="T40" s="311"/>
      <c r="U40" s="311"/>
      <c r="V40" s="656" t="s">
        <v>145</v>
      </c>
      <c r="W40" s="311"/>
      <c r="X40" s="312"/>
      <c r="Y40" s="311"/>
      <c r="Z40" s="311"/>
      <c r="AA40" s="311"/>
      <c r="AB40" s="311"/>
      <c r="AC40" s="311"/>
      <c r="AD40" s="336"/>
      <c r="AE40" s="25"/>
      <c r="AF40" s="316" t="s">
        <v>58</v>
      </c>
      <c r="AG40" s="317" t="s">
        <v>59</v>
      </c>
      <c r="AH40" s="318" t="s">
        <v>59</v>
      </c>
      <c r="AI40" s="25"/>
      <c r="AJ40" s="255"/>
      <c r="AK40" s="255"/>
      <c r="AL40" s="255"/>
      <c r="AM40" s="255"/>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row>
    <row r="41" s="42" customFormat="1">
      <c r="C41" s="313">
        <v>13</v>
      </c>
      <c r="D41" s="314">
        <v>14</v>
      </c>
      <c r="E41" s="314">
        <v>15</v>
      </c>
      <c r="F41" s="314">
        <v>16</v>
      </c>
      <c r="G41" s="314">
        <v>17</v>
      </c>
      <c r="H41" s="314">
        <v>18</v>
      </c>
      <c r="I41" s="314">
        <v>19</v>
      </c>
      <c r="J41" s="314">
        <v>20</v>
      </c>
      <c r="K41" s="314">
        <v>21</v>
      </c>
      <c r="L41" s="314">
        <v>22</v>
      </c>
      <c r="M41" s="314">
        <v>23</v>
      </c>
      <c r="N41" s="314">
        <v>24</v>
      </c>
      <c r="O41" s="314">
        <v>25</v>
      </c>
      <c r="P41" s="314">
        <v>26</v>
      </c>
      <c r="Q41" s="314">
        <v>27</v>
      </c>
      <c r="R41" s="314">
        <v>28</v>
      </c>
      <c r="S41" s="314">
        <v>29</v>
      </c>
      <c r="T41" s="314">
        <v>30</v>
      </c>
      <c r="U41" s="314">
        <v>31</v>
      </c>
      <c r="V41" s="674">
        <v>1</v>
      </c>
      <c r="W41" s="314">
        <v>2</v>
      </c>
      <c r="X41" s="315">
        <v>3</v>
      </c>
      <c r="Y41" s="314">
        <v>4</v>
      </c>
      <c r="Z41" s="314">
        <v>5</v>
      </c>
      <c r="AA41" s="314">
        <v>6</v>
      </c>
      <c r="AB41" s="314">
        <v>7</v>
      </c>
      <c r="AC41" s="314">
        <v>8</v>
      </c>
      <c r="AD41" s="373">
        <v>9</v>
      </c>
      <c r="AE41" s="25"/>
      <c r="AF41" s="319" t="s">
        <v>60</v>
      </c>
      <c r="AG41" s="320">
        <v>28</v>
      </c>
      <c r="AH41" s="321" t="s">
        <v>31</v>
      </c>
      <c r="AI41" s="25"/>
      <c r="AJ41" s="255"/>
      <c r="AK41" s="255"/>
      <c r="AL41" s="255"/>
      <c r="AM41" s="255"/>
      <c r="AN41" s="264"/>
      <c r="AO41" s="264"/>
      <c r="AP41" s="264"/>
      <c r="AQ41" s="264"/>
      <c r="AR41" s="264"/>
      <c r="AS41" s="264"/>
      <c r="AT41" s="264"/>
      <c r="AU41" s="264"/>
      <c r="AV41" s="264"/>
      <c r="AW41" s="264"/>
      <c r="AX41" s="264"/>
      <c r="AY41" s="264"/>
      <c r="AZ41" s="264"/>
      <c r="BA41" s="264"/>
      <c r="BB41" s="264"/>
      <c r="BC41" s="264"/>
      <c r="BD41" s="264"/>
      <c r="BE41" s="264"/>
      <c r="BF41" s="264"/>
      <c r="BG41" s="264"/>
      <c r="BH41" s="264"/>
      <c r="BI41" s="264"/>
      <c r="BJ41" s="264"/>
    </row>
    <row r="42" ht="14.25" customHeight="1">
      <c r="A42" s="1"/>
      <c r="B42" s="46" t="s">
        <v>26</v>
      </c>
      <c r="C42" s="444">
        <v>54.589106732788737002813191600</v>
      </c>
      <c r="D42" s="445">
        <v>41.365775226229383894937017990</v>
      </c>
      <c r="E42" s="445">
        <v>41.541120415659388693791931430</v>
      </c>
      <c r="F42" s="445">
        <v>54.306693377328117079197174750</v>
      </c>
      <c r="G42" s="445">
        <v>44.477542972145964538007853710</v>
      </c>
      <c r="H42" s="445">
        <v>59.699434044748988146281083980</v>
      </c>
      <c r="I42" s="445">
        <v>57.617374402962403395279799020</v>
      </c>
      <c r="J42" s="445">
        <v>31.693504739823472542607762580</v>
      </c>
      <c r="K42" s="445">
        <v>31.639716973775680315501649420</v>
      </c>
      <c r="L42" s="445">
        <v>70.909951164783432313068423680</v>
      </c>
      <c r="M42" s="445">
        <v>69.241514183341783500479519710</v>
      </c>
      <c r="N42" s="445">
        <v>11.843653592163159641548831680</v>
      </c>
      <c r="O42" s="445">
        <v>2.9901573898606339259597131800</v>
      </c>
      <c r="P42" s="445">
        <v>3.747666733517072046266456100</v>
      </c>
      <c r="Q42" s="445">
        <v>8.742703883147216430585148790</v>
      </c>
      <c r="R42" s="445">
        <v>61.518947708569440566318711810</v>
      </c>
      <c r="S42" s="445">
        <v>66.463934489257466594104669120</v>
      </c>
      <c r="T42" s="445">
        <v>80.22079764920164954138848114</v>
      </c>
      <c r="U42" s="445">
        <v>32.813940226773969090334980150</v>
      </c>
      <c r="V42" s="658">
        <v>43.492541918763194073205883290</v>
      </c>
      <c r="W42" s="445">
        <v>51.199222065228898858832332380</v>
      </c>
      <c r="X42" s="446">
        <v>25.190295522846927620719703220</v>
      </c>
      <c r="Y42" s="445">
        <v>26.448100099811461942488428100</v>
      </c>
      <c r="Z42" s="445">
        <v>42.824057244073627482444706930</v>
      </c>
      <c r="AA42" s="445">
        <v>55.237364667906479593176881870</v>
      </c>
      <c r="AB42" s="445">
        <v>61.917196816547665359531121790</v>
      </c>
      <c r="AC42" s="445">
        <v>148.18185578479425503931002167</v>
      </c>
      <c r="AD42" s="447">
        <v>104.49204000835183156606376883</v>
      </c>
      <c r="AE42" s="448"/>
      <c r="AF42" s="444">
        <v>64.008350977181585230224243340</v>
      </c>
      <c r="AG42" s="445">
        <v>48.484070985584595917121395490</v>
      </c>
      <c r="AH42" s="449">
        <v>59.293419630095005842364662340</v>
      </c>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row>
    <row r="43" ht="14.25" customHeight="1">
      <c r="A43" s="24"/>
      <c r="B43" s="48" t="s">
        <v>147</v>
      </c>
      <c r="C43" s="329">
        <v>45.341963279738433225194385070</v>
      </c>
      <c r="D43" s="330">
        <v>27.330829736492558983822577300</v>
      </c>
      <c r="E43" s="330">
        <v>31.768360533572091764132233880</v>
      </c>
      <c r="F43" s="330">
        <v>37.791459875441958029101988380</v>
      </c>
      <c r="G43" s="330">
        <v>35.423601032487286068038758260</v>
      </c>
      <c r="H43" s="330">
        <v>59.170380872866322707474549340</v>
      </c>
      <c r="I43" s="330">
        <v>57.314960554325097251994956180</v>
      </c>
      <c r="J43" s="330">
        <v>28.344248576954364546022329960</v>
      </c>
      <c r="K43" s="330">
        <v>27.935358271763894372175846020</v>
      </c>
      <c r="L43" s="330">
        <v>61.977288726691308024129217230</v>
      </c>
      <c r="M43" s="330">
        <v>58.948822080209767484318935040</v>
      </c>
      <c r="N43" s="330">
        <v>10.453287474804596288308487460</v>
      </c>
      <c r="O43" s="330">
        <v>3.4159478458964992079849365100</v>
      </c>
      <c r="P43" s="330">
        <v>4.4329183684093833473978599800</v>
      </c>
      <c r="Q43" s="330">
        <v>8.649192637576234433665614080</v>
      </c>
      <c r="R43" s="330">
        <v>58.323157797245065091606341510</v>
      </c>
      <c r="S43" s="330">
        <v>61.836619255503621066838664250</v>
      </c>
      <c r="T43" s="330">
        <v>76.832862630162162401952077920</v>
      </c>
      <c r="U43" s="330">
        <v>24.459370901317089198977443960</v>
      </c>
      <c r="V43" s="661">
        <v>42.974725640184005790612285530</v>
      </c>
      <c r="W43" s="330">
        <v>54.245457916231246723690449610</v>
      </c>
      <c r="X43" s="331">
        <v>23.867038226273476972227528500</v>
      </c>
      <c r="Y43" s="330">
        <v>21.132718015100995357462435060</v>
      </c>
      <c r="Z43" s="330">
        <v>29.119194007208271561204449790</v>
      </c>
      <c r="AA43" s="330">
        <v>37.080161927375966076042841850</v>
      </c>
      <c r="AB43" s="330">
        <v>38.309115041296532476494428890</v>
      </c>
      <c r="AC43" s="330">
        <v>87.27911327779748179048646646</v>
      </c>
      <c r="AD43" s="338">
        <v>80.63445512145771270589477655</v>
      </c>
      <c r="AE43" s="88"/>
      <c r="AF43" s="329">
        <v>45.566444599504970083000956990</v>
      </c>
      <c r="AG43" s="330">
        <v>41.549422732017980949808992690</v>
      </c>
      <c r="AH43" s="332">
        <v>46.200400329751276843692965870</v>
      </c>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row>
    <row r="44" ht="12" customHeight="1">
      <c r="B44" s="4"/>
      <c r="X44" s="27"/>
      <c r="AD44" s="28"/>
      <c r="AF44" s="43"/>
      <c r="AG44" s="43"/>
      <c r="AH44" s="43"/>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row>
    <row r="45" ht="18">
      <c r="B45" s="29"/>
      <c r="X45" s="27"/>
      <c r="AD45" s="28"/>
      <c r="AF45" s="43"/>
      <c r="AG45" s="43"/>
      <c r="AH45" s="43"/>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row>
    <row r="46" s="41" customFormat="1" ht="18">
      <c r="B46" s="417" t="s">
        <v>77</v>
      </c>
      <c r="C46" s="309" t="s">
        <v>148</v>
      </c>
      <c r="D46" s="310"/>
      <c r="E46" s="310"/>
      <c r="F46" s="310"/>
      <c r="G46" s="310"/>
      <c r="H46" s="310"/>
      <c r="I46" s="310"/>
      <c r="J46" s="310"/>
      <c r="K46" s="310"/>
      <c r="L46" s="310"/>
      <c r="M46" s="310"/>
      <c r="N46" s="310"/>
      <c r="O46" s="310"/>
      <c r="P46" s="310"/>
      <c r="Q46" s="310"/>
      <c r="R46" s="310"/>
      <c r="S46" s="311"/>
      <c r="T46" s="311"/>
      <c r="U46" s="311"/>
      <c r="V46" s="656" t="s">
        <v>145</v>
      </c>
      <c r="W46" s="311"/>
      <c r="X46" s="312"/>
      <c r="Y46" s="311"/>
      <c r="Z46" s="311"/>
      <c r="AA46" s="311"/>
      <c r="AB46" s="311"/>
      <c r="AC46" s="311"/>
      <c r="AD46" s="336"/>
      <c r="AE46" s="25"/>
      <c r="AF46" s="316" t="s">
        <v>58</v>
      </c>
      <c r="AG46" s="317" t="s">
        <v>59</v>
      </c>
      <c r="AH46" s="318" t="s">
        <v>59</v>
      </c>
      <c r="AI46" s="25"/>
      <c r="AJ46" s="255"/>
      <c r="AK46" s="255"/>
      <c r="AL46" s="255"/>
      <c r="AM46" s="255"/>
      <c r="AN46" s="263"/>
      <c r="AO46" s="263"/>
      <c r="AP46" s="263"/>
      <c r="AQ46" s="263"/>
      <c r="AR46" s="263"/>
      <c r="AS46" s="263"/>
      <c r="AT46" s="263"/>
      <c r="AU46" s="263"/>
      <c r="AV46" s="263"/>
      <c r="AW46" s="263"/>
      <c r="AX46" s="263"/>
      <c r="AY46" s="263"/>
      <c r="AZ46" s="263"/>
      <c r="BA46" s="263"/>
      <c r="BB46" s="263"/>
      <c r="BC46" s="263"/>
      <c r="BD46" s="263"/>
      <c r="BE46" s="263"/>
      <c r="BF46" s="263"/>
      <c r="BG46" s="263"/>
      <c r="BH46" s="263"/>
      <c r="BI46" s="263"/>
      <c r="BJ46" s="263"/>
    </row>
    <row r="47" s="42" customFormat="1">
      <c r="C47" s="313">
        <v>13</v>
      </c>
      <c r="D47" s="314">
        <v>14</v>
      </c>
      <c r="E47" s="314">
        <v>15</v>
      </c>
      <c r="F47" s="314">
        <v>16</v>
      </c>
      <c r="G47" s="314">
        <v>17</v>
      </c>
      <c r="H47" s="314">
        <v>18</v>
      </c>
      <c r="I47" s="314">
        <v>19</v>
      </c>
      <c r="J47" s="314">
        <v>20</v>
      </c>
      <c r="K47" s="314">
        <v>21</v>
      </c>
      <c r="L47" s="314">
        <v>22</v>
      </c>
      <c r="M47" s="314">
        <v>23</v>
      </c>
      <c r="N47" s="314">
        <v>24</v>
      </c>
      <c r="O47" s="314">
        <v>25</v>
      </c>
      <c r="P47" s="314">
        <v>26</v>
      </c>
      <c r="Q47" s="314">
        <v>27</v>
      </c>
      <c r="R47" s="314">
        <v>28</v>
      </c>
      <c r="S47" s="314">
        <v>29</v>
      </c>
      <c r="T47" s="314">
        <v>30</v>
      </c>
      <c r="U47" s="314">
        <v>31</v>
      </c>
      <c r="V47" s="674">
        <v>1</v>
      </c>
      <c r="W47" s="314">
        <v>2</v>
      </c>
      <c r="X47" s="315">
        <v>3</v>
      </c>
      <c r="Y47" s="314">
        <v>4</v>
      </c>
      <c r="Z47" s="314">
        <v>5</v>
      </c>
      <c r="AA47" s="314">
        <v>6</v>
      </c>
      <c r="AB47" s="314">
        <v>7</v>
      </c>
      <c r="AC47" s="314">
        <v>8</v>
      </c>
      <c r="AD47" s="373">
        <v>9</v>
      </c>
      <c r="AE47" s="25"/>
      <c r="AF47" s="319" t="s">
        <v>60</v>
      </c>
      <c r="AG47" s="320">
        <v>28</v>
      </c>
      <c r="AH47" s="321" t="s">
        <v>31</v>
      </c>
      <c r="AI47" s="25"/>
      <c r="AJ47" s="255"/>
      <c r="AK47" s="255"/>
      <c r="AL47" s="255"/>
      <c r="AM47" s="255"/>
      <c r="AN47" s="264"/>
      <c r="AO47" s="264"/>
      <c r="AP47" s="264"/>
      <c r="AQ47" s="264"/>
      <c r="AR47" s="264"/>
      <c r="AS47" s="264"/>
      <c r="AT47" s="264"/>
      <c r="AU47" s="264"/>
      <c r="AV47" s="264"/>
      <c r="AW47" s="264"/>
      <c r="AX47" s="264"/>
      <c r="AY47" s="264"/>
      <c r="AZ47" s="264"/>
      <c r="BA47" s="264"/>
      <c r="BB47" s="264"/>
      <c r="BC47" s="264"/>
      <c r="BD47" s="264"/>
      <c r="BE47" s="264"/>
      <c r="BF47" s="264"/>
      <c r="BG47" s="264"/>
      <c r="BH47" s="264"/>
      <c r="BI47" s="264"/>
      <c r="BJ47" s="264"/>
    </row>
    <row r="48" ht="14.25" customHeight="1">
      <c r="A48" s="1"/>
      <c r="B48" s="46" t="s">
        <v>26</v>
      </c>
      <c r="C48" s="444">
        <v>29.755624428227672844954674460</v>
      </c>
      <c r="D48" s="445">
        <v>-16.762118564813257930899265580</v>
      </c>
      <c r="E48" s="445">
        <v>-5.6203808213341999729759091700</v>
      </c>
      <c r="F48" s="445">
        <v>31.669421154854017343029930290</v>
      </c>
      <c r="G48" s="445">
        <v>28.432545250485248460143298540</v>
      </c>
      <c r="H48" s="445">
        <v>880.5190924674462281791410656</v>
      </c>
      <c r="I48" s="445">
        <v>148.01550400922818532501284653</v>
      </c>
      <c r="J48" s="445">
        <v>-69.801512868259751261504047810</v>
      </c>
      <c r="K48" s="445">
        <v>-68.140666137263189696197988040</v>
      </c>
      <c r="L48" s="445">
        <v>-31.879208607192114730264541910</v>
      </c>
      <c r="M48" s="445">
        <v>-42.212152186503548240669711480</v>
      </c>
      <c r="N48" s="445">
        <v>-89.47877666098601908511080696</v>
      </c>
      <c r="O48" s="445">
        <v>-94.09275475637882561082101499</v>
      </c>
      <c r="P48" s="445">
        <v>-89.34457983044464163637919665</v>
      </c>
      <c r="Q48" s="445">
        <v>-79.43232425489634992637177878</v>
      </c>
      <c r="R48" s="445">
        <v>21.952729880919256860896227030</v>
      </c>
      <c r="S48" s="445">
        <v>76.693009912367310514389652710</v>
      </c>
      <c r="T48" s="445">
        <v>222.71699171577529553819052176</v>
      </c>
      <c r="U48" s="445">
        <v>-7.6380542112806329633218211300</v>
      </c>
      <c r="V48" s="658">
        <v>14.272457896949012586441695950</v>
      </c>
      <c r="W48" s="445">
        <v>28.857052122485491692000779230</v>
      </c>
      <c r="X48" s="446">
        <v>-40.150905289933154292350128430</v>
      </c>
      <c r="Y48" s="445">
        <v>4.440332764346110876752470300</v>
      </c>
      <c r="Z48" s="445">
        <v>7.5226979705974052024817460600</v>
      </c>
      <c r="AA48" s="445">
        <v>46.600844349427409781186719170</v>
      </c>
      <c r="AB48" s="445">
        <v>60.040967219447011853810222650</v>
      </c>
      <c r="AC48" s="445">
        <v>113.11530153227423816756656212</v>
      </c>
      <c r="AD48" s="447">
        <v>11.603061723184723511789522180</v>
      </c>
      <c r="AE48" s="448"/>
      <c r="AF48" s="444">
        <v>30.936887687903208610275585500</v>
      </c>
      <c r="AG48" s="445">
        <v>-6.1710580826102575396423081700</v>
      </c>
      <c r="AH48" s="449">
        <v>46.347663887638746643804966270</v>
      </c>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c r="BH48" s="244"/>
      <c r="BI48" s="244"/>
      <c r="BJ48" s="244"/>
    </row>
    <row r="49" ht="14.25" customHeight="1">
      <c r="A49" s="24"/>
      <c r="B49" s="48" t="s">
        <v>147</v>
      </c>
      <c r="C49" s="329">
        <v>21.225562006822485737906445790</v>
      </c>
      <c r="D49" s="330">
        <v>-33.396461939376181756977960270</v>
      </c>
      <c r="E49" s="330">
        <v>-2.2119158841021529622034613500</v>
      </c>
      <c r="F49" s="330">
        <v>16.753121125503982369437642960</v>
      </c>
      <c r="G49" s="330">
        <v>10.091479400825875517187525690</v>
      </c>
      <c r="H49" s="330">
        <v>781.86848560802185802158881073</v>
      </c>
      <c r="I49" s="330">
        <v>130.94425235815654699294645645</v>
      </c>
      <c r="J49" s="330">
        <v>-65.036120644316005232794663950</v>
      </c>
      <c r="K49" s="330">
        <v>-68.076434555906911281789785220</v>
      </c>
      <c r="L49" s="330">
        <v>-22.264784871062405457349434660</v>
      </c>
      <c r="M49" s="330">
        <v>-37.184992311216259825681157570</v>
      </c>
      <c r="N49" s="330">
        <v>-89.19822350756186294783953676</v>
      </c>
      <c r="O49" s="330">
        <v>-93.76338692230235547000943814</v>
      </c>
      <c r="P49" s="330">
        <v>-89.21556006873137249213048058</v>
      </c>
      <c r="Q49" s="330">
        <v>-76.787226122822229424043625140</v>
      </c>
      <c r="R49" s="330">
        <v>17.736072556399379285418960150</v>
      </c>
      <c r="S49" s="330">
        <v>68.157975519741453392467346300</v>
      </c>
      <c r="T49" s="330">
        <v>209.23254349897850572795897091</v>
      </c>
      <c r="U49" s="330">
        <v>-22.491403448457187495101957280</v>
      </c>
      <c r="V49" s="661">
        <v>13.432856802924949426271828650</v>
      </c>
      <c r="W49" s="330">
        <v>53.802522251235987065296658840</v>
      </c>
      <c r="X49" s="331">
        <v>-37.839278281621197927172702510</v>
      </c>
      <c r="Y49" s="330">
        <v>17.767729283113127249651910510</v>
      </c>
      <c r="Z49" s="330">
        <v>8.733273118065903867442628740</v>
      </c>
      <c r="AA49" s="330">
        <v>6.4896975972297079266166738200</v>
      </c>
      <c r="AB49" s="330">
        <v>-0.3737003685753646850021934100</v>
      </c>
      <c r="AC49" s="330">
        <v>43.060372250915778445543465410</v>
      </c>
      <c r="AD49" s="338">
        <v>0.0394279374709656362218335600</v>
      </c>
      <c r="AE49" s="88"/>
      <c r="AF49" s="329">
        <v>11.284348715535586866034332540</v>
      </c>
      <c r="AG49" s="330">
        <v>-10.126158711513820440620404930</v>
      </c>
      <c r="AH49" s="332">
        <v>32.053173329860700616096237400</v>
      </c>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c r="BH49" s="244"/>
      <c r="BI49" s="244"/>
      <c r="BJ49" s="244"/>
    </row>
    <row r="50" ht="14.25" customHeight="1">
      <c r="B50" s="53"/>
      <c r="C50" s="472"/>
      <c r="D50" s="472"/>
      <c r="E50" s="472"/>
      <c r="F50" s="472"/>
      <c r="G50" s="472"/>
      <c r="H50" s="472"/>
      <c r="I50" s="472"/>
      <c r="J50" s="472"/>
      <c r="K50" s="472"/>
      <c r="L50" s="472"/>
      <c r="M50" s="472"/>
      <c r="N50" s="472"/>
      <c r="O50" s="472"/>
      <c r="P50" s="472"/>
      <c r="Q50" s="472"/>
      <c r="R50" s="472"/>
      <c r="S50" s="472"/>
      <c r="T50" s="472"/>
      <c r="U50" s="472"/>
      <c r="V50" s="472"/>
      <c r="W50" s="472"/>
      <c r="X50" s="473"/>
      <c r="Y50" s="472"/>
      <c r="Z50" s="472"/>
      <c r="AA50" s="472"/>
      <c r="AB50" s="472"/>
      <c r="AC50" s="472"/>
      <c r="AD50" s="474"/>
      <c r="AE50" s="475"/>
      <c r="AF50" s="472"/>
      <c r="AG50" s="472"/>
      <c r="AH50" s="472"/>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row>
    <row r="51" ht="18">
      <c r="B51" s="29"/>
      <c r="X51" s="27"/>
      <c r="AD51" s="28"/>
      <c r="AF51" s="43"/>
      <c r="AG51" s="43"/>
      <c r="AH51" s="43"/>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row>
    <row r="52" ht="18">
      <c r="B52" s="417" t="s">
        <v>55</v>
      </c>
      <c r="C52" s="309" t="s">
        <v>148</v>
      </c>
      <c r="D52" s="310"/>
      <c r="E52" s="310"/>
      <c r="F52" s="310"/>
      <c r="G52" s="310"/>
      <c r="H52" s="310"/>
      <c r="I52" s="310"/>
      <c r="J52" s="310"/>
      <c r="K52" s="310"/>
      <c r="L52" s="310"/>
      <c r="M52" s="310"/>
      <c r="N52" s="310"/>
      <c r="O52" s="310"/>
      <c r="P52" s="310"/>
      <c r="Q52" s="310"/>
      <c r="R52" s="310"/>
      <c r="S52" s="311"/>
      <c r="T52" s="311"/>
      <c r="U52" s="311"/>
      <c r="V52" s="656" t="s">
        <v>145</v>
      </c>
      <c r="W52" s="311"/>
      <c r="X52" s="312"/>
      <c r="Y52" s="311"/>
      <c r="Z52" s="311"/>
      <c r="AA52" s="311"/>
      <c r="AB52" s="311"/>
      <c r="AC52" s="311"/>
      <c r="AD52" s="336"/>
      <c r="AE52" s="25"/>
      <c r="AF52" s="316" t="s">
        <v>58</v>
      </c>
      <c r="AG52" s="317" t="s">
        <v>59</v>
      </c>
      <c r="AH52" s="318" t="s">
        <v>59</v>
      </c>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row>
    <row r="53">
      <c r="B53" s="42"/>
      <c r="C53" s="313">
        <v>13</v>
      </c>
      <c r="D53" s="314">
        <v>14</v>
      </c>
      <c r="E53" s="314">
        <v>15</v>
      </c>
      <c r="F53" s="314">
        <v>16</v>
      </c>
      <c r="G53" s="314">
        <v>17</v>
      </c>
      <c r="H53" s="314">
        <v>18</v>
      </c>
      <c r="I53" s="314">
        <v>19</v>
      </c>
      <c r="J53" s="314">
        <v>20</v>
      </c>
      <c r="K53" s="314">
        <v>21</v>
      </c>
      <c r="L53" s="314">
        <v>22</v>
      </c>
      <c r="M53" s="314">
        <v>23</v>
      </c>
      <c r="N53" s="314">
        <v>24</v>
      </c>
      <c r="O53" s="314">
        <v>25</v>
      </c>
      <c r="P53" s="314">
        <v>26</v>
      </c>
      <c r="Q53" s="314">
        <v>27</v>
      </c>
      <c r="R53" s="314">
        <v>28</v>
      </c>
      <c r="S53" s="314">
        <v>29</v>
      </c>
      <c r="T53" s="314">
        <v>30</v>
      </c>
      <c r="U53" s="314">
        <v>31</v>
      </c>
      <c r="V53" s="674">
        <v>1</v>
      </c>
      <c r="W53" s="314">
        <v>2</v>
      </c>
      <c r="X53" s="315">
        <v>3</v>
      </c>
      <c r="Y53" s="314">
        <v>4</v>
      </c>
      <c r="Z53" s="314">
        <v>5</v>
      </c>
      <c r="AA53" s="314">
        <v>6</v>
      </c>
      <c r="AB53" s="314">
        <v>7</v>
      </c>
      <c r="AC53" s="314">
        <v>8</v>
      </c>
      <c r="AD53" s="373">
        <v>9</v>
      </c>
      <c r="AE53" s="25"/>
      <c r="AF53" s="319" t="s">
        <v>60</v>
      </c>
      <c r="AG53" s="320">
        <v>28</v>
      </c>
      <c r="AH53" s="321" t="s">
        <v>31</v>
      </c>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row>
    <row r="54" ht="14.25" customHeight="1">
      <c r="B54" s="46" t="s">
        <v>56</v>
      </c>
      <c r="C54" s="444" t="s">
        <v>156</v>
      </c>
      <c r="D54" s="445" t="s">
        <v>149</v>
      </c>
      <c r="E54" s="445" t="s">
        <v>153</v>
      </c>
      <c r="F54" s="445" t="s">
        <v>156</v>
      </c>
      <c r="G54" s="445" t="s">
        <v>153</v>
      </c>
      <c r="H54" s="445" t="s">
        <v>149</v>
      </c>
      <c r="I54" s="445" t="s">
        <v>156</v>
      </c>
      <c r="J54" s="445" t="s">
        <v>149</v>
      </c>
      <c r="K54" s="445" t="s">
        <v>149</v>
      </c>
      <c r="L54" s="445" t="s">
        <v>152</v>
      </c>
      <c r="M54" s="445" t="s">
        <v>152</v>
      </c>
      <c r="N54" s="445" t="s">
        <v>153</v>
      </c>
      <c r="O54" s="445" t="s">
        <v>153</v>
      </c>
      <c r="P54" s="445" t="s">
        <v>153</v>
      </c>
      <c r="Q54" s="445" t="s">
        <v>153</v>
      </c>
      <c r="R54" s="445" t="s">
        <v>152</v>
      </c>
      <c r="S54" s="445" t="s">
        <v>152</v>
      </c>
      <c r="T54" s="445" t="s">
        <v>152</v>
      </c>
      <c r="U54" s="445" t="s">
        <v>153</v>
      </c>
      <c r="V54" s="658" t="s">
        <v>149</v>
      </c>
      <c r="W54" s="445" t="s">
        <v>152</v>
      </c>
      <c r="X54" s="446" t="s">
        <v>153</v>
      </c>
      <c r="Y54" s="445" t="s">
        <v>153</v>
      </c>
      <c r="Z54" s="445" t="s">
        <v>156</v>
      </c>
      <c r="AA54" s="445" t="s">
        <v>152</v>
      </c>
      <c r="AB54" s="445" t="s">
        <v>151</v>
      </c>
      <c r="AC54" s="445" t="s">
        <v>150</v>
      </c>
      <c r="AD54" s="447" t="s">
        <v>152</v>
      </c>
      <c r="AE54" s="448"/>
      <c r="AF54" s="444" t="s">
        <v>151</v>
      </c>
      <c r="AG54" s="445" t="s">
        <v>149</v>
      </c>
      <c r="AH54" s="449" t="s">
        <v>152</v>
      </c>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row>
    <row r="55" ht="14.25" customHeight="1" thickBot="1">
      <c r="B55" s="48" t="s">
        <v>79</v>
      </c>
      <c r="C55" s="329" t="s">
        <v>154</v>
      </c>
      <c r="D55" s="330" t="s">
        <v>152</v>
      </c>
      <c r="E55" s="330" t="s">
        <v>156</v>
      </c>
      <c r="F55" s="330" t="s">
        <v>154</v>
      </c>
      <c r="G55" s="330" t="s">
        <v>151</v>
      </c>
      <c r="H55" s="330" t="s">
        <v>155</v>
      </c>
      <c r="I55" s="330" t="s">
        <v>154</v>
      </c>
      <c r="J55" s="330" t="s">
        <v>153</v>
      </c>
      <c r="K55" s="330" t="s">
        <v>153</v>
      </c>
      <c r="L55" s="330" t="s">
        <v>153</v>
      </c>
      <c r="M55" s="330" t="s">
        <v>153</v>
      </c>
      <c r="N55" s="330" t="s">
        <v>153</v>
      </c>
      <c r="O55" s="330" t="s">
        <v>153</v>
      </c>
      <c r="P55" s="330" t="s">
        <v>153</v>
      </c>
      <c r="Q55" s="330" t="s">
        <v>153</v>
      </c>
      <c r="R55" s="330" t="s">
        <v>150</v>
      </c>
      <c r="S55" s="330" t="s">
        <v>155</v>
      </c>
      <c r="T55" s="330" t="s">
        <v>155</v>
      </c>
      <c r="U55" s="330" t="s">
        <v>149</v>
      </c>
      <c r="V55" s="661" t="s">
        <v>150</v>
      </c>
      <c r="W55" s="330" t="s">
        <v>150</v>
      </c>
      <c r="X55" s="89" t="s">
        <v>152</v>
      </c>
      <c r="Y55" s="90" t="s">
        <v>151</v>
      </c>
      <c r="Z55" s="90" t="s">
        <v>152</v>
      </c>
      <c r="AA55" s="90" t="s">
        <v>151</v>
      </c>
      <c r="AB55" s="90" t="s">
        <v>150</v>
      </c>
      <c r="AC55" s="90" t="s">
        <v>155</v>
      </c>
      <c r="AD55" s="91" t="s">
        <v>151</v>
      </c>
      <c r="AE55" s="88"/>
      <c r="AF55" s="329" t="s">
        <v>151</v>
      </c>
      <c r="AG55" s="330" t="s">
        <v>152</v>
      </c>
      <c r="AH55" s="332" t="s">
        <v>155</v>
      </c>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row>
    <row r="56" ht="9.95" customHeight="1">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row>
    <row r="57" ht="9.95" customHeight="1">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row>
    <row r="58" ht="24.95" customHeight="1">
      <c r="B58" s="611" t="s">
        <v>114</v>
      </c>
      <c r="C58" s="611"/>
      <c r="D58" s="611"/>
      <c r="E58" s="611"/>
      <c r="F58" s="611"/>
      <c r="G58" s="611"/>
      <c r="H58" s="611"/>
      <c r="I58" s="611"/>
      <c r="J58" s="611"/>
      <c r="K58" s="611"/>
      <c r="L58" s="611"/>
      <c r="M58" s="611"/>
      <c r="N58" s="611"/>
      <c r="O58" s="611"/>
      <c r="P58" s="611"/>
      <c r="Q58" s="611"/>
      <c r="R58" s="611"/>
      <c r="S58" s="611"/>
      <c r="T58" s="611"/>
      <c r="U58" s="611"/>
      <c r="V58" s="611"/>
      <c r="W58" s="611"/>
      <c r="X58" s="611"/>
      <c r="Y58" s="611"/>
      <c r="Z58" s="611"/>
      <c r="AA58" s="611"/>
      <c r="AB58" s="611"/>
      <c r="AC58" s="611"/>
      <c r="AD58" s="611"/>
      <c r="AE58" s="611"/>
      <c r="AF58" s="611"/>
      <c r="AG58" s="611"/>
      <c r="AH58" s="611"/>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row>
    <row r="59" ht="9.95" customHeight="1">
      <c r="AF59" s="80"/>
      <c r="AG59" s="242"/>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row>
    <row r="60" ht="9.95" customHeight="1">
      <c r="B60" s="235"/>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row>
    <row r="61" ht="9.95" customHeight="1">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row>
    <row r="65">
      <c r="A65" s="664"/>
      <c r="B65" s="664"/>
      <c r="C65" s="664"/>
      <c r="D65" s="664"/>
      <c r="E65" s="664"/>
      <c r="F65" s="664"/>
      <c r="G65" s="664"/>
      <c r="H65" s="664"/>
      <c r="I65" s="664"/>
      <c r="J65" s="664"/>
      <c r="K65" s="664"/>
      <c r="L65" s="664"/>
      <c r="M65" s="664"/>
      <c r="N65" s="664"/>
      <c r="O65" s="664"/>
      <c r="P65" s="664"/>
      <c r="Q65" s="664"/>
      <c r="R65" s="664"/>
      <c r="S65" s="664"/>
      <c r="T65" s="664"/>
      <c r="U65" s="664"/>
      <c r="V65" s="664"/>
      <c r="W65" s="664"/>
      <c r="X65" s="664"/>
      <c r="Y65" s="664"/>
      <c r="Z65" s="664"/>
      <c r="AA65" s="664"/>
      <c r="AB65" s="664"/>
      <c r="AC65" s="664"/>
      <c r="AD65" s="664"/>
      <c r="AE65" s="664"/>
      <c r="AF65" s="664"/>
      <c r="AG65" s="66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row>
    <row r="66">
      <c r="A66" s="664"/>
      <c r="B66" s="664"/>
      <c r="C66" s="664"/>
      <c r="D66" s="664"/>
      <c r="E66" s="664"/>
      <c r="F66" s="664"/>
      <c r="G66" s="664"/>
      <c r="H66" s="664"/>
      <c r="I66" s="664"/>
      <c r="J66" s="664"/>
      <c r="K66" s="664"/>
      <c r="L66" s="664"/>
      <c r="M66" s="664"/>
      <c r="N66" s="664"/>
      <c r="O66" s="664"/>
      <c r="P66" s="664"/>
      <c r="Q66" s="664"/>
      <c r="R66" s="664"/>
      <c r="S66" s="664"/>
      <c r="T66" s="664"/>
      <c r="U66" s="664"/>
      <c r="V66" s="664"/>
      <c r="W66" s="664"/>
      <c r="X66" s="664"/>
      <c r="Y66" s="664"/>
      <c r="Z66" s="664"/>
      <c r="AA66" s="664"/>
      <c r="AB66" s="664"/>
      <c r="AC66" s="664"/>
      <c r="AD66" s="664"/>
      <c r="AE66" s="664"/>
      <c r="AF66" s="664"/>
      <c r="AG66" s="66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row>
    <row r="67">
      <c r="A67" s="664"/>
      <c r="B67" s="664"/>
      <c r="C67" s="664"/>
      <c r="D67" s="664"/>
      <c r="E67" s="664"/>
      <c r="F67" s="664"/>
      <c r="G67" s="664"/>
      <c r="H67" s="664"/>
      <c r="I67" s="664"/>
      <c r="J67" s="664"/>
      <c r="K67" s="664"/>
      <c r="L67" s="664"/>
      <c r="M67" s="664"/>
      <c r="N67" s="664"/>
      <c r="O67" s="664"/>
      <c r="P67" s="664"/>
      <c r="Q67" s="664"/>
      <c r="R67" s="664"/>
      <c r="S67" s="664"/>
      <c r="T67" s="664"/>
      <c r="U67" s="664"/>
      <c r="V67" s="664"/>
      <c r="W67" s="664"/>
      <c r="X67" s="664"/>
      <c r="Y67" s="664"/>
      <c r="Z67" s="664"/>
      <c r="AA67" s="664"/>
      <c r="AB67" s="664"/>
      <c r="AC67" s="664"/>
      <c r="AD67" s="664"/>
      <c r="AE67" s="664"/>
      <c r="AF67" s="664"/>
      <c r="AG67" s="66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row>
    <row r="68" s="25" customFormat="1">
      <c r="A68" s="664"/>
      <c r="B68" s="664"/>
      <c r="C68" s="664"/>
      <c r="D68" s="664"/>
      <c r="E68" s="664"/>
      <c r="F68" s="664"/>
      <c r="G68" s="664"/>
      <c r="H68" s="664"/>
      <c r="I68" s="664"/>
      <c r="J68" s="664"/>
      <c r="K68" s="664"/>
      <c r="L68" s="664"/>
      <c r="M68" s="664"/>
      <c r="N68" s="664"/>
      <c r="O68" s="664"/>
      <c r="P68" s="664"/>
      <c r="Q68" s="664"/>
      <c r="R68" s="664"/>
      <c r="S68" s="664"/>
      <c r="T68" s="664"/>
      <c r="U68" s="664"/>
      <c r="V68" s="664"/>
      <c r="W68" s="664"/>
      <c r="X68" s="664"/>
      <c r="Y68" s="664"/>
      <c r="Z68" s="664"/>
      <c r="AA68" s="664"/>
      <c r="AB68" s="664"/>
      <c r="AC68" s="664"/>
      <c r="AD68" s="664"/>
      <c r="AE68" s="664"/>
      <c r="AF68" s="664"/>
      <c r="AG68" s="664"/>
      <c r="AH68" s="255"/>
      <c r="AI68" s="255"/>
      <c r="AJ68" s="255"/>
      <c r="AK68" s="255"/>
      <c r="AL68" s="255"/>
      <c r="AM68" s="255"/>
      <c r="AN68" s="255"/>
      <c r="AO68" s="255"/>
      <c r="AP68" s="255"/>
      <c r="AQ68" s="255"/>
      <c r="AR68" s="255"/>
      <c r="AS68" s="255"/>
      <c r="AT68" s="255"/>
      <c r="AU68" s="255"/>
      <c r="AV68" s="255"/>
      <c r="AW68" s="255"/>
      <c r="AX68" s="255"/>
      <c r="AY68" s="255"/>
      <c r="AZ68" s="255"/>
      <c r="BA68" s="255"/>
      <c r="BB68" s="255"/>
      <c r="BC68" s="255"/>
      <c r="BD68" s="255"/>
      <c r="BE68" s="255"/>
      <c r="BF68" s="255"/>
      <c r="BG68" s="255"/>
      <c r="BH68" s="255"/>
      <c r="BI68" s="255"/>
      <c r="BJ68" s="255"/>
    </row>
    <row r="69" s="25" customFormat="1" ht="10.5" customHeight="1">
      <c r="A69" s="664"/>
      <c r="B69" s="664"/>
      <c r="C69" s="664"/>
      <c r="D69" s="664"/>
      <c r="E69" s="664"/>
      <c r="F69" s="664"/>
      <c r="G69" s="664"/>
      <c r="H69" s="664"/>
      <c r="I69" s="664"/>
      <c r="J69" s="664"/>
      <c r="K69" s="664"/>
      <c r="L69" s="664"/>
      <c r="M69" s="664"/>
      <c r="N69" s="664"/>
      <c r="O69" s="664"/>
      <c r="P69" s="664"/>
      <c r="Q69" s="664"/>
      <c r="R69" s="664"/>
      <c r="S69" s="664"/>
      <c r="T69" s="664"/>
      <c r="U69" s="664"/>
      <c r="V69" s="664"/>
      <c r="W69" s="664"/>
      <c r="X69" s="664"/>
      <c r="Y69" s="664"/>
      <c r="Z69" s="664"/>
      <c r="AA69" s="664"/>
      <c r="AB69" s="664"/>
      <c r="AC69" s="664"/>
      <c r="AD69" s="664"/>
      <c r="AE69" s="664"/>
      <c r="AF69" s="664"/>
      <c r="AG69" s="664"/>
      <c r="AH69" s="255"/>
      <c r="AI69" s="255"/>
      <c r="AJ69" s="255"/>
      <c r="AK69" s="255"/>
      <c r="AL69" s="255"/>
      <c r="AM69" s="255"/>
      <c r="AN69" s="255"/>
      <c r="AO69" s="255"/>
      <c r="AP69" s="255"/>
      <c r="AQ69" s="255"/>
      <c r="AR69" s="255"/>
      <c r="AS69" s="255"/>
      <c r="AT69" s="255"/>
      <c r="AU69" s="255"/>
      <c r="AV69" s="255"/>
      <c r="AW69" s="255"/>
      <c r="AX69" s="255"/>
      <c r="AY69" s="255"/>
      <c r="AZ69" s="255"/>
      <c r="BA69" s="255"/>
      <c r="BB69" s="255"/>
      <c r="BC69" s="255"/>
      <c r="BD69" s="255"/>
      <c r="BE69" s="255"/>
      <c r="BF69" s="255"/>
      <c r="BG69" s="255"/>
      <c r="BH69" s="255"/>
      <c r="BI69" s="255"/>
      <c r="BJ69" s="255"/>
    </row>
    <row r="70" s="25" customFormat="1">
      <c r="A70" s="664"/>
      <c r="B70" s="664"/>
      <c r="C70" s="664"/>
      <c r="D70" s="664"/>
      <c r="E70" s="664"/>
      <c r="F70" s="664"/>
      <c r="G70" s="664"/>
      <c r="H70" s="664"/>
      <c r="I70" s="664"/>
      <c r="J70" s="664"/>
      <c r="K70" s="664"/>
      <c r="L70" s="664"/>
      <c r="M70" s="664"/>
      <c r="N70" s="664"/>
      <c r="O70" s="664"/>
      <c r="P70" s="664"/>
      <c r="Q70" s="664"/>
      <c r="R70" s="664"/>
      <c r="S70" s="664"/>
      <c r="T70" s="664"/>
      <c r="U70" s="664"/>
      <c r="V70" s="664"/>
      <c r="W70" s="664"/>
      <c r="X70" s="664"/>
      <c r="Y70" s="664"/>
      <c r="Z70" s="664"/>
      <c r="AA70" s="664"/>
      <c r="AB70" s="664"/>
      <c r="AC70" s="664"/>
      <c r="AD70" s="664"/>
      <c r="AE70" s="664"/>
      <c r="AF70" s="664"/>
      <c r="AG70" s="664"/>
      <c r="AH70" s="255"/>
      <c r="AI70" s="255"/>
      <c r="AJ70" s="255"/>
      <c r="AK70" s="255"/>
      <c r="AL70" s="255"/>
      <c r="AM70" s="255"/>
      <c r="AN70" s="255"/>
      <c r="AO70" s="255"/>
      <c r="AP70" s="255"/>
      <c r="AQ70" s="255"/>
      <c r="AR70" s="255"/>
      <c r="AS70" s="255"/>
      <c r="AT70" s="255"/>
      <c r="AU70" s="255"/>
      <c r="AV70" s="255"/>
      <c r="AW70" s="255"/>
      <c r="AX70" s="255"/>
      <c r="AY70" s="255"/>
      <c r="AZ70" s="255"/>
      <c r="BA70" s="255"/>
      <c r="BB70" s="255"/>
      <c r="BC70" s="255"/>
      <c r="BD70" s="255"/>
      <c r="BE70" s="255"/>
      <c r="BF70" s="255"/>
      <c r="BG70" s="255"/>
      <c r="BH70" s="255"/>
      <c r="BI70" s="255"/>
      <c r="BJ70" s="255"/>
    </row>
    <row r="71" s="25" customFormat="1">
      <c r="A71" s="664"/>
      <c r="B71" s="664">
        <v>1</v>
      </c>
      <c r="C71" s="664">
        <v>2</v>
      </c>
      <c r="D71" s="664">
        <v>3</v>
      </c>
      <c r="E71" s="664">
        <v>4</v>
      </c>
      <c r="F71" s="664">
        <v>5</v>
      </c>
      <c r="G71" s="664">
        <v>6</v>
      </c>
      <c r="H71" s="664">
        <v>7</v>
      </c>
      <c r="I71" s="664">
        <v>8</v>
      </c>
      <c r="J71" s="664">
        <v>9</v>
      </c>
      <c r="K71" s="664">
        <v>10</v>
      </c>
      <c r="L71" s="664">
        <v>11</v>
      </c>
      <c r="M71" s="664">
        <v>12</v>
      </c>
      <c r="N71" s="664"/>
      <c r="O71" s="664"/>
      <c r="P71" s="664"/>
      <c r="Q71" s="664"/>
      <c r="R71" s="664"/>
      <c r="S71" s="664"/>
      <c r="T71" s="664"/>
      <c r="U71" s="664"/>
      <c r="V71" s="664"/>
      <c r="W71" s="664"/>
      <c r="X71" s="664"/>
      <c r="Y71" s="664"/>
      <c r="Z71" s="664"/>
      <c r="AA71" s="664"/>
      <c r="AB71" s="664"/>
      <c r="AC71" s="664"/>
      <c r="AD71" s="664"/>
      <c r="AE71" s="664"/>
      <c r="AF71" s="664"/>
      <c r="AG71" s="664"/>
      <c r="AH71" s="255"/>
      <c r="AI71" s="255"/>
      <c r="AJ71" s="255"/>
      <c r="AK71" s="255"/>
      <c r="AL71" s="255"/>
      <c r="AM71" s="255"/>
      <c r="AN71" s="255"/>
      <c r="AO71" s="255"/>
      <c r="AP71" s="255"/>
      <c r="AQ71" s="255"/>
      <c r="AR71" s="255"/>
      <c r="AS71" s="255"/>
      <c r="AT71" s="255"/>
      <c r="AU71" s="255"/>
      <c r="AV71" s="255"/>
      <c r="AW71" s="255"/>
      <c r="AX71" s="255"/>
      <c r="AY71" s="255"/>
      <c r="AZ71" s="255"/>
      <c r="BA71" s="255"/>
      <c r="BB71" s="255"/>
      <c r="BC71" s="255"/>
      <c r="BD71" s="255"/>
      <c r="BE71" s="255"/>
      <c r="BF71" s="255"/>
      <c r="BG71" s="255"/>
      <c r="BH71" s="255"/>
      <c r="BI71" s="255"/>
      <c r="BJ71" s="255"/>
    </row>
    <row r="72" s="25" customFormat="1">
      <c r="A72" s="664"/>
      <c r="B72" s="664" t="n">
        <v>45801</v>
      </c>
      <c r="C72" s="664">
        <v>45808</v>
      </c>
      <c r="D72" s="664">
        <v>45815</v>
      </c>
      <c r="E72" s="664">
        <v>45822</v>
      </c>
      <c r="F72" s="664">
        <v>45829</v>
      </c>
      <c r="G72" s="664">
        <v>45836</v>
      </c>
      <c r="H72" s="664">
        <v>45843</v>
      </c>
      <c r="I72" s="664">
        <v>45850</v>
      </c>
      <c r="J72" s="664">
        <v>45857</v>
      </c>
      <c r="K72" s="664">
        <v>45864</v>
      </c>
      <c r="L72" s="664">
        <v>45871</v>
      </c>
      <c r="M72" s="664">
        <v>45878</v>
      </c>
      <c r="N72" s="664"/>
      <c r="O72" s="664"/>
      <c r="P72" s="664"/>
      <c r="Q72" s="664"/>
      <c r="R72" s="664"/>
      <c r="S72" s="664"/>
      <c r="T72" s="664"/>
      <c r="U72" s="664"/>
      <c r="V72" s="664"/>
      <c r="W72" s="664"/>
      <c r="X72" s="664"/>
      <c r="Y72" s="664"/>
      <c r="Z72" s="664"/>
      <c r="AA72" s="664"/>
      <c r="AB72" s="664"/>
      <c r="AC72" s="664"/>
      <c r="AD72" s="664"/>
      <c r="AE72" s="664"/>
      <c r="AF72" s="664"/>
      <c r="AG72" s="664"/>
      <c r="AH72" s="255"/>
      <c r="AI72" s="255"/>
      <c r="AJ72" s="255"/>
      <c r="AK72" s="255"/>
      <c r="AL72" s="255"/>
      <c r="AM72" s="255"/>
      <c r="AN72" s="255"/>
      <c r="AO72" s="255"/>
      <c r="AP72" s="255"/>
      <c r="AQ72" s="255"/>
      <c r="AR72" s="255"/>
      <c r="AS72" s="255"/>
      <c r="AT72" s="255"/>
      <c r="AU72" s="255"/>
      <c r="AV72" s="255"/>
      <c r="AW72" s="255"/>
      <c r="AX72" s="255"/>
      <c r="AY72" s="255"/>
      <c r="AZ72" s="255"/>
      <c r="BA72" s="255"/>
      <c r="BB72" s="255"/>
      <c r="BC72" s="255"/>
      <c r="BD72" s="255"/>
      <c r="BE72" s="255"/>
      <c r="BF72" s="255"/>
      <c r="BG72" s="255"/>
      <c r="BH72" s="255"/>
      <c r="BI72" s="255"/>
      <c r="BJ72" s="255"/>
    </row>
    <row r="73" s="25" customFormat="1" ht="14.25">
      <c r="A73" s="664" t="s">
        <v>32</v>
      </c>
      <c r="B73" s="664">
        <v>38.678187403993855606758832565</v>
      </c>
      <c r="C73" s="664">
        <v>40.877880184331797235023041475</v>
      </c>
      <c r="D73" s="664">
        <v>48.642857142857142857142857143</v>
      </c>
      <c r="E73" s="664">
        <v>30.533154121863799283154121864</v>
      </c>
      <c r="F73" s="664">
        <v>46.303379416282642089093701997</v>
      </c>
      <c r="G73" s="664">
        <v>51.166666666666666666666666667</v>
      </c>
      <c r="H73" s="664">
        <v>28.537634408602150537634408602</v>
      </c>
      <c r="I73" s="664">
        <v>38.386328725038402457757296467</v>
      </c>
      <c r="J73" s="664">
        <v>40.172811059907834101382488479</v>
      </c>
      <c r="K73" s="664">
        <v>29.420890937019969278033794163</v>
      </c>
      <c r="L73" s="664">
        <v>44.682027649769585253456221198</v>
      </c>
      <c r="M73" s="664">
        <v>39.88786482334869431643625192</v>
      </c>
      <c r="N73" s="664"/>
      <c r="O73" s="664"/>
      <c r="P73" s="664"/>
      <c r="Q73" s="664"/>
      <c r="R73" s="664"/>
      <c r="S73" s="664"/>
      <c r="T73" s="664"/>
      <c r="U73" s="664"/>
      <c r="V73" s="664"/>
      <c r="W73" s="664"/>
      <c r="X73" s="664"/>
      <c r="Y73" s="664"/>
      <c r="Z73" s="664"/>
      <c r="AA73" s="664"/>
      <c r="AB73" s="664"/>
      <c r="AC73" s="664"/>
      <c r="AD73" s="664"/>
      <c r="AE73" s="664"/>
      <c r="AF73" s="664"/>
      <c r="AG73" s="664"/>
      <c r="AH73" s="255"/>
      <c r="AI73" s="255"/>
      <c r="AJ73" s="255"/>
      <c r="AK73" s="255"/>
      <c r="AL73" s="255"/>
      <c r="AM73" s="255"/>
      <c r="AN73" s="255"/>
      <c r="AO73" s="255"/>
      <c r="AP73" s="255"/>
      <c r="AQ73" s="255"/>
      <c r="AR73" s="255"/>
      <c r="AS73" s="255"/>
      <c r="AT73" s="255"/>
      <c r="AU73" s="255"/>
      <c r="AV73" s="255"/>
      <c r="AW73" s="255"/>
      <c r="AX73" s="255"/>
      <c r="AY73" s="255"/>
      <c r="AZ73" s="255"/>
      <c r="BA73" s="255"/>
      <c r="BB73" s="255"/>
      <c r="BC73" s="255"/>
      <c r="BD73" s="255"/>
      <c r="BE73" s="255"/>
      <c r="BF73" s="255"/>
      <c r="BG73" s="255"/>
      <c r="BH73" s="255"/>
      <c r="BI73" s="255"/>
      <c r="BJ73" s="255"/>
    </row>
    <row r="74" s="25" customFormat="1" ht="14.25">
      <c r="A74" s="664" t="s">
        <v>26</v>
      </c>
      <c r="B74" s="664">
        <v>76.769692186266771902131018152</v>
      </c>
      <c r="C74" s="664">
        <v>62.468230728755590634043672719</v>
      </c>
      <c r="D74" s="664">
        <v>84.31322546698237305972112602</v>
      </c>
      <c r="E74" s="664">
        <v>79.83872007366482504604051565</v>
      </c>
      <c r="F74" s="664">
        <v>87.33974875032886082609839516</v>
      </c>
      <c r="G74" s="664">
        <v>87.84581701246942510647760122</v>
      </c>
      <c r="H74" s="664">
        <v>58.686550907655880031570639305</v>
      </c>
      <c r="I74" s="664">
        <v>86.03077611154959221257563799</v>
      </c>
      <c r="J74" s="664">
        <v>79.21850828729281767955801105</v>
      </c>
      <c r="K74" s="664">
        <v>92.19748881873191265456458827</v>
      </c>
      <c r="L74" s="664">
        <v>84.23485793212312549329123915</v>
      </c>
      <c r="M74" s="664">
        <v>62.316657458563535911602209945</v>
      </c>
      <c r="N74" s="664"/>
      <c r="O74" s="664"/>
      <c r="P74" s="664"/>
      <c r="Q74" s="664"/>
      <c r="R74" s="664"/>
      <c r="S74" s="664"/>
      <c r="T74" s="664"/>
      <c r="U74" s="664"/>
      <c r="V74" s="664"/>
      <c r="W74" s="664"/>
      <c r="X74" s="664"/>
      <c r="Y74" s="664"/>
      <c r="Z74" s="664"/>
      <c r="AA74" s="664"/>
      <c r="AB74" s="664"/>
      <c r="AC74" s="664"/>
      <c r="AD74" s="664"/>
      <c r="AE74" s="664"/>
      <c r="AF74" s="664"/>
      <c r="AG74" s="664"/>
      <c r="AH74" s="255"/>
      <c r="AI74" s="255"/>
      <c r="AJ74" s="255"/>
      <c r="AK74" s="255"/>
      <c r="AL74" s="255"/>
      <c r="AM74" s="255"/>
      <c r="AN74" s="255"/>
      <c r="AO74" s="255"/>
      <c r="AP74" s="255"/>
      <c r="AQ74" s="255"/>
      <c r="AR74" s="255"/>
      <c r="AS74" s="255"/>
      <c r="AT74" s="255"/>
      <c r="AU74" s="255"/>
      <c r="AV74" s="255"/>
      <c r="AW74" s="255"/>
      <c r="AX74" s="255"/>
      <c r="AY74" s="255"/>
      <c r="AZ74" s="255"/>
      <c r="BA74" s="255"/>
      <c r="BB74" s="255"/>
      <c r="BC74" s="255"/>
      <c r="BD74" s="255"/>
      <c r="BE74" s="255"/>
      <c r="BF74" s="255"/>
      <c r="BG74" s="255"/>
      <c r="BH74" s="255"/>
      <c r="BI74" s="255"/>
      <c r="BJ74" s="255"/>
    </row>
    <row r="75" s="25" customFormat="1" ht="14.25">
      <c r="A75" s="664" t="s">
        <v>147</v>
      </c>
      <c r="B75" s="664">
        <v>92.5980563654033041788143829</v>
      </c>
      <c r="C75" s="664">
        <v>76.020537738905085843861354065</v>
      </c>
      <c r="D75" s="664">
        <v>103.94460641399416909620991254</v>
      </c>
      <c r="E75" s="664">
        <v>95.14849368318756073858114674</v>
      </c>
      <c r="F75" s="664">
        <v>103.00907029478458049886621315</v>
      </c>
      <c r="G75" s="664">
        <v>98.25889212827988338192419825</v>
      </c>
      <c r="H75" s="664">
        <v>76.355749919015225137674117266</v>
      </c>
      <c r="I75" s="664">
        <v>102.99948169744088111435050211</v>
      </c>
      <c r="J75" s="664">
        <v>97.66873987690314220926465824</v>
      </c>
      <c r="K75" s="664">
        <v>96.66394557823129251700680272</v>
      </c>
      <c r="L75" s="664">
        <v>89.16618075801749271137026239</v>
      </c>
      <c r="M75" s="664">
        <v>87.53780369290573372206025267</v>
      </c>
      <c r="N75" s="664"/>
      <c r="O75" s="664"/>
      <c r="P75" s="664"/>
      <c r="Q75" s="664"/>
      <c r="R75" s="664"/>
      <c r="S75" s="664"/>
      <c r="T75" s="664"/>
      <c r="U75" s="664"/>
      <c r="V75" s="664"/>
      <c r="W75" s="664"/>
      <c r="X75" s="664"/>
      <c r="Y75" s="664"/>
      <c r="Z75" s="664"/>
      <c r="AA75" s="664"/>
      <c r="AB75" s="664"/>
      <c r="AC75" s="664"/>
      <c r="AD75" s="664"/>
      <c r="AE75" s="664"/>
      <c r="AF75" s="664"/>
      <c r="AG75" s="664"/>
      <c r="AH75" s="255"/>
      <c r="AI75" s="255"/>
      <c r="AJ75" s="255"/>
      <c r="AK75" s="255"/>
      <c r="AL75" s="255"/>
      <c r="AM75" s="255"/>
      <c r="AN75" s="255"/>
      <c r="AO75" s="255"/>
      <c r="AP75" s="255"/>
      <c r="AQ75" s="255"/>
      <c r="AR75" s="255"/>
      <c r="AS75" s="255"/>
      <c r="AT75" s="255"/>
      <c r="AU75" s="255"/>
      <c r="AV75" s="255"/>
      <c r="AW75" s="255"/>
      <c r="AX75" s="255"/>
      <c r="AY75" s="255"/>
      <c r="AZ75" s="255"/>
      <c r="BA75" s="255"/>
      <c r="BB75" s="255"/>
      <c r="BC75" s="255"/>
      <c r="BD75" s="255"/>
      <c r="BE75" s="255"/>
      <c r="BF75" s="255"/>
      <c r="BG75" s="255"/>
      <c r="BH75" s="255"/>
      <c r="BI75" s="255"/>
      <c r="BJ75" s="255"/>
    </row>
    <row r="76" s="25" customFormat="1">
      <c r="A76" s="664"/>
      <c r="B76" s="664"/>
      <c r="C76" s="664"/>
      <c r="D76" s="664"/>
      <c r="E76" s="664"/>
      <c r="F76" s="664"/>
      <c r="G76" s="664"/>
      <c r="H76" s="664"/>
      <c r="I76" s="664"/>
      <c r="J76" s="664"/>
      <c r="K76" s="664"/>
      <c r="L76" s="664"/>
      <c r="M76" s="664"/>
      <c r="N76" s="664"/>
      <c r="O76" s="664"/>
      <c r="P76" s="664"/>
      <c r="Q76" s="664"/>
      <c r="R76" s="664"/>
      <c r="S76" s="664"/>
      <c r="T76" s="664"/>
      <c r="U76" s="664"/>
      <c r="V76" s="664"/>
      <c r="W76" s="664"/>
      <c r="X76" s="664"/>
      <c r="Y76" s="664"/>
      <c r="Z76" s="664"/>
      <c r="AA76" s="664"/>
      <c r="AB76" s="664"/>
      <c r="AC76" s="664"/>
      <c r="AD76" s="664"/>
      <c r="AE76" s="664"/>
      <c r="AF76" s="664"/>
      <c r="AG76" s="664"/>
      <c r="AH76" s="255"/>
      <c r="AI76" s="255"/>
      <c r="AJ76" s="255"/>
      <c r="AK76" s="255"/>
      <c r="AL76" s="255"/>
      <c r="AM76" s="255"/>
      <c r="AN76" s="255"/>
      <c r="AO76" s="255"/>
      <c r="AP76" s="255"/>
      <c r="AQ76" s="255"/>
      <c r="AR76" s="255"/>
      <c r="AS76" s="255"/>
      <c r="AT76" s="255"/>
      <c r="AU76" s="255"/>
      <c r="AV76" s="255"/>
      <c r="AW76" s="255"/>
      <c r="AX76" s="255"/>
      <c r="AY76" s="255"/>
      <c r="AZ76" s="255"/>
      <c r="BA76" s="255"/>
      <c r="BB76" s="255"/>
      <c r="BC76" s="255"/>
      <c r="BD76" s="255"/>
      <c r="BE76" s="255"/>
      <c r="BF76" s="255"/>
      <c r="BG76" s="255"/>
      <c r="BH76" s="255"/>
      <c r="BI76" s="255"/>
      <c r="BJ76" s="255"/>
    </row>
    <row r="77" s="25" customFormat="1">
      <c r="A77" s="664"/>
      <c r="B77" s="664"/>
      <c r="C77" s="664"/>
      <c r="D77" s="664"/>
      <c r="E77" s="664"/>
      <c r="F77" s="664"/>
      <c r="G77" s="664"/>
      <c r="H77" s="664"/>
      <c r="I77" s="664"/>
      <c r="J77" s="664"/>
      <c r="K77" s="664"/>
      <c r="L77" s="664"/>
      <c r="M77" s="664"/>
      <c r="N77" s="664"/>
      <c r="O77" s="664"/>
      <c r="P77" s="664"/>
      <c r="Q77" s="664"/>
      <c r="R77" s="664"/>
      <c r="S77" s="664"/>
      <c r="T77" s="664"/>
      <c r="U77" s="664"/>
      <c r="V77" s="664"/>
      <c r="W77" s="664"/>
      <c r="X77" s="664"/>
      <c r="Y77" s="664"/>
      <c r="Z77" s="664"/>
      <c r="AA77" s="664"/>
      <c r="AB77" s="664"/>
      <c r="AC77" s="664"/>
      <c r="AD77" s="664"/>
      <c r="AE77" s="664"/>
      <c r="AF77" s="664"/>
      <c r="AG77" s="664"/>
      <c r="AH77" s="255"/>
      <c r="AI77" s="255"/>
      <c r="AJ77" s="255"/>
      <c r="AK77" s="255"/>
      <c r="AL77" s="255"/>
      <c r="AM77" s="255"/>
      <c r="AN77" s="255"/>
      <c r="AO77" s="255"/>
      <c r="AP77" s="255"/>
      <c r="AQ77" s="255"/>
      <c r="AR77" s="255"/>
      <c r="AS77" s="255"/>
      <c r="AT77" s="255"/>
      <c r="AU77" s="255"/>
      <c r="AV77" s="255"/>
      <c r="AW77" s="255"/>
      <c r="AX77" s="255"/>
      <c r="AY77" s="255"/>
      <c r="AZ77" s="255"/>
      <c r="BA77" s="255"/>
      <c r="BB77" s="255"/>
      <c r="BC77" s="255"/>
      <c r="BD77" s="255"/>
      <c r="BE77" s="255"/>
      <c r="BF77" s="255"/>
      <c r="BG77" s="255"/>
      <c r="BH77" s="255"/>
      <c r="BI77" s="255"/>
      <c r="BJ77" s="255"/>
    </row>
    <row r="78">
      <c r="A78" s="664"/>
      <c r="B78" s="664"/>
      <c r="C78" s="664"/>
      <c r="D78" s="664"/>
      <c r="E78" s="664"/>
      <c r="F78" s="664"/>
      <c r="G78" s="664"/>
      <c r="H78" s="664"/>
      <c r="I78" s="664"/>
      <c r="J78" s="664"/>
      <c r="K78" s="664"/>
      <c r="L78" s="664"/>
      <c r="M78" s="664"/>
      <c r="N78" s="664"/>
      <c r="O78" s="664"/>
      <c r="P78" s="664"/>
      <c r="Q78" s="664"/>
      <c r="R78" s="664"/>
      <c r="S78" s="664"/>
      <c r="T78" s="664"/>
      <c r="U78" s="664"/>
      <c r="V78" s="664"/>
      <c r="W78" s="664"/>
      <c r="X78" s="664"/>
      <c r="Y78" s="664"/>
      <c r="Z78" s="664"/>
      <c r="AA78" s="664"/>
      <c r="AB78" s="664"/>
      <c r="AC78" s="664"/>
      <c r="AD78" s="664"/>
      <c r="AE78" s="664"/>
      <c r="AF78" s="664"/>
      <c r="AG78" s="66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c r="BH78" s="244"/>
      <c r="BI78" s="244"/>
      <c r="BJ78" s="244"/>
    </row>
    <row r="79">
      <c r="A79" s="664"/>
      <c r="B79" s="664"/>
      <c r="C79" s="664"/>
      <c r="D79" s="664"/>
      <c r="E79" s="664"/>
      <c r="F79" s="664"/>
      <c r="G79" s="664"/>
      <c r="H79" s="664"/>
      <c r="I79" s="664"/>
      <c r="J79" s="664"/>
      <c r="K79" s="664"/>
      <c r="L79" s="664"/>
      <c r="M79" s="664"/>
      <c r="N79" s="664"/>
      <c r="O79" s="664"/>
      <c r="P79" s="664"/>
      <c r="Q79" s="664"/>
      <c r="R79" s="664"/>
      <c r="S79" s="664"/>
      <c r="T79" s="664"/>
      <c r="U79" s="664"/>
      <c r="V79" s="664"/>
      <c r="W79" s="664"/>
      <c r="X79" s="664"/>
      <c r="Y79" s="664"/>
      <c r="Z79" s="664"/>
      <c r="AA79" s="664"/>
      <c r="AB79" s="664"/>
      <c r="AC79" s="664"/>
      <c r="AD79" s="664"/>
      <c r="AE79" s="664"/>
      <c r="AF79" s="664"/>
      <c r="AG79" s="66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c r="BH79" s="244"/>
      <c r="BI79" s="244"/>
      <c r="BJ79" s="244"/>
    </row>
    <row r="80">
      <c r="A80" s="664"/>
      <c r="B80" s="664"/>
      <c r="C80" s="664"/>
      <c r="D80" s="664"/>
      <c r="E80" s="664"/>
      <c r="F80" s="664"/>
      <c r="G80" s="664"/>
      <c r="H80" s="664"/>
      <c r="I80" s="664"/>
      <c r="J80" s="664"/>
      <c r="K80" s="664"/>
      <c r="L80" s="664"/>
      <c r="M80" s="664"/>
      <c r="N80" s="664"/>
      <c r="O80" s="664"/>
      <c r="P80" s="664"/>
      <c r="Q80" s="664"/>
      <c r="R80" s="664"/>
      <c r="S80" s="664"/>
      <c r="T80" s="664"/>
      <c r="U80" s="664"/>
      <c r="V80" s="664"/>
      <c r="W80" s="664"/>
      <c r="X80" s="664"/>
      <c r="Y80" s="664"/>
      <c r="Z80" s="664"/>
      <c r="AA80" s="664"/>
      <c r="AB80" s="664"/>
      <c r="AC80" s="664"/>
      <c r="AD80" s="664"/>
      <c r="AE80" s="664"/>
      <c r="AF80" s="664"/>
      <c r="AG80" s="66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row>
    <row r="81">
      <c r="A81" s="664"/>
      <c r="B81" s="664"/>
      <c r="C81" s="664"/>
      <c r="D81" s="664"/>
      <c r="E81" s="664"/>
      <c r="F81" s="664"/>
      <c r="G81" s="664"/>
      <c r="H81" s="664"/>
      <c r="I81" s="664"/>
      <c r="J81" s="664"/>
      <c r="K81" s="664"/>
      <c r="L81" s="664"/>
      <c r="M81" s="664"/>
      <c r="N81" s="664"/>
      <c r="O81" s="664"/>
      <c r="P81" s="664"/>
      <c r="Q81" s="664"/>
      <c r="R81" s="664"/>
      <c r="S81" s="664"/>
      <c r="T81" s="664"/>
      <c r="U81" s="664"/>
      <c r="V81" s="664"/>
      <c r="W81" s="664"/>
      <c r="X81" s="664"/>
      <c r="Y81" s="664"/>
      <c r="Z81" s="664"/>
      <c r="AA81" s="664"/>
      <c r="AB81" s="664"/>
      <c r="AC81" s="664"/>
      <c r="AD81" s="664"/>
      <c r="AE81" s="664"/>
      <c r="AF81" s="664"/>
      <c r="AG81" s="66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row>
    <row r="82">
      <c r="A82" s="664"/>
      <c r="B82" s="664"/>
      <c r="C82" s="664"/>
      <c r="D82" s="664"/>
      <c r="E82" s="664"/>
      <c r="F82" s="664"/>
      <c r="G82" s="664"/>
      <c r="H82" s="664"/>
      <c r="I82" s="664"/>
      <c r="J82" s="664"/>
      <c r="K82" s="664"/>
      <c r="L82" s="664"/>
      <c r="M82" s="664"/>
      <c r="N82" s="664"/>
      <c r="O82" s="664"/>
      <c r="P82" s="664"/>
      <c r="Q82" s="664"/>
      <c r="R82" s="664"/>
      <c r="S82" s="664"/>
      <c r="T82" s="664"/>
      <c r="U82" s="664"/>
      <c r="V82" s="664"/>
      <c r="W82" s="664"/>
      <c r="X82" s="664"/>
      <c r="Y82" s="664"/>
      <c r="Z82" s="664"/>
      <c r="AA82" s="664"/>
      <c r="AB82" s="664"/>
      <c r="AC82" s="664"/>
      <c r="AD82" s="664"/>
      <c r="AE82" s="664"/>
      <c r="AF82" s="664"/>
      <c r="AG82" s="66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row>
    <row r="83">
      <c r="A83" s="664"/>
      <c r="B83" s="664"/>
      <c r="C83" s="664"/>
      <c r="D83" s="664"/>
      <c r="E83" s="664"/>
      <c r="F83" s="664"/>
      <c r="G83" s="664"/>
      <c r="H83" s="664"/>
      <c r="I83" s="664"/>
      <c r="J83" s="664"/>
      <c r="K83" s="664"/>
      <c r="L83" s="664"/>
      <c r="M83" s="664"/>
      <c r="N83" s="664"/>
      <c r="O83" s="664"/>
      <c r="P83" s="664"/>
      <c r="Q83" s="664"/>
      <c r="R83" s="664"/>
      <c r="S83" s="664"/>
      <c r="T83" s="664"/>
      <c r="U83" s="664"/>
      <c r="V83" s="664"/>
      <c r="W83" s="664"/>
      <c r="X83" s="664"/>
      <c r="Y83" s="664"/>
      <c r="Z83" s="664"/>
      <c r="AA83" s="664"/>
      <c r="AB83" s="664"/>
      <c r="AC83" s="664"/>
      <c r="AD83" s="664"/>
      <c r="AE83" s="664"/>
      <c r="AF83" s="664"/>
      <c r="AG83" s="66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row>
    <row r="84">
      <c r="A84" s="664"/>
      <c r="B84" s="664"/>
      <c r="C84" s="664"/>
      <c r="D84" s="664"/>
      <c r="E84" s="664"/>
      <c r="F84" s="664"/>
      <c r="G84" s="664"/>
      <c r="H84" s="664"/>
      <c r="I84" s="664"/>
      <c r="J84" s="664"/>
      <c r="K84" s="664"/>
      <c r="L84" s="664"/>
      <c r="M84" s="664"/>
      <c r="N84" s="664"/>
      <c r="O84" s="664"/>
      <c r="P84" s="664"/>
      <c r="Q84" s="664"/>
      <c r="R84" s="664"/>
      <c r="S84" s="664"/>
      <c r="T84" s="664"/>
      <c r="U84" s="664"/>
      <c r="V84" s="664"/>
      <c r="W84" s="664"/>
      <c r="X84" s="664"/>
      <c r="Y84" s="664"/>
      <c r="Z84" s="664"/>
      <c r="AA84" s="664"/>
      <c r="AB84" s="664"/>
      <c r="AC84" s="664"/>
      <c r="AD84" s="664"/>
      <c r="AE84" s="664"/>
      <c r="AF84" s="664"/>
      <c r="AG84" s="66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row>
    <row r="85">
      <c r="A85" s="664"/>
      <c r="B85" s="664"/>
      <c r="C85" s="664"/>
      <c r="D85" s="664"/>
      <c r="E85" s="664"/>
      <c r="F85" s="664"/>
      <c r="G85" s="664"/>
      <c r="H85" s="664"/>
      <c r="I85" s="664"/>
      <c r="J85" s="664"/>
      <c r="K85" s="664"/>
      <c r="L85" s="664"/>
      <c r="M85" s="664"/>
      <c r="N85" s="664"/>
      <c r="O85" s="664"/>
      <c r="P85" s="664"/>
      <c r="Q85" s="664"/>
      <c r="R85" s="664"/>
      <c r="S85" s="664"/>
      <c r="T85" s="664"/>
      <c r="U85" s="664"/>
      <c r="V85" s="664"/>
      <c r="W85" s="664"/>
      <c r="X85" s="664"/>
      <c r="Y85" s="664"/>
      <c r="Z85" s="664"/>
      <c r="AA85" s="664"/>
      <c r="AB85" s="664"/>
      <c r="AC85" s="664"/>
      <c r="AD85" s="664"/>
      <c r="AE85" s="664"/>
      <c r="AF85" s="664"/>
      <c r="AG85" s="66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row>
    <row r="86">
      <c r="A86" s="664"/>
      <c r="B86" s="664"/>
      <c r="C86" s="664"/>
      <c r="D86" s="664"/>
      <c r="E86" s="664"/>
      <c r="F86" s="664"/>
      <c r="G86" s="664"/>
      <c r="H86" s="664"/>
      <c r="I86" s="664"/>
      <c r="J86" s="664"/>
      <c r="K86" s="664"/>
      <c r="L86" s="664"/>
      <c r="M86" s="664"/>
      <c r="N86" s="664"/>
      <c r="O86" s="664"/>
      <c r="P86" s="664"/>
      <c r="Q86" s="664"/>
      <c r="R86" s="664"/>
      <c r="S86" s="664"/>
      <c r="T86" s="664"/>
      <c r="U86" s="664"/>
      <c r="V86" s="664"/>
      <c r="W86" s="664"/>
      <c r="X86" s="664"/>
      <c r="Y86" s="664"/>
      <c r="Z86" s="664"/>
      <c r="AA86" s="664"/>
      <c r="AB86" s="664"/>
      <c r="AC86" s="664"/>
      <c r="AD86" s="664"/>
      <c r="AE86" s="664"/>
      <c r="AF86" s="664"/>
      <c r="AG86" s="66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row>
    <row r="87">
      <c r="A87" s="664"/>
      <c r="B87" s="664"/>
      <c r="C87" s="664"/>
      <c r="D87" s="664"/>
      <c r="E87" s="664"/>
      <c r="F87" s="664"/>
      <c r="G87" s="664"/>
      <c r="H87" s="664"/>
      <c r="I87" s="664"/>
      <c r="J87" s="664"/>
      <c r="K87" s="664"/>
      <c r="L87" s="664"/>
      <c r="M87" s="664"/>
      <c r="N87" s="664"/>
      <c r="O87" s="664"/>
      <c r="P87" s="664"/>
      <c r="Q87" s="664"/>
      <c r="R87" s="664"/>
      <c r="S87" s="664"/>
      <c r="T87" s="664"/>
      <c r="U87" s="664"/>
      <c r="V87" s="664"/>
      <c r="W87" s="664"/>
      <c r="X87" s="664"/>
      <c r="Y87" s="664"/>
      <c r="Z87" s="664"/>
      <c r="AA87" s="664"/>
      <c r="AB87" s="664"/>
      <c r="AC87" s="664"/>
      <c r="AD87" s="664"/>
      <c r="AE87" s="664"/>
      <c r="AF87" s="664"/>
      <c r="AG87" s="66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row>
    <row r="88">
      <c r="A88" s="664"/>
      <c r="B88" s="664"/>
      <c r="C88" s="664"/>
      <c r="D88" s="664"/>
      <c r="E88" s="664"/>
      <c r="F88" s="664"/>
      <c r="G88" s="664"/>
      <c r="H88" s="664"/>
      <c r="I88" s="664"/>
      <c r="J88" s="664"/>
      <c r="K88" s="664"/>
      <c r="L88" s="664"/>
      <c r="M88" s="664"/>
      <c r="N88" s="664"/>
      <c r="O88" s="664"/>
      <c r="P88" s="664"/>
      <c r="Q88" s="664"/>
      <c r="R88" s="664"/>
      <c r="S88" s="664"/>
      <c r="T88" s="664"/>
      <c r="U88" s="664"/>
      <c r="V88" s="664"/>
      <c r="W88" s="664"/>
      <c r="X88" s="664"/>
      <c r="Y88" s="664"/>
      <c r="Z88" s="664"/>
      <c r="AA88" s="664"/>
      <c r="AB88" s="664"/>
      <c r="AC88" s="664"/>
      <c r="AD88" s="664"/>
      <c r="AE88" s="664"/>
      <c r="AF88" s="664"/>
      <c r="AG88" s="66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row>
    <row r="89">
      <c r="A89" s="664"/>
      <c r="B89" s="664"/>
      <c r="C89" s="664"/>
      <c r="D89" s="664"/>
      <c r="E89" s="664"/>
      <c r="F89" s="664"/>
      <c r="G89" s="664"/>
      <c r="H89" s="664"/>
      <c r="I89" s="664"/>
      <c r="J89" s="664"/>
      <c r="K89" s="664"/>
      <c r="L89" s="664"/>
      <c r="M89" s="664"/>
      <c r="N89" s="664"/>
      <c r="O89" s="664"/>
      <c r="P89" s="664"/>
      <c r="Q89" s="664"/>
      <c r="R89" s="664"/>
      <c r="S89" s="664"/>
      <c r="T89" s="664"/>
      <c r="U89" s="664"/>
      <c r="V89" s="664"/>
      <c r="W89" s="664"/>
      <c r="X89" s="664"/>
      <c r="Y89" s="664"/>
      <c r="Z89" s="664"/>
      <c r="AA89" s="664"/>
      <c r="AB89" s="664"/>
      <c r="AC89" s="664"/>
      <c r="AD89" s="664"/>
      <c r="AE89" s="664"/>
      <c r="AF89" s="664"/>
      <c r="AG89" s="66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row>
    <row r="90">
      <c r="A90" s="664"/>
      <c r="B90" s="664"/>
      <c r="C90" s="664"/>
      <c r="D90" s="664"/>
      <c r="E90" s="664"/>
      <c r="F90" s="664"/>
      <c r="G90" s="664"/>
      <c r="H90" s="664"/>
      <c r="I90" s="664"/>
      <c r="J90" s="664"/>
      <c r="K90" s="664"/>
      <c r="L90" s="664"/>
      <c r="M90" s="664"/>
      <c r="N90" s="664"/>
      <c r="O90" s="664"/>
      <c r="P90" s="664"/>
      <c r="Q90" s="664"/>
      <c r="R90" s="664"/>
      <c r="S90" s="664"/>
      <c r="T90" s="664"/>
      <c r="U90" s="664"/>
      <c r="V90" s="664"/>
      <c r="W90" s="664"/>
      <c r="X90" s="664"/>
      <c r="Y90" s="664"/>
      <c r="Z90" s="664"/>
      <c r="AA90" s="664"/>
      <c r="AB90" s="664"/>
      <c r="AC90" s="664"/>
      <c r="AD90" s="664"/>
      <c r="AE90" s="664"/>
      <c r="AF90" s="664"/>
      <c r="AG90" s="66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row>
    <row r="91">
      <c r="A91" s="664"/>
      <c r="B91" s="664"/>
      <c r="C91" s="664"/>
      <c r="D91" s="664"/>
      <c r="E91" s="664"/>
      <c r="F91" s="664"/>
      <c r="G91" s="664"/>
      <c r="H91" s="664"/>
      <c r="I91" s="664"/>
      <c r="J91" s="664"/>
      <c r="K91" s="664"/>
      <c r="L91" s="664"/>
      <c r="M91" s="664"/>
      <c r="N91" s="664"/>
      <c r="O91" s="664"/>
      <c r="P91" s="664"/>
      <c r="Q91" s="664"/>
      <c r="R91" s="664"/>
      <c r="S91" s="664"/>
      <c r="T91" s="664"/>
      <c r="U91" s="664"/>
      <c r="V91" s="664"/>
      <c r="W91" s="664"/>
      <c r="X91" s="664"/>
      <c r="Y91" s="664"/>
      <c r="Z91" s="664"/>
      <c r="AA91" s="664"/>
      <c r="AB91" s="664"/>
      <c r="AC91" s="664"/>
      <c r="AD91" s="664"/>
      <c r="AE91" s="664"/>
      <c r="AF91" s="664"/>
      <c r="AG91" s="66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row>
    <row r="92">
      <c r="A92" s="664"/>
      <c r="B92" s="664"/>
      <c r="C92" s="664"/>
      <c r="D92" s="664"/>
      <c r="E92" s="664"/>
      <c r="F92" s="664"/>
      <c r="G92" s="664"/>
      <c r="H92" s="664"/>
      <c r="I92" s="664"/>
      <c r="J92" s="664"/>
      <c r="K92" s="664"/>
      <c r="L92" s="664"/>
      <c r="M92" s="664"/>
      <c r="N92" s="664"/>
      <c r="O92" s="664"/>
      <c r="P92" s="664"/>
      <c r="Q92" s="664"/>
      <c r="R92" s="664"/>
      <c r="S92" s="664"/>
      <c r="T92" s="664"/>
      <c r="U92" s="664"/>
      <c r="V92" s="664"/>
      <c r="W92" s="664"/>
      <c r="X92" s="664"/>
      <c r="Y92" s="664"/>
      <c r="Z92" s="664"/>
      <c r="AA92" s="664"/>
      <c r="AB92" s="664"/>
      <c r="AC92" s="664"/>
      <c r="AD92" s="664"/>
      <c r="AE92" s="664"/>
      <c r="AF92" s="664"/>
      <c r="AG92" s="66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row>
    <row r="93">
      <c r="A93" s="664"/>
      <c r="B93" s="664"/>
      <c r="C93" s="664"/>
      <c r="D93" s="664"/>
      <c r="E93" s="664"/>
      <c r="F93" s="664"/>
      <c r="G93" s="664"/>
      <c r="H93" s="664"/>
      <c r="I93" s="664"/>
      <c r="J93" s="664"/>
      <c r="K93" s="664"/>
      <c r="L93" s="664"/>
      <c r="M93" s="664"/>
      <c r="N93" s="664"/>
      <c r="O93" s="664"/>
      <c r="P93" s="664"/>
      <c r="Q93" s="664"/>
      <c r="R93" s="664"/>
      <c r="S93" s="664"/>
      <c r="T93" s="664"/>
      <c r="U93" s="664"/>
      <c r="V93" s="664"/>
      <c r="W93" s="664"/>
      <c r="X93" s="664"/>
      <c r="Y93" s="664"/>
      <c r="Z93" s="664"/>
      <c r="AA93" s="664"/>
      <c r="AB93" s="664"/>
      <c r="AC93" s="664"/>
      <c r="AD93" s="664"/>
      <c r="AE93" s="664"/>
      <c r="AF93" s="664"/>
      <c r="AG93" s="66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row>
    <row r="94">
      <c r="A94" s="664"/>
      <c r="B94" s="664"/>
      <c r="C94" s="664"/>
      <c r="D94" s="664"/>
      <c r="E94" s="664"/>
      <c r="F94" s="664"/>
      <c r="G94" s="664"/>
      <c r="H94" s="664"/>
      <c r="I94" s="664"/>
      <c r="J94" s="664"/>
      <c r="K94" s="664"/>
      <c r="L94" s="664"/>
      <c r="M94" s="664"/>
      <c r="N94" s="664"/>
      <c r="O94" s="664"/>
      <c r="P94" s="664"/>
      <c r="Q94" s="664"/>
      <c r="R94" s="664"/>
      <c r="S94" s="664"/>
      <c r="T94" s="664"/>
      <c r="U94" s="664"/>
      <c r="V94" s="664"/>
      <c r="W94" s="664"/>
      <c r="X94" s="664"/>
      <c r="Y94" s="664"/>
      <c r="Z94" s="664"/>
      <c r="AA94" s="664"/>
      <c r="AB94" s="664"/>
      <c r="AC94" s="664"/>
      <c r="AD94" s="664"/>
      <c r="AE94" s="664"/>
      <c r="AF94" s="664"/>
      <c r="AG94" s="66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row>
    <row r="104">
      <c r="A104" s="244"/>
      <c r="B104" s="244"/>
      <c r="C104" s="244"/>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c r="BH104" s="244"/>
      <c r="BI104" s="244"/>
      <c r="BJ104" s="244"/>
    </row>
    <row r="105">
      <c r="A105" s="244"/>
      <c r="B105" s="244"/>
      <c r="C105" s="244"/>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c r="BH105" s="244"/>
      <c r="BI105" s="244"/>
      <c r="BJ105" s="244"/>
    </row>
    <row r="106">
      <c r="A106" s="244"/>
      <c r="B106" s="244"/>
      <c r="C106" s="244"/>
      <c r="D106" s="244"/>
      <c r="E106" s="244"/>
      <c r="F106" s="244"/>
      <c r="G106" s="244"/>
      <c r="H106" s="244"/>
      <c r="I106" s="244"/>
      <c r="J106" s="244"/>
      <c r="K106" s="244"/>
      <c r="L106" s="244"/>
      <c r="M106" s="244"/>
      <c r="N106" s="244"/>
      <c r="O106" s="244"/>
      <c r="P106" s="244"/>
      <c r="Q106" s="244"/>
      <c r="R106" s="244"/>
      <c r="S106" s="244"/>
      <c r="T106" s="244"/>
      <c r="U106" s="244"/>
      <c r="V106" s="244"/>
      <c r="W106" s="244"/>
      <c r="X106" s="244"/>
      <c r="Y106" s="244"/>
      <c r="Z106" s="244"/>
      <c r="AA106" s="244"/>
      <c r="AB106" s="244"/>
      <c r="AC106" s="244"/>
      <c r="AD106" s="244"/>
      <c r="AE106" s="244"/>
      <c r="AF106" s="244"/>
      <c r="AG106" s="244"/>
      <c r="AH106" s="244"/>
      <c r="AI106" s="244"/>
      <c r="AJ106" s="244"/>
      <c r="AK106" s="244"/>
      <c r="AL106" s="244"/>
      <c r="AM106" s="244"/>
      <c r="AN106" s="244"/>
      <c r="AO106" s="244"/>
      <c r="AP106" s="244"/>
      <c r="AQ106" s="244"/>
      <c r="AR106" s="244"/>
      <c r="AS106" s="244"/>
      <c r="AT106" s="244"/>
      <c r="AU106" s="244"/>
      <c r="AV106" s="244"/>
      <c r="AW106" s="244"/>
      <c r="AX106" s="244"/>
      <c r="AY106" s="244"/>
      <c r="AZ106" s="244"/>
      <c r="BA106" s="244"/>
      <c r="BB106" s="244"/>
      <c r="BC106" s="244"/>
      <c r="BD106" s="244"/>
      <c r="BE106" s="244"/>
      <c r="BF106" s="244"/>
      <c r="BG106" s="244"/>
      <c r="BH106" s="244"/>
      <c r="BI106" s="244"/>
      <c r="BJ106" s="244"/>
    </row>
    <row r="107">
      <c r="A107" s="244"/>
      <c r="B107" s="244"/>
      <c r="C107" s="244"/>
      <c r="D107" s="244"/>
      <c r="E107" s="244"/>
      <c r="F107" s="244"/>
      <c r="G107" s="244"/>
      <c r="H107" s="244"/>
      <c r="I107" s="244"/>
      <c r="J107" s="244"/>
      <c r="K107" s="244"/>
      <c r="L107" s="244"/>
      <c r="M107" s="244"/>
      <c r="N107" s="244"/>
      <c r="O107" s="244"/>
      <c r="P107" s="244"/>
      <c r="Q107" s="244"/>
      <c r="R107" s="244"/>
      <c r="S107" s="244"/>
      <c r="T107" s="244"/>
      <c r="U107" s="244"/>
      <c r="V107" s="244"/>
      <c r="W107" s="244"/>
      <c r="X107" s="244"/>
      <c r="Y107" s="244"/>
      <c r="Z107" s="244"/>
      <c r="AA107" s="244"/>
      <c r="AB107" s="244"/>
      <c r="AC107" s="244"/>
      <c r="AD107" s="244"/>
      <c r="AE107" s="244"/>
      <c r="AF107" s="244"/>
      <c r="AG107" s="244"/>
      <c r="AH107" s="244"/>
      <c r="AI107" s="244"/>
      <c r="AJ107" s="244"/>
      <c r="AK107" s="244"/>
      <c r="AL107" s="244"/>
      <c r="AM107" s="244"/>
      <c r="AN107" s="244"/>
      <c r="AO107" s="244"/>
      <c r="AP107" s="244"/>
      <c r="AQ107" s="244"/>
      <c r="AR107" s="244"/>
      <c r="AS107" s="244"/>
      <c r="AT107" s="244"/>
      <c r="AU107" s="244"/>
      <c r="AV107" s="244"/>
      <c r="AW107" s="244"/>
      <c r="AX107" s="244"/>
      <c r="AY107" s="244"/>
      <c r="AZ107" s="244"/>
      <c r="BA107" s="244"/>
      <c r="BB107" s="244"/>
      <c r="BC107" s="244"/>
      <c r="BD107" s="244"/>
      <c r="BE107" s="244"/>
      <c r="BF107" s="244"/>
      <c r="BG107" s="244"/>
      <c r="BH107" s="244"/>
      <c r="BI107" s="244"/>
      <c r="BJ107" s="244"/>
    </row>
    <row r="108">
      <c r="A108" s="244"/>
      <c r="B108" s="244"/>
      <c r="C108" s="244"/>
      <c r="D108" s="244"/>
      <c r="E108" s="244"/>
      <c r="F108" s="244"/>
      <c r="G108" s="244"/>
      <c r="H108" s="244"/>
      <c r="I108" s="244"/>
      <c r="J108" s="244"/>
      <c r="K108" s="244"/>
      <c r="L108" s="244"/>
      <c r="M108" s="244"/>
      <c r="N108" s="244"/>
      <c r="O108" s="244"/>
      <c r="P108" s="244"/>
      <c r="Q108" s="244"/>
      <c r="R108" s="244"/>
      <c r="S108" s="244"/>
      <c r="T108" s="244"/>
      <c r="U108" s="244"/>
      <c r="V108" s="244"/>
      <c r="W108" s="244"/>
      <c r="X108" s="244"/>
      <c r="Y108" s="244"/>
      <c r="Z108" s="244"/>
      <c r="AA108" s="244"/>
      <c r="AB108" s="244"/>
      <c r="AC108" s="244"/>
      <c r="AD108" s="244"/>
      <c r="AE108" s="244"/>
      <c r="AF108" s="244"/>
      <c r="AG108" s="244"/>
      <c r="AH108" s="244"/>
      <c r="AI108" s="244"/>
      <c r="AJ108" s="244"/>
      <c r="AK108" s="244"/>
      <c r="AL108" s="244"/>
      <c r="AM108" s="244"/>
      <c r="AN108" s="244"/>
      <c r="AO108" s="244"/>
      <c r="AP108" s="244"/>
      <c r="AQ108" s="244"/>
      <c r="AR108" s="244"/>
      <c r="AS108" s="244"/>
      <c r="AT108" s="244"/>
      <c r="AU108" s="244"/>
      <c r="AV108" s="244"/>
      <c r="AW108" s="244"/>
      <c r="AX108" s="244"/>
      <c r="AY108" s="244"/>
      <c r="AZ108" s="244"/>
      <c r="BA108" s="244"/>
      <c r="BB108" s="244"/>
      <c r="BC108" s="244"/>
      <c r="BD108" s="244"/>
      <c r="BE108" s="244"/>
      <c r="BF108" s="244"/>
      <c r="BG108" s="244"/>
      <c r="BH108" s="244"/>
      <c r="BI108" s="244"/>
      <c r="BJ108" s="244"/>
    </row>
    <row r="109">
      <c r="A109" s="244"/>
      <c r="B109" s="244"/>
      <c r="C109" s="244"/>
      <c r="D109" s="244"/>
      <c r="E109" s="244"/>
      <c r="F109" s="244"/>
      <c r="G109" s="244"/>
      <c r="H109" s="244"/>
      <c r="I109" s="244"/>
      <c r="J109" s="244"/>
      <c r="K109" s="244"/>
      <c r="L109" s="244"/>
      <c r="M109" s="244"/>
      <c r="N109" s="244"/>
      <c r="O109" s="244"/>
      <c r="P109" s="244"/>
      <c r="Q109" s="244"/>
      <c r="R109" s="244"/>
      <c r="S109" s="244"/>
      <c r="T109" s="244"/>
      <c r="U109" s="244"/>
      <c r="V109" s="244"/>
      <c r="W109" s="244"/>
      <c r="X109" s="244"/>
      <c r="Y109" s="244"/>
      <c r="Z109" s="244"/>
      <c r="AA109" s="244"/>
      <c r="AB109" s="244"/>
      <c r="AC109" s="244"/>
      <c r="AD109" s="244"/>
      <c r="AE109" s="244"/>
      <c r="AF109" s="244"/>
      <c r="AG109" s="244"/>
      <c r="AH109" s="244"/>
      <c r="AI109" s="244"/>
      <c r="AJ109" s="244"/>
      <c r="AK109" s="244"/>
      <c r="AL109" s="244"/>
      <c r="AM109" s="244"/>
      <c r="AN109" s="244"/>
      <c r="AO109" s="244"/>
      <c r="AP109" s="244"/>
      <c r="AQ109" s="244"/>
      <c r="AR109" s="244"/>
      <c r="AS109" s="244"/>
      <c r="AT109" s="244"/>
      <c r="AU109" s="244"/>
      <c r="AV109" s="244"/>
      <c r="AW109" s="244"/>
      <c r="AX109" s="244"/>
      <c r="AY109" s="244"/>
      <c r="AZ109" s="244"/>
      <c r="BA109" s="244"/>
      <c r="BB109" s="244"/>
      <c r="BC109" s="244"/>
      <c r="BD109" s="244"/>
      <c r="BE109" s="244"/>
      <c r="BF109" s="244"/>
      <c r="BG109" s="244"/>
      <c r="BH109" s="244"/>
      <c r="BI109" s="244"/>
      <c r="BJ109" s="244"/>
    </row>
    <row r="110">
      <c r="A110" s="244"/>
      <c r="B110" s="244"/>
      <c r="C110" s="244"/>
      <c r="D110" s="244"/>
      <c r="E110" s="244"/>
      <c r="F110" s="244"/>
      <c r="G110" s="244"/>
      <c r="H110" s="244"/>
      <c r="I110" s="244"/>
      <c r="J110" s="244"/>
      <c r="K110" s="244"/>
      <c r="L110" s="244"/>
      <c r="M110" s="244"/>
      <c r="N110" s="244"/>
      <c r="O110" s="244"/>
      <c r="P110" s="244"/>
      <c r="Q110" s="244"/>
      <c r="R110" s="244"/>
      <c r="S110" s="244"/>
      <c r="T110" s="244"/>
      <c r="U110" s="244"/>
      <c r="V110" s="244"/>
      <c r="W110" s="244"/>
      <c r="X110" s="244"/>
      <c r="Y110" s="244"/>
      <c r="Z110" s="244"/>
      <c r="AA110" s="244"/>
      <c r="AB110" s="244"/>
      <c r="AC110" s="244"/>
      <c r="AD110" s="244"/>
      <c r="AE110" s="244"/>
      <c r="AF110" s="244"/>
      <c r="AG110" s="244"/>
      <c r="AH110" s="244"/>
      <c r="AI110" s="244"/>
      <c r="AJ110" s="244"/>
      <c r="AK110" s="244"/>
      <c r="AL110" s="244"/>
      <c r="AM110" s="244"/>
      <c r="AN110" s="244"/>
      <c r="AO110" s="244"/>
      <c r="AP110" s="244"/>
      <c r="AQ110" s="244"/>
      <c r="AR110" s="244"/>
      <c r="AS110" s="244"/>
      <c r="AT110" s="244"/>
      <c r="AU110" s="244"/>
      <c r="AV110" s="244"/>
      <c r="AW110" s="244"/>
      <c r="AX110" s="244"/>
      <c r="AY110" s="244"/>
      <c r="AZ110" s="244"/>
      <c r="BA110" s="244"/>
      <c r="BB110" s="244"/>
      <c r="BC110" s="244"/>
      <c r="BD110" s="244"/>
      <c r="BE110" s="244"/>
      <c r="BF110" s="244"/>
      <c r="BG110" s="244"/>
      <c r="BH110" s="244"/>
      <c r="BI110" s="244"/>
      <c r="BJ110" s="244"/>
    </row>
    <row r="111">
      <c r="A111" s="244"/>
      <c r="B111" s="244"/>
      <c r="C111" s="244"/>
      <c r="D111" s="244"/>
      <c r="E111" s="244"/>
      <c r="F111" s="244"/>
      <c r="G111" s="244"/>
      <c r="H111" s="244"/>
      <c r="I111" s="244"/>
      <c r="J111" s="244"/>
      <c r="K111" s="244"/>
      <c r="L111" s="244"/>
      <c r="M111" s="244"/>
      <c r="N111" s="244"/>
      <c r="O111" s="244"/>
      <c r="P111" s="244"/>
      <c r="Q111" s="244"/>
      <c r="R111" s="244"/>
      <c r="S111" s="244"/>
      <c r="T111" s="244"/>
      <c r="U111" s="244"/>
      <c r="V111" s="244"/>
      <c r="W111" s="244"/>
      <c r="X111" s="244"/>
      <c r="Y111" s="244"/>
      <c r="Z111" s="244"/>
      <c r="AA111" s="244"/>
      <c r="AB111" s="244"/>
      <c r="AC111" s="244"/>
      <c r="AD111" s="244"/>
      <c r="AE111" s="244"/>
      <c r="AF111" s="244"/>
      <c r="AG111" s="244"/>
      <c r="AH111" s="244"/>
      <c r="AI111" s="244"/>
      <c r="AJ111" s="244"/>
      <c r="AK111" s="244"/>
      <c r="AL111" s="244"/>
      <c r="AM111" s="244"/>
      <c r="AN111" s="244"/>
      <c r="AO111" s="244"/>
      <c r="AP111" s="244"/>
      <c r="AQ111" s="244"/>
      <c r="AR111" s="244"/>
      <c r="AS111" s="244"/>
      <c r="AT111" s="244"/>
      <c r="AU111" s="244"/>
      <c r="AV111" s="244"/>
      <c r="AW111" s="244"/>
      <c r="AX111" s="244"/>
      <c r="AY111" s="244"/>
      <c r="AZ111" s="244"/>
      <c r="BA111" s="244"/>
      <c r="BB111" s="244"/>
      <c r="BC111" s="244"/>
      <c r="BD111" s="244"/>
      <c r="BE111" s="244"/>
      <c r="BF111" s="244"/>
      <c r="BG111" s="244"/>
      <c r="BH111" s="244"/>
      <c r="BI111" s="244"/>
      <c r="BJ111" s="244"/>
    </row>
    <row r="112">
      <c r="A112" s="244"/>
      <c r="B112" s="244"/>
      <c r="C112" s="244"/>
      <c r="D112" s="244"/>
      <c r="E112" s="244"/>
      <c r="F112" s="244"/>
      <c r="G112" s="244"/>
      <c r="H112" s="244"/>
      <c r="I112" s="244"/>
      <c r="J112" s="244"/>
      <c r="K112" s="244"/>
      <c r="L112" s="244"/>
      <c r="M112" s="244"/>
      <c r="N112" s="244"/>
      <c r="O112" s="244"/>
      <c r="P112" s="244"/>
      <c r="Q112" s="244"/>
      <c r="R112" s="244"/>
      <c r="S112" s="244"/>
      <c r="T112" s="244"/>
      <c r="U112" s="244"/>
      <c r="V112" s="244"/>
      <c r="W112" s="244"/>
      <c r="X112" s="244"/>
      <c r="Y112" s="244"/>
      <c r="Z112" s="244"/>
      <c r="AA112" s="244"/>
      <c r="AB112" s="244"/>
      <c r="AC112" s="244"/>
      <c r="AD112" s="244"/>
      <c r="AE112" s="244"/>
      <c r="AF112" s="244"/>
      <c r="AG112" s="244"/>
      <c r="AH112" s="244"/>
      <c r="AI112" s="244"/>
      <c r="AJ112" s="244"/>
      <c r="AK112" s="244"/>
      <c r="AL112" s="244"/>
      <c r="AM112" s="244"/>
      <c r="AN112" s="244"/>
      <c r="AO112" s="244"/>
      <c r="AP112" s="244"/>
      <c r="AQ112" s="244"/>
      <c r="AR112" s="244"/>
      <c r="AS112" s="244"/>
      <c r="AT112" s="244"/>
      <c r="AU112" s="244"/>
      <c r="AV112" s="244"/>
      <c r="AW112" s="244"/>
      <c r="AX112" s="244"/>
      <c r="AY112" s="244"/>
      <c r="AZ112" s="244"/>
      <c r="BA112" s="244"/>
      <c r="BB112" s="244"/>
      <c r="BC112" s="244"/>
      <c r="BD112" s="244"/>
      <c r="BE112" s="244"/>
      <c r="BF112" s="244"/>
      <c r="BG112" s="244"/>
      <c r="BH112" s="244"/>
      <c r="BI112" s="244"/>
      <c r="BJ112" s="244"/>
    </row>
    <row r="113">
      <c r="A113" s="244"/>
      <c r="B113" s="244"/>
      <c r="C113" s="244"/>
      <c r="D113" s="244"/>
      <c r="E113" s="244"/>
      <c r="F113" s="244"/>
      <c r="G113" s="244"/>
      <c r="H113" s="244"/>
      <c r="I113" s="244"/>
      <c r="J113" s="244"/>
      <c r="K113" s="244"/>
      <c r="L113" s="244"/>
      <c r="M113" s="244"/>
      <c r="N113" s="244"/>
      <c r="O113" s="244"/>
      <c r="P113" s="244"/>
      <c r="Q113" s="244"/>
      <c r="R113" s="244"/>
      <c r="S113" s="244"/>
      <c r="T113" s="244"/>
      <c r="U113" s="244"/>
      <c r="V113" s="244"/>
      <c r="W113" s="244"/>
      <c r="X113" s="244"/>
      <c r="Y113" s="244"/>
      <c r="Z113" s="244"/>
      <c r="AA113" s="244"/>
      <c r="AB113" s="244"/>
      <c r="AC113" s="244"/>
      <c r="AD113" s="244"/>
      <c r="AE113" s="244"/>
      <c r="AF113" s="244"/>
      <c r="AG113" s="244"/>
      <c r="AH113" s="244"/>
      <c r="AI113" s="244"/>
      <c r="AJ113" s="244"/>
      <c r="AK113" s="244"/>
      <c r="AL113" s="244"/>
      <c r="AM113" s="244"/>
      <c r="AN113" s="244"/>
      <c r="AO113" s="244"/>
      <c r="AP113" s="244"/>
      <c r="AQ113" s="244"/>
      <c r="AR113" s="244"/>
      <c r="AS113" s="244"/>
      <c r="AT113" s="244"/>
      <c r="AU113" s="244"/>
      <c r="AV113" s="244"/>
      <c r="AW113" s="244"/>
      <c r="AX113" s="244"/>
      <c r="AY113" s="244"/>
      <c r="AZ113" s="244"/>
      <c r="BA113" s="244"/>
      <c r="BB113" s="244"/>
      <c r="BC113" s="244"/>
      <c r="BD113" s="244"/>
      <c r="BE113" s="244"/>
      <c r="BF113" s="244"/>
      <c r="BG113" s="244"/>
      <c r="BH113" s="244"/>
      <c r="BI113" s="244"/>
      <c r="BJ113" s="244"/>
    </row>
  </sheetData>
  <mergeCells count="3">
    <mergeCell ref="X22:AD22"/>
    <mergeCell ref="R4:AG4"/>
    <mergeCell ref="B58:AH58"/>
  </mergeCells>
  <phoneticPr fontId="0" type="noConversion"/>
  <printOptions horizontalCentered="1" verticalCentered="1"/>
  <pageMargins left="0.25" right="0.25" top="0.25" bottom="0.25" header="0.23" footer="0.28"/>
  <pageSetup scale="55" orientation="landscape" r:id="rId1"/>
  <headerFooter alignWithMargins="0">
    <oddHeader/>
    <oddFooter/>
  </headerFooter>
  <drawing r:id="rId59"/>
</worksheet>
</file>

<file path=xl/worksheets/sheet1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2:M16"/>
  <sheetViews>
    <sheetView showGridLines="0" zoomScaleNormal="100" workbookViewId="0"/>
  </sheetViews>
  <sheetFormatPr defaultRowHeight="15"/>
  <cols>
    <col min="1" max="1" width="4.28515625" style="433" customWidth="1"/>
    <col min="2" max="2" width="3.42578125" style="433" customWidth="1"/>
    <col min="3" max="3" width="6.85546875" style="433" customWidth="1"/>
    <col min="4" max="4" width="9.140625" style="433"/>
    <col min="5" max="5" width="39" style="433" customWidth="1"/>
    <col min="6" max="6" width="32.28515625" style="433" customWidth="1"/>
    <col min="7" max="9" width="9.140625" style="433"/>
    <col min="10" max="10" width="12" style="433" customWidth="1"/>
    <col min="11" max="11" width="9.140625" style="433"/>
    <col min="12" max="12" width="18.28515625" style="433" customWidth="1"/>
    <col min="13" max="16384" width="9.140625" style="433"/>
  </cols>
  <sheetData>
    <row r="2" ht="84" customHeight="1">
      <c r="B2" s="434"/>
      <c r="C2" s="435"/>
      <c r="K2" s="436"/>
      <c r="M2" s="436"/>
    </row>
    <row r="3" ht="15" customHeight="1">
      <c r="B3" s="434"/>
    </row>
    <row r="4">
      <c r="A4" s="437" t="s">
        <v>102</v>
      </c>
      <c r="B4" s="438"/>
      <c r="C4" s="438"/>
      <c r="D4" s="438"/>
      <c r="E4" s="438"/>
      <c r="F4" s="438"/>
      <c r="G4" s="438"/>
      <c r="H4" s="438"/>
      <c r="I4" s="438"/>
      <c r="J4" s="438"/>
      <c r="K4" s="438"/>
    </row>
    <row r="5">
      <c r="A5" s="22" t="s">
        <v>109</v>
      </c>
      <c r="B5" s="22"/>
      <c r="C5" s="22"/>
      <c r="D5" s="22"/>
      <c r="E5" s="22"/>
      <c r="F5" s="22"/>
      <c r="G5" s="438"/>
      <c r="H5" s="438"/>
      <c r="I5" s="438"/>
      <c r="J5" s="438"/>
      <c r="K5" s="438"/>
    </row>
    <row r="6">
      <c r="A6" s="438"/>
      <c r="B6" s="438"/>
      <c r="C6" s="438"/>
      <c r="D6" s="438"/>
      <c r="E6" s="438"/>
      <c r="F6" s="438"/>
      <c r="G6" s="438"/>
      <c r="H6" s="438"/>
      <c r="I6" s="438"/>
      <c r="J6" s="438"/>
      <c r="K6" s="438"/>
    </row>
    <row r="7">
      <c r="A7" s="438"/>
      <c r="B7" s="438"/>
      <c r="C7" s="438"/>
      <c r="D7" s="438"/>
      <c r="E7" s="438"/>
      <c r="F7" s="438"/>
      <c r="G7" s="438"/>
      <c r="H7" s="438"/>
      <c r="I7" s="438"/>
      <c r="J7" s="438"/>
      <c r="K7" s="438"/>
    </row>
    <row r="8">
      <c r="A8" s="437" t="s">
        <v>103</v>
      </c>
      <c r="B8" s="438"/>
      <c r="C8" s="438"/>
      <c r="D8" s="438"/>
      <c r="E8" s="438"/>
      <c r="F8" s="438"/>
      <c r="G8" s="438"/>
      <c r="H8" s="438"/>
      <c r="I8" s="438"/>
      <c r="J8" s="438"/>
      <c r="K8" s="438"/>
    </row>
    <row r="9">
      <c r="A9" s="22" t="s">
        <v>110</v>
      </c>
      <c r="B9" s="22"/>
      <c r="C9" s="22"/>
      <c r="D9" s="22"/>
      <c r="E9" s="22"/>
      <c r="F9" s="22"/>
      <c r="G9" s="438"/>
      <c r="H9" s="438"/>
      <c r="I9" s="438"/>
      <c r="J9" s="438"/>
      <c r="K9" s="438"/>
    </row>
    <row r="10">
      <c r="A10" s="22"/>
      <c r="B10" s="22"/>
      <c r="C10" s="22"/>
      <c r="D10" s="22"/>
      <c r="E10" s="22"/>
      <c r="F10" s="22"/>
      <c r="G10" s="438"/>
      <c r="H10" s="438"/>
      <c r="I10" s="438"/>
      <c r="J10" s="438"/>
      <c r="K10" s="438"/>
    </row>
    <row r="11">
      <c r="A11" s="438"/>
      <c r="B11" s="438"/>
      <c r="C11" s="438"/>
      <c r="D11" s="438"/>
      <c r="E11" s="438"/>
      <c r="F11" s="438"/>
      <c r="G11" s="438"/>
      <c r="H11" s="438"/>
      <c r="I11" s="438"/>
      <c r="J11" s="438"/>
      <c r="K11" s="438"/>
    </row>
    <row r="12">
      <c r="A12" s="22" t="s">
        <v>111</v>
      </c>
      <c r="B12" s="22"/>
      <c r="C12" s="22"/>
      <c r="D12" s="22"/>
      <c r="E12" s="22"/>
      <c r="F12" s="438"/>
      <c r="G12" s="438"/>
      <c r="H12" s="438"/>
      <c r="I12" s="438"/>
      <c r="J12" s="438"/>
      <c r="K12" s="438"/>
    </row>
    <row r="13">
      <c r="A13" s="438"/>
      <c r="B13" s="438"/>
      <c r="C13" s="438"/>
      <c r="D13" s="438"/>
      <c r="E13" s="438"/>
      <c r="F13" s="438"/>
      <c r="G13" s="438"/>
      <c r="H13" s="438"/>
      <c r="I13" s="438"/>
      <c r="J13" s="438"/>
      <c r="K13" s="438"/>
    </row>
    <row r="14" ht="16.5" customHeight="1">
      <c r="A14" s="647" t="s">
        <v>104</v>
      </c>
      <c r="B14" s="647"/>
      <c r="C14" s="647"/>
      <c r="D14" s="647"/>
      <c r="E14" s="647"/>
      <c r="F14" s="647"/>
      <c r="G14" s="647"/>
      <c r="H14" s="647"/>
      <c r="I14" s="647"/>
      <c r="J14" s="439"/>
      <c r="K14" s="438"/>
    </row>
    <row r="15" ht="15" customHeight="1">
      <c r="A15" s="647" t="s">
        <v>105</v>
      </c>
      <c r="B15" s="647"/>
      <c r="C15" s="647"/>
      <c r="D15" s="647"/>
      <c r="E15" s="647"/>
      <c r="F15" s="647"/>
      <c r="G15" s="647"/>
      <c r="H15" s="647"/>
      <c r="I15" s="647"/>
      <c r="J15" s="439"/>
      <c r="K15" s="439"/>
      <c r="L15" s="439"/>
    </row>
    <row r="16">
      <c r="C16" s="440"/>
      <c r="D16" s="440"/>
      <c r="E16" s="440"/>
      <c r="F16" s="440"/>
      <c r="G16" s="440"/>
      <c r="H16" s="440"/>
      <c r="I16" s="440"/>
      <c r="J16" s="440"/>
      <c r="K16" s="440"/>
      <c r="L16" s="440"/>
    </row>
  </sheetData>
  <mergeCells count="2">
    <mergeCell ref="A15:I15"/>
    <mergeCell ref="A14:I14"/>
  </mergeCells>
  <hyperlinks>
    <hyperlink ref="A5:F5" r:id="rId63" display="For all STR definitions, please click here or visit www.str.com/data-insights/resources/glossary"/>
    <hyperlink ref="A14:I14" r:id="rId64" display="For the latest in industry news, visit HotelNewsNow.com."/>
    <hyperlink ref="A15:I15" r:id="rId65" display="To learn more about the Hotel Data Conference, visit HotelDataConference.com."/>
    <hyperlink ref="A9:F9" r:id="rId66" display="For all STR FAQs, please click here or visit www.str.com/data-insights/resources/FAQ"/>
    <hyperlink ref="A12:E12" r:id="rId67" display="For additional support, please contact your regional office."/>
  </hyperlinks>
  <pageMargins left="0.7" right="0.7" top="0.75" bottom="0.75" header="0.3" footer="0.3"/>
  <pageSetup orientation="landscape" r:id="rId6"/>
  <headerFooter>
    <oddHeader/>
    <oddFooter/>
  </headerFooter>
  <drawing r:id="rId7"/>
</worksheet>
</file>

<file path=xl/worksheets/sheet1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86"/>
  <sheetViews>
    <sheetView showGridLines="0" zoomScaleNormal="100" workbookViewId="0"/>
  </sheetViews>
  <sheetFormatPr defaultRowHeight="12.75"/>
  <cols>
    <col min="1" max="1" width="2" customWidth="1"/>
    <col min="2" max="2" width="16.5703125" customWidth="1"/>
    <col min="3" max="3" width="2.7109375" customWidth="1"/>
    <col min="4" max="4" width="14.42578125" customWidth="1"/>
    <col min="5" max="5" width="8.7109375" customWidth="1"/>
    <col min="6" max="6" width="5.7109375" customWidth="1"/>
    <col min="7" max="7" width="4.7109375" customWidth="1"/>
    <col min="8" max="8" width="8.7109375" customWidth="1"/>
    <col min="9" max="9" width="5.7109375" customWidth="1"/>
    <col min="10" max="10" width="4.7109375" customWidth="1"/>
    <col min="11" max="11" width="8.7109375" customWidth="1"/>
    <col min="12" max="12" width="5.7109375" customWidth="1"/>
    <col min="13" max="13" width="4.7109375" customWidth="1"/>
    <col min="14" max="14" width="8.7109375" customWidth="1"/>
    <col min="15" max="15" width="5.7109375" customWidth="1"/>
    <col min="16" max="16" width="4.7109375" customWidth="1"/>
    <col min="17" max="17" width="8.7109375" customWidth="1"/>
    <col min="18" max="18" width="5.7109375" customWidth="1"/>
    <col min="19" max="19" width="4.7109375" customWidth="1"/>
    <col min="20" max="20" width="8.7109375" customWidth="1"/>
    <col min="21" max="21" width="5.7109375" customWidth="1"/>
    <col min="22" max="22" width="4.7109375" customWidth="1"/>
    <col min="23" max="23" width="8.7109375" customWidth="1"/>
    <col min="24" max="24" width="5.7109375" customWidth="1"/>
    <col min="25" max="25" width="4.7109375" customWidth="1"/>
    <col min="26" max="26" width="8.7109375" customWidth="1"/>
    <col min="27" max="29" width="5.7109375" customWidth="1"/>
  </cols>
  <sheetData>
    <row r="1" ht="48" customHeight="1">
      <c r="A1" s="72"/>
      <c r="B1" s="20" t="s">
        <v>115</v>
      </c>
      <c r="C1" s="11"/>
      <c r="D1" s="11"/>
      <c r="E1" s="11"/>
      <c r="F1" s="11"/>
      <c r="G1" s="11"/>
      <c r="H1" s="11"/>
      <c r="I1" s="11"/>
      <c r="J1" s="11"/>
      <c r="K1" s="1"/>
      <c r="L1" s="1"/>
      <c r="M1" s="1"/>
      <c r="N1" s="1"/>
      <c r="O1" s="1"/>
      <c r="P1" s="1"/>
      <c r="Q1" s="1"/>
      <c r="R1" s="1"/>
      <c r="S1" s="1"/>
      <c r="T1" s="1"/>
      <c r="U1" s="1"/>
      <c r="V1" s="1"/>
      <c r="W1" s="1"/>
      <c r="X1" s="1"/>
      <c r="Y1" s="1"/>
      <c r="Z1" s="1"/>
      <c r="AA1" s="1"/>
      <c r="AB1" s="175"/>
      <c r="AC1" s="1"/>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8" customHeight="1">
      <c r="B2" s="10" t="s">
        <v>141</v>
      </c>
      <c r="C2" s="12"/>
      <c r="D2" s="1"/>
      <c r="E2" s="1"/>
      <c r="F2" s="1"/>
      <c r="G2" s="1"/>
      <c r="H2" s="1"/>
      <c r="I2" s="1"/>
      <c r="J2" s="1"/>
      <c r="K2" s="1"/>
      <c r="L2" s="1"/>
      <c r="M2" s="1"/>
      <c r="N2" s="1"/>
      <c r="O2" s="1"/>
      <c r="P2" s="1"/>
      <c r="Q2" s="1"/>
      <c r="R2" s="1"/>
      <c r="S2" s="1"/>
      <c r="T2" s="1"/>
      <c r="U2" s="1"/>
      <c r="V2" s="80"/>
      <c r="W2" s="1"/>
      <c r="X2" s="1"/>
      <c r="Y2" s="80"/>
      <c r="Z2" s="234"/>
      <c r="AA2" s="1"/>
      <c r="AB2" s="175"/>
      <c r="AC2" s="1"/>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5" customHeight="1">
      <c r="A3" s="1"/>
      <c r="B3" s="432" t="s">
        <v>142</v>
      </c>
      <c r="C3" s="12"/>
      <c r="D3" s="1"/>
      <c r="E3" s="1"/>
      <c r="F3" s="1"/>
      <c r="G3" s="1"/>
      <c r="H3" s="1"/>
      <c r="I3" s="1"/>
      <c r="J3" s="1"/>
      <c r="K3" s="1"/>
      <c r="L3" s="1"/>
      <c r="M3" s="1"/>
      <c r="N3" s="1"/>
      <c r="O3" s="1"/>
      <c r="P3" s="1"/>
      <c r="Q3" s="1"/>
      <c r="R3" s="1"/>
      <c r="S3" s="1"/>
      <c r="T3" s="1"/>
      <c r="U3" s="1"/>
      <c r="V3" s="1"/>
      <c r="W3" s="1"/>
      <c r="X3" s="1"/>
      <c r="Y3" s="1"/>
      <c r="Z3" s="1"/>
      <c r="AA3" s="1"/>
      <c r="AB3" s="175"/>
      <c r="AC3" s="1"/>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5" customHeight="1">
      <c r="B4" s="175" t="s">
        <v>143</v>
      </c>
      <c r="C4" s="12"/>
      <c r="D4" s="1"/>
      <c r="E4" s="1"/>
      <c r="F4" s="1"/>
      <c r="G4" s="1"/>
      <c r="H4" s="1"/>
      <c r="I4" s="1"/>
      <c r="J4" s="1"/>
      <c r="K4" s="1"/>
      <c r="L4" s="1"/>
      <c r="M4" s="1"/>
      <c r="N4" s="1"/>
      <c r="O4" s="1"/>
      <c r="P4" s="1"/>
      <c r="Q4" s="1"/>
      <c r="R4" s="1"/>
      <c r="S4" s="1"/>
      <c r="T4" s="1"/>
      <c r="U4" s="1"/>
      <c r="V4" s="1"/>
      <c r="W4" s="1"/>
      <c r="X4" s="1"/>
      <c r="Y4" s="1"/>
      <c r="Z4" s="1"/>
      <c r="AA4" s="1"/>
      <c r="AB4" s="175"/>
      <c r="AC4" s="1"/>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30.75" customHeight="1">
      <c r="A5" s="13"/>
      <c r="B5" s="12"/>
      <c r="C5" s="12"/>
      <c r="D5" s="1"/>
      <c r="E5" s="1"/>
      <c r="F5" s="1"/>
      <c r="G5" s="1"/>
      <c r="H5" s="1"/>
      <c r="I5" s="1"/>
      <c r="J5" s="1"/>
      <c r="K5" s="1"/>
      <c r="L5" s="1"/>
      <c r="M5" s="1"/>
      <c r="N5" s="1"/>
      <c r="O5" s="1"/>
      <c r="P5" s="1"/>
      <c r="Q5" s="1"/>
      <c r="R5" s="1"/>
      <c r="S5" s="1"/>
      <c r="T5" s="1"/>
      <c r="U5" s="1"/>
      <c r="V5" s="1"/>
      <c r="W5" s="1"/>
      <c r="X5" s="1"/>
      <c r="Y5" s="1"/>
      <c r="Z5" s="1"/>
      <c r="AA5" s="1"/>
      <c r="AB5" s="175"/>
      <c r="AC5" s="1"/>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s="6" customFormat="1" ht="18" customHeight="1">
      <c r="A6" s="78"/>
      <c r="B6" s="607" t="s">
        <v>144</v>
      </c>
      <c r="C6" s="607"/>
      <c r="D6" s="607"/>
      <c r="E6" s="607"/>
      <c r="F6" s="607"/>
      <c r="G6" s="607"/>
      <c r="H6" s="607"/>
      <c r="I6" s="607"/>
      <c r="J6" s="607"/>
      <c r="K6" s="607"/>
      <c r="L6" s="607"/>
      <c r="M6" s="607"/>
      <c r="N6" s="607"/>
      <c r="O6" s="607"/>
      <c r="P6" s="607"/>
      <c r="Q6" s="607"/>
      <c r="R6" s="607"/>
      <c r="S6" s="607"/>
      <c r="T6" s="607"/>
      <c r="U6" s="607"/>
      <c r="V6" s="607"/>
      <c r="W6" s="607"/>
      <c r="X6" s="607"/>
      <c r="Y6" s="607"/>
      <c r="Z6" s="607"/>
      <c r="AA6" s="607"/>
      <c r="AB6" s="607"/>
      <c r="AC6" s="78"/>
      <c r="AD6" s="245"/>
      <c r="AE6" s="245"/>
      <c r="AF6" s="245"/>
      <c r="AG6" s="245"/>
      <c r="AH6" s="245"/>
      <c r="AI6" s="245"/>
      <c r="AJ6" s="245"/>
      <c r="AK6" s="245"/>
      <c r="AL6" s="245"/>
      <c r="AM6" s="245"/>
      <c r="AN6" s="245"/>
      <c r="AO6" s="245"/>
      <c r="AP6" s="245"/>
      <c r="AQ6" s="245"/>
      <c r="AR6" s="245"/>
      <c r="AS6" s="245"/>
      <c r="AT6" s="245"/>
      <c r="AU6" s="245"/>
      <c r="AV6" s="245"/>
      <c r="AW6" s="245"/>
      <c r="AX6" s="245"/>
      <c r="AY6" s="245"/>
      <c r="AZ6" s="245"/>
      <c r="BA6" s="245"/>
      <c r="BB6" s="245"/>
      <c r="BC6" s="245"/>
      <c r="BD6" s="245"/>
      <c r="BE6" s="245"/>
      <c r="BF6" s="245"/>
      <c r="BG6" s="245"/>
    </row>
    <row r="7" ht="21" customHeight="1">
      <c r="A7" s="13"/>
      <c r="B7" s="12"/>
      <c r="C7" s="12"/>
      <c r="D7" s="1"/>
      <c r="E7" s="1"/>
      <c r="F7" s="1"/>
      <c r="G7" s="1"/>
      <c r="H7" s="1"/>
      <c r="I7" s="1"/>
      <c r="J7" s="1"/>
      <c r="K7" s="1"/>
      <c r="L7" s="1"/>
      <c r="M7" s="1"/>
      <c r="N7" s="1"/>
      <c r="O7" s="1"/>
      <c r="P7" s="1"/>
      <c r="Q7" s="1"/>
      <c r="R7" s="1"/>
      <c r="S7" s="1"/>
      <c r="T7" s="1"/>
      <c r="U7" s="1"/>
      <c r="V7" s="1"/>
      <c r="W7" s="1"/>
      <c r="X7" s="1"/>
      <c r="Y7" s="1"/>
      <c r="Z7" s="1"/>
      <c r="AA7" s="1"/>
      <c r="AB7" s="1"/>
      <c r="AC7" s="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8" customHeight="1">
      <c r="A8" s="1"/>
      <c r="B8" s="1"/>
      <c r="C8" s="3"/>
      <c r="D8" s="3"/>
      <c r="E8" s="648" t="s">
        <v>40</v>
      </c>
      <c r="F8" s="648"/>
      <c r="G8" s="64"/>
      <c r="H8" s="648" t="s">
        <v>39</v>
      </c>
      <c r="I8" s="648"/>
      <c r="J8" s="1"/>
      <c r="K8" s="648" t="s">
        <v>41</v>
      </c>
      <c r="L8" s="648"/>
      <c r="M8" s="64"/>
      <c r="N8" s="648" t="s">
        <v>42</v>
      </c>
      <c r="O8" s="648"/>
      <c r="P8" s="64"/>
      <c r="Q8" s="648" t="s">
        <v>43</v>
      </c>
      <c r="R8" s="648"/>
      <c r="S8" s="64"/>
      <c r="T8" s="648" t="s">
        <v>44</v>
      </c>
      <c r="U8" s="648"/>
      <c r="V8" s="64"/>
      <c r="W8" s="648" t="s">
        <v>45</v>
      </c>
      <c r="X8" s="648"/>
      <c r="Y8" s="64"/>
      <c r="Z8" s="648" t="s">
        <v>23</v>
      </c>
      <c r="AA8" s="648"/>
      <c r="AB8" s="1"/>
      <c r="AC8" s="1"/>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18" customHeight="1">
      <c r="A9" s="1"/>
      <c r="B9" s="1"/>
      <c r="C9" s="1"/>
      <c r="D9" s="1"/>
      <c r="E9" s="649" t="s">
        <v>57</v>
      </c>
      <c r="F9" s="649"/>
      <c r="G9" s="65"/>
      <c r="H9" s="649" t="s">
        <v>57</v>
      </c>
      <c r="I9" s="649"/>
      <c r="J9" s="3"/>
      <c r="K9" s="649" t="s">
        <v>57</v>
      </c>
      <c r="L9" s="649"/>
      <c r="M9" s="79"/>
      <c r="N9" s="649" t="s">
        <v>57</v>
      </c>
      <c r="O9" s="649"/>
      <c r="P9" s="65"/>
      <c r="Q9" s="649" t="s">
        <v>57</v>
      </c>
      <c r="R9" s="649"/>
      <c r="S9" s="65"/>
      <c r="T9" s="649" t="s">
        <v>57</v>
      </c>
      <c r="U9" s="649"/>
      <c r="V9" s="65"/>
      <c r="W9" s="649" t="s">
        <v>57</v>
      </c>
      <c r="X9" s="649"/>
      <c r="Y9" s="1"/>
      <c r="Z9" s="649" t="s">
        <v>57</v>
      </c>
      <c r="AA9" s="649"/>
      <c r="AB9" s="1"/>
      <c r="AC9" s="1"/>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8" customHeight="1">
      <c r="A10" s="1"/>
      <c r="B10" s="650" t="s">
        <v>28</v>
      </c>
      <c r="C10" s="1"/>
      <c r="D10" s="17" t="s">
        <v>32</v>
      </c>
      <c r="E10" s="67">
        <v>0.1505376344086021505376344086</v>
      </c>
      <c r="F10" s="73">
        <v>-24.324324324402045288531695200</v>
      </c>
      <c r="G10" s="66"/>
      <c r="H10" s="67">
        <v>0.1881720430107526881720430108</v>
      </c>
      <c r="I10" s="73">
        <v>12.903225806225806451613354870</v>
      </c>
      <c r="J10" s="66"/>
      <c r="K10" s="67">
        <v>0.3387096774193548387096774194</v>
      </c>
      <c r="L10" s="73">
        <v>28.571428571454810495626827530</v>
      </c>
      <c r="M10" s="67"/>
      <c r="N10" s="67">
        <v>0.4086021505376344086021505376</v>
      </c>
      <c r="O10" s="73">
        <v>28.813559322143062338408595800</v>
      </c>
      <c r="P10" s="66"/>
      <c r="Q10" s="67">
        <v>0.3333333333333333333333333333</v>
      </c>
      <c r="R10" s="73">
        <v>21.568627451023298731257223900</v>
      </c>
      <c r="S10" s="66"/>
      <c r="T10" s="67">
        <v>0.7096774193548387096774193548</v>
      </c>
      <c r="U10" s="73">
        <v>78.378378378195178962746718460</v>
      </c>
      <c r="V10" s="66"/>
      <c r="W10" s="67">
        <v>0.6505376344086021505376344086</v>
      </c>
      <c r="X10" s="73">
        <v>28.723404255324626527840652110</v>
      </c>
      <c r="Y10" s="177"/>
      <c r="Z10" s="67">
        <v>0.397081413210445468509984639</v>
      </c>
      <c r="AA10" s="73">
        <v>30.886075949212676173690295930</v>
      </c>
      <c r="AB10" s="1"/>
      <c r="AC10" s="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8" customHeight="1">
      <c r="A11" s="1"/>
      <c r="B11" s="650"/>
      <c r="C11" s="15"/>
      <c r="D11" s="187" t="s">
        <v>26</v>
      </c>
      <c r="E11" s="180">
        <v>0.3812154696132596685082872928</v>
      </c>
      <c r="F11" s="81">
        <v>6.4267352186195280232090547200</v>
      </c>
      <c r="G11" s="181"/>
      <c r="H11" s="180">
        <v>0.4852670349907918968692449355</v>
      </c>
      <c r="I11" s="81">
        <v>12.127659574594526935264968290</v>
      </c>
      <c r="J11" s="181"/>
      <c r="K11" s="180">
        <v>0.5165745856353591160220994475</v>
      </c>
      <c r="L11" s="81">
        <v>8.932038834925228013950425770</v>
      </c>
      <c r="M11" s="180"/>
      <c r="N11" s="180">
        <v>0.4852670349907918968692449355</v>
      </c>
      <c r="O11" s="81">
        <v>-20.272314674747070065297843860</v>
      </c>
      <c r="P11" s="181"/>
      <c r="Q11" s="180">
        <v>0.3922651933701657458563535912</v>
      </c>
      <c r="R11" s="81">
        <v>-25.131810193326880013343175610</v>
      </c>
      <c r="S11" s="182"/>
      <c r="T11" s="180">
        <v>0.4475138121546961325966850829</v>
      </c>
      <c r="U11" s="81">
        <v>-6.3583815028533663002438961200</v>
      </c>
      <c r="V11" s="181"/>
      <c r="W11" s="180">
        <v>0.581952117863720073664825046</v>
      </c>
      <c r="X11" s="81">
        <v>21.538461538528384615384652140</v>
      </c>
      <c r="Y11" s="183"/>
      <c r="Z11" s="180">
        <v>0.4700078926598263614838200473</v>
      </c>
      <c r="AA11" s="81">
        <v>-1.9214932748592055471862196100</v>
      </c>
      <c r="AB11" s="1"/>
      <c r="AC11" s="1"/>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8" customHeight="1">
      <c r="A12" s="1"/>
      <c r="B12" s="57"/>
      <c r="C12" s="15"/>
      <c r="D12" s="406" t="s">
        <v>91</v>
      </c>
      <c r="E12" s="68">
        <v>39.488857721703694218030476370</v>
      </c>
      <c r="F12" s="73">
        <v>-28.894111502771514711125824370</v>
      </c>
      <c r="G12" s="68"/>
      <c r="H12" s="68">
        <v>38.777009242806410496005686380</v>
      </c>
      <c r="I12" s="73">
        <v>0.6916814591487459366463163600</v>
      </c>
      <c r="J12" s="68"/>
      <c r="K12" s="68">
        <v>65.568397447000904026515682890</v>
      </c>
      <c r="L12" s="73">
        <v>18.029029793748992315304787890</v>
      </c>
      <c r="M12" s="68"/>
      <c r="N12" s="68">
        <v>84.20150578437963421989806183</v>
      </c>
      <c r="O12" s="73">
        <v>61.566912166553599016706444370</v>
      </c>
      <c r="P12" s="68"/>
      <c r="Q12" s="68">
        <v>84.97652582163214970574622954</v>
      </c>
      <c r="R12" s="73">
        <v>62.376875632956921926646677500</v>
      </c>
      <c r="S12" s="68"/>
      <c r="T12" s="68">
        <v>158.58223815202294595139418592</v>
      </c>
      <c r="U12" s="73">
        <v>90.49049049020386315347542875</v>
      </c>
      <c r="V12" s="68"/>
      <c r="W12" s="68">
        <v>111.78542262142438414542750595</v>
      </c>
      <c r="X12" s="73">
        <v>5.9116617289047838823154432700</v>
      </c>
      <c r="Y12" s="174"/>
      <c r="Z12" s="68">
        <v>84.48398833542376890475442575</v>
      </c>
      <c r="AA12" s="73">
        <v>33.450314772993717101642640370</v>
      </c>
      <c r="AB12" s="1"/>
      <c r="AC12" s="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21" customHeight="1">
      <c r="A13" s="1"/>
      <c r="B13" s="16"/>
      <c r="C13" s="16"/>
      <c r="D13" s="1"/>
      <c r="E13" s="3"/>
      <c r="F13" s="66"/>
      <c r="G13" s="66"/>
      <c r="H13" s="66"/>
      <c r="I13" s="66"/>
      <c r="J13" s="66"/>
      <c r="K13" s="66"/>
      <c r="L13" s="66"/>
      <c r="M13" s="66"/>
      <c r="N13" s="66"/>
      <c r="O13" s="66"/>
      <c r="P13" s="66"/>
      <c r="Q13" s="66"/>
      <c r="R13" s="66"/>
      <c r="S13" s="66"/>
      <c r="T13" s="66"/>
      <c r="U13" s="66"/>
      <c r="V13" s="66"/>
      <c r="W13" s="66"/>
      <c r="X13" s="66"/>
      <c r="Y13" s="66"/>
      <c r="Z13" s="66"/>
      <c r="AA13" s="175"/>
      <c r="AB13" s="1"/>
      <c r="AC13" s="1"/>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8" customHeight="1">
      <c r="A14" s="1"/>
      <c r="B14" s="650" t="s">
        <v>12</v>
      </c>
      <c r="C14" s="1"/>
      <c r="D14" s="17" t="s">
        <v>32</v>
      </c>
      <c r="E14" s="237">
        <v>87.53571428571428571428571429</v>
      </c>
      <c r="F14" s="73">
        <v>-12.107966660210236435226815490</v>
      </c>
      <c r="G14" s="70"/>
      <c r="H14" s="237">
        <v>100.94285714285714285714285714</v>
      </c>
      <c r="I14" s="73">
        <v>11.718263885319150329319219470</v>
      </c>
      <c r="J14" s="70"/>
      <c r="K14" s="237">
        <v>91.14285714285714285714285714</v>
      </c>
      <c r="L14" s="73">
        <v>-11.651829871395216026282598370</v>
      </c>
      <c r="M14" s="70"/>
      <c r="N14" s="237">
        <v>94.30263157894736842105263158</v>
      </c>
      <c r="O14" s="73">
        <v>-8.308252090327894758254587070</v>
      </c>
      <c r="P14" s="70"/>
      <c r="Q14" s="237">
        <v>97.45161290322580645161290323</v>
      </c>
      <c r="R14" s="73">
        <v>-2.5292751899850130366568389900</v>
      </c>
      <c r="S14" s="70"/>
      <c r="T14" s="237">
        <v>105.56060606060606060606060606</v>
      </c>
      <c r="U14" s="73">
        <v>-3.0472278952054456932504885700</v>
      </c>
      <c r="V14" s="70"/>
      <c r="W14" s="237">
        <v>107.97520661157024793388429752</v>
      </c>
      <c r="X14" s="73">
        <v>-5.0190022319833167347685903600</v>
      </c>
      <c r="Y14" s="178"/>
      <c r="Z14" s="237">
        <v>100.45261121856866537717601547</v>
      </c>
      <c r="AA14" s="73">
        <v>-4.2754543163117146830277912200</v>
      </c>
      <c r="AB14" s="1"/>
      <c r="AC14" s="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8" customHeight="1">
      <c r="A15" s="1"/>
      <c r="B15" s="650"/>
      <c r="C15" s="15"/>
      <c r="D15" s="187" t="s">
        <v>26</v>
      </c>
      <c r="E15" s="238">
        <v>137.2228985507246376811594203</v>
      </c>
      <c r="F15" s="81">
        <v>4.4233192286929163051509994400</v>
      </c>
      <c r="G15" s="184"/>
      <c r="H15" s="238">
        <v>147.99785578747628083491461102</v>
      </c>
      <c r="I15" s="81">
        <v>7.7083875794564325015156966700</v>
      </c>
      <c r="J15" s="184"/>
      <c r="K15" s="238">
        <v>139.54985739750445632798573976</v>
      </c>
      <c r="L15" s="81">
        <v>-3.0190927018798412423538396700</v>
      </c>
      <c r="M15" s="184"/>
      <c r="N15" s="238">
        <v>143.75094876660341555977229603</v>
      </c>
      <c r="O15" s="81">
        <v>1.0523005285503338972551826400</v>
      </c>
      <c r="P15" s="184"/>
      <c r="Q15" s="238">
        <v>133.74474178403755868544600938</v>
      </c>
      <c r="R15" s="81">
        <v>-1.1066226648009788529024334500</v>
      </c>
      <c r="S15" s="184"/>
      <c r="T15" s="238">
        <v>112.96954732510288065843621398</v>
      </c>
      <c r="U15" s="81">
        <v>-13.339957385136131932946431160</v>
      </c>
      <c r="V15" s="184"/>
      <c r="W15" s="238">
        <v>115.51170886075949367088607596</v>
      </c>
      <c r="X15" s="81">
        <v>-9.862730009685509348112885050</v>
      </c>
      <c r="Y15" s="186"/>
      <c r="Z15" s="238">
        <v>132.58640638119227539882451722</v>
      </c>
      <c r="AA15" s="81">
        <v>-2.4379532878240667191361258500</v>
      </c>
      <c r="AB15" s="1"/>
      <c r="AC15" s="1"/>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8" customHeight="1">
      <c r="A16" s="1"/>
      <c r="B16" s="57"/>
      <c r="C16" s="15"/>
      <c r="D16" s="406" t="s">
        <v>92</v>
      </c>
      <c r="E16" s="68">
        <v>63.790894384418138683600039230</v>
      </c>
      <c r="F16" s="73">
        <v>-15.831028941662126973504083080</v>
      </c>
      <c r="G16" s="68"/>
      <c r="H16" s="68">
        <v>68.205621362375741613575339950</v>
      </c>
      <c r="I16" s="73">
        <v>3.7229006914430928690470790300</v>
      </c>
      <c r="J16" s="68"/>
      <c r="K16" s="68">
        <v>65.312038896064069951206169340</v>
      </c>
      <c r="L16" s="73">
        <v>-8.901481136901506616036664300</v>
      </c>
      <c r="M16" s="68"/>
      <c r="N16" s="68">
        <v>65.601397686815292344316644420</v>
      </c>
      <c r="O16" s="73">
        <v>-9.263077208511483068768587780</v>
      </c>
      <c r="P16" s="68"/>
      <c r="Q16" s="68">
        <v>72.863883546623309432470438060</v>
      </c>
      <c r="R16" s="73">
        <v>-1.4385720899816473423914324700</v>
      </c>
      <c r="S16" s="68"/>
      <c r="T16" s="68">
        <v>93.44164738203939595070743253</v>
      </c>
      <c r="U16" s="73">
        <v>11.877134120181994540017134970</v>
      </c>
      <c r="V16" s="68"/>
      <c r="W16" s="68">
        <v>93.47555124622752769473180946</v>
      </c>
      <c r="X16" s="73">
        <v>5.3737236308527858467470143400</v>
      </c>
      <c r="Y16" s="174"/>
      <c r="Z16" s="68">
        <v>75.763884066483210439946624150</v>
      </c>
      <c r="AA16" s="73">
        <v>-1.8834178766140981784628734100</v>
      </c>
      <c r="AB16" s="1"/>
      <c r="AC16" s="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21" customHeight="1">
      <c r="A17" s="1"/>
      <c r="B17" s="16"/>
      <c r="C17" s="16"/>
      <c r="D17" s="1"/>
      <c r="E17" s="3"/>
      <c r="F17" s="66"/>
      <c r="G17" s="66"/>
      <c r="H17" s="66"/>
      <c r="I17" s="66"/>
      <c r="J17" s="66"/>
      <c r="K17" s="66"/>
      <c r="L17" s="66"/>
      <c r="M17" s="66"/>
      <c r="N17" s="66"/>
      <c r="O17" s="66"/>
      <c r="P17" s="66"/>
      <c r="Q17" s="66"/>
      <c r="R17" s="66"/>
      <c r="S17" s="66"/>
      <c r="T17" s="66"/>
      <c r="U17" s="66"/>
      <c r="V17" s="66"/>
      <c r="W17" s="66"/>
      <c r="X17" s="66"/>
      <c r="Y17" s="66"/>
      <c r="Z17" s="66"/>
      <c r="AA17" s="175"/>
      <c r="AB17" s="1"/>
      <c r="AC17" s="1"/>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8" customHeight="1">
      <c r="A18" s="1"/>
      <c r="B18" s="650" t="s">
        <v>13</v>
      </c>
      <c r="C18" s="1"/>
      <c r="D18" s="17" t="s">
        <v>32</v>
      </c>
      <c r="E18" s="237">
        <v>13.177419354838709677419354839</v>
      </c>
      <c r="F18" s="73">
        <v>-33.487109905056452043470797040</v>
      </c>
      <c r="G18" s="70"/>
      <c r="H18" s="237">
        <v>18.994623655913978494623655914</v>
      </c>
      <c r="I18" s="73">
        <v>26.133523741908157195351806550</v>
      </c>
      <c r="J18" s="70"/>
      <c r="K18" s="237">
        <v>30.870967741935483870967741935</v>
      </c>
      <c r="L18" s="73">
        <v>13.590504451200366297141175590</v>
      </c>
      <c r="M18" s="70"/>
      <c r="N18" s="237">
        <v>38.532258064516129032258064516</v>
      </c>
      <c r="O18" s="73">
        <v>18.111404086935984572124630200</v>
      </c>
      <c r="P18" s="70"/>
      <c r="Q18" s="237">
        <v>32.483870967741935483870967742</v>
      </c>
      <c r="R18" s="73">
        <v>18.493822318203838560149067840</v>
      </c>
      <c r="S18" s="70"/>
      <c r="T18" s="237">
        <v>74.913978494623655913978494624</v>
      </c>
      <c r="U18" s="73">
        <v>72.942782673352918356671537370</v>
      </c>
      <c r="V18" s="70"/>
      <c r="W18" s="237">
        <v>70.241935483870967741935483871</v>
      </c>
      <c r="X18" s="73">
        <v>22.262773722682655934294298780</v>
      </c>
      <c r="Y18" s="178"/>
      <c r="Z18" s="237">
        <v>39.88786482334869431643625192</v>
      </c>
      <c r="AA18" s="73">
        <v>25.290101565522727893321479250</v>
      </c>
      <c r="AB18" s="1"/>
      <c r="AC18" s="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8" customHeight="1">
      <c r="A19" s="1"/>
      <c r="B19" s="650" t="s"/>
      <c r="C19" s="15"/>
      <c r="D19" s="187" t="s">
        <v>26</v>
      </c>
      <c r="E19" s="238">
        <v>52.31149171270718232044198895</v>
      </c>
      <c r="F19" s="81">
        <v>11.134329461810918092001660260</v>
      </c>
      <c r="G19" s="184"/>
      <c r="H19" s="238">
        <v>71.818480662983425414364640884</v>
      </c>
      <c r="I19" s="81">
        <v>20.770894158216889353920895060</v>
      </c>
      <c r="J19" s="184"/>
      <c r="K19" s="238">
        <v>72.087909760589318600368324125</v>
      </c>
      <c r="L19" s="81">
        <v>5.643279600493629408482521400</v>
      </c>
      <c r="M19" s="184"/>
      <c r="N19" s="238">
        <v>69.75759668508287292817679558</v>
      </c>
      <c r="O19" s="81">
        <v>-19.433339820670079407806132370</v>
      </c>
      <c r="P19" s="184"/>
      <c r="Q19" s="238">
        <v>52.463406998158379373848987109</v>
      </c>
      <c r="R19" s="81">
        <v>-25.960318550469222237094507010</v>
      </c>
      <c r="S19" s="184"/>
      <c r="T19" s="238">
        <v>50.55543278084714548802946593</v>
      </c>
      <c r="U19" s="81">
        <v>-18.850133505170411309103828110</v>
      </c>
      <c r="V19" s="184"/>
      <c r="W19" s="238">
        <v>67.222283609576427255985267035</v>
      </c>
      <c r="X19" s="81">
        <v>9.551451218956512532098947590</v>
      </c>
      <c r="Y19" s="186"/>
      <c r="Z19" s="238">
        <v>62.316657458563535911602209945</v>
      </c>
      <c r="AA19" s="81">
        <v>-4.3126014540814136532041876800</v>
      </c>
      <c r="AB19" s="1"/>
      <c r="AC19" s="1"/>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8" customHeight="1">
      <c r="A20" s="1"/>
      <c r="B20" s="57"/>
      <c r="C20" s="15"/>
      <c r="D20" s="406" t="s">
        <v>93</v>
      </c>
      <c r="E20" s="68">
        <v>25.190295522846927620719703220</v>
      </c>
      <c r="F20" s="73">
        <v>-40.150905289933154292350128430</v>
      </c>
      <c r="G20" s="68"/>
      <c r="H20" s="68">
        <v>26.448100099811461942488428100</v>
      </c>
      <c r="I20" s="73">
        <v>4.440332764346110876752470300</v>
      </c>
      <c r="J20" s="68"/>
      <c r="K20" s="68">
        <v>42.824057244073627482444706930</v>
      </c>
      <c r="L20" s="73">
        <v>7.5226979705974052024817460600</v>
      </c>
      <c r="M20" s="68"/>
      <c r="N20" s="68">
        <v>55.237364667906479593176881870</v>
      </c>
      <c r="O20" s="73">
        <v>46.600844349427409781186719170</v>
      </c>
      <c r="P20" s="68"/>
      <c r="Q20" s="68">
        <v>61.917196816547665359531121790</v>
      </c>
      <c r="R20" s="73">
        <v>60.040967219447011853810222650</v>
      </c>
      <c r="S20" s="68"/>
      <c r="T20" s="68">
        <v>148.18185578479425503931002167</v>
      </c>
      <c r="U20" s="73">
        <v>113.11530153227423816756656212</v>
      </c>
      <c r="V20" s="68"/>
      <c r="W20" s="68">
        <v>104.49204000835183156606376883</v>
      </c>
      <c r="X20" s="73">
        <v>11.603061723184723511789522180</v>
      </c>
      <c r="Y20" s="174"/>
      <c r="Z20" s="68">
        <v>64.008350977181585230224243340</v>
      </c>
      <c r="AA20" s="73">
        <v>30.936887687903208610275585500</v>
      </c>
      <c r="AB20" s="1"/>
      <c r="AC20" s="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23.1" customHeight="1">
      <c r="A21" s="1"/>
      <c r="B21" s="16"/>
      <c r="C21" s="16"/>
      <c r="D21" s="1"/>
      <c r="E21" s="1"/>
      <c r="F21" s="1"/>
      <c r="G21" s="1"/>
      <c r="H21" s="1"/>
      <c r="I21" s="1"/>
      <c r="J21" s="1"/>
      <c r="K21" s="1"/>
      <c r="L21" s="1"/>
      <c r="M21" s="1"/>
      <c r="N21" s="1"/>
      <c r="O21" s="1"/>
      <c r="P21" s="1"/>
      <c r="Q21" s="1"/>
      <c r="R21" s="1"/>
      <c r="S21" s="1"/>
      <c r="T21" s="1"/>
      <c r="U21" s="1"/>
      <c r="V21" s="1"/>
      <c r="W21" s="1"/>
      <c r="X21" s="1"/>
      <c r="Y21" s="1"/>
      <c r="Z21" s="1"/>
      <c r="AA21" s="1"/>
      <c r="AB21" s="1"/>
      <c r="AC21" s="1"/>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23.1"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s="6" customFormat="1" ht="18" customHeight="1">
      <c r="A23" s="78"/>
      <c r="B23" s="607" t="s">
        <v>69</v>
      </c>
      <c r="C23" s="607"/>
      <c r="D23" s="607"/>
      <c r="E23" s="607"/>
      <c r="F23" s="607"/>
      <c r="G23" s="607"/>
      <c r="H23" s="607"/>
      <c r="I23" s="607"/>
      <c r="J23" s="607"/>
      <c r="K23" s="607"/>
      <c r="L23" s="607"/>
      <c r="M23" s="607"/>
      <c r="N23" s="607"/>
      <c r="O23" s="607"/>
      <c r="P23" s="607"/>
      <c r="Q23" s="607"/>
      <c r="R23" s="607"/>
      <c r="S23" s="607"/>
      <c r="T23" s="607"/>
      <c r="U23" s="607"/>
      <c r="V23" s="607"/>
      <c r="W23" s="607"/>
      <c r="X23" s="607"/>
      <c r="Y23" s="607"/>
      <c r="Z23" s="607"/>
      <c r="AA23" s="607"/>
      <c r="AB23" s="607"/>
      <c r="AC23" s="78"/>
      <c r="AD23" s="245"/>
      <c r="AE23" s="245"/>
      <c r="AF23" s="245"/>
      <c r="AG23" s="245"/>
      <c r="AH23" s="245"/>
      <c r="AI23" s="245"/>
      <c r="AJ23" s="245"/>
      <c r="AK23" s="245"/>
      <c r="AL23" s="245"/>
      <c r="AM23" s="245"/>
      <c r="AN23" s="245"/>
      <c r="AO23" s="245"/>
      <c r="AP23" s="245"/>
      <c r="AQ23" s="245"/>
      <c r="AR23" s="245"/>
      <c r="AS23" s="245"/>
      <c r="AT23" s="245"/>
      <c r="AU23" s="245"/>
      <c r="AV23" s="245"/>
      <c r="AW23" s="245"/>
      <c r="AX23" s="245"/>
      <c r="AY23" s="245"/>
      <c r="AZ23" s="245"/>
      <c r="BA23" s="245"/>
      <c r="BB23" s="245"/>
      <c r="BC23" s="245"/>
      <c r="BD23" s="245"/>
      <c r="BE23" s="245"/>
      <c r="BF23" s="245"/>
      <c r="BG23" s="245"/>
    </row>
    <row r="24" ht="21" customHeight="1">
      <c r="A24" s="1"/>
      <c r="B24" s="16"/>
      <c r="C24" s="16"/>
      <c r="D24" s="1"/>
      <c r="E24" s="1"/>
      <c r="F24" s="1"/>
      <c r="G24" s="1"/>
      <c r="H24" s="1"/>
      <c r="I24" s="1"/>
      <c r="J24" s="1"/>
      <c r="K24" s="1"/>
      <c r="L24" s="1"/>
      <c r="M24" s="1"/>
      <c r="N24" s="1"/>
      <c r="O24" s="1"/>
      <c r="P24" s="1"/>
      <c r="Q24" s="1"/>
      <c r="R24" s="1"/>
      <c r="S24" s="1"/>
      <c r="T24" s="1"/>
      <c r="U24" s="1"/>
      <c r="V24" s="1"/>
      <c r="W24" s="1"/>
      <c r="X24" s="1"/>
      <c r="Y24" s="1"/>
      <c r="Z24" s="1"/>
      <c r="AA24" s="1"/>
      <c r="AB24" s="1"/>
      <c r="AC24" s="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8" customHeight="1">
      <c r="A25" s="1"/>
      <c r="B25" s="1"/>
      <c r="C25" s="1"/>
      <c r="D25" s="3"/>
      <c r="E25" s="648" t="s">
        <v>40</v>
      </c>
      <c r="F25" s="648"/>
      <c r="G25" s="64"/>
      <c r="H25" s="648" t="s">
        <v>39</v>
      </c>
      <c r="I25" s="648"/>
      <c r="J25" s="1"/>
      <c r="K25" s="648" t="s">
        <v>41</v>
      </c>
      <c r="L25" s="648"/>
      <c r="M25" s="64"/>
      <c r="N25" s="648" t="s">
        <v>42</v>
      </c>
      <c r="O25" s="648"/>
      <c r="P25" s="64"/>
      <c r="Q25" s="648" t="s">
        <v>43</v>
      </c>
      <c r="R25" s="648"/>
      <c r="S25" s="64"/>
      <c r="T25" s="648" t="s">
        <v>44</v>
      </c>
      <c r="U25" s="648"/>
      <c r="V25" s="64"/>
      <c r="W25" s="648" t="s">
        <v>45</v>
      </c>
      <c r="X25" s="648"/>
      <c r="Y25" s="64"/>
      <c r="Z25" s="648" t="s">
        <v>23</v>
      </c>
      <c r="AA25" s="648"/>
      <c r="AB25" s="1"/>
      <c r="AC25" s="1"/>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8" customHeight="1">
      <c r="A26" s="1"/>
      <c r="B26" s="16"/>
      <c r="C26" s="16"/>
      <c r="D26" s="1"/>
      <c r="E26" s="649" t="s">
        <v>57</v>
      </c>
      <c r="F26" s="649"/>
      <c r="G26" s="65"/>
      <c r="H26" s="649" t="s">
        <v>57</v>
      </c>
      <c r="I26" s="649"/>
      <c r="J26" s="3"/>
      <c r="K26" s="649" t="s">
        <v>57</v>
      </c>
      <c r="L26" s="649"/>
      <c r="M26" s="65"/>
      <c r="N26" s="649" t="s">
        <v>57</v>
      </c>
      <c r="O26" s="649"/>
      <c r="P26" s="65"/>
      <c r="Q26" s="649" t="s">
        <v>57</v>
      </c>
      <c r="R26" s="649"/>
      <c r="S26" s="65"/>
      <c r="T26" s="649" t="s">
        <v>57</v>
      </c>
      <c r="U26" s="649"/>
      <c r="V26" s="65"/>
      <c r="W26" s="649" t="s">
        <v>57</v>
      </c>
      <c r="X26" s="649"/>
      <c r="Y26" s="1"/>
      <c r="Z26" s="649" t="s">
        <v>57</v>
      </c>
      <c r="AA26" s="649"/>
      <c r="AB26" s="1"/>
      <c r="AC26" s="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8" customHeight="1">
      <c r="A27" s="1"/>
      <c r="B27" s="650" t="s">
        <v>28</v>
      </c>
      <c r="C27" s="1"/>
      <c r="D27" s="17" t="s">
        <v>32</v>
      </c>
      <c r="E27" s="67">
        <v>0.1801075268817204301075268817</v>
      </c>
      <c r="F27" s="73">
        <v>-31.979695431585333298976852850</v>
      </c>
      <c r="G27" s="66"/>
      <c r="H27" s="67">
        <v>0.3225806451612903225806451613</v>
      </c>
      <c r="I27" s="73">
        <v>-8.396946564779208670823255260</v>
      </c>
      <c r="J27" s="66"/>
      <c r="K27" s="67">
        <v>0.5161290322580645161290322581</v>
      </c>
      <c r="L27" s="73">
        <v>29.292929292960636669727586430</v>
      </c>
      <c r="M27" s="67"/>
      <c r="N27" s="67">
        <v>0.5389784946236559139784946237</v>
      </c>
      <c r="O27" s="73">
        <v>36.394557822984506455643635500</v>
      </c>
      <c r="P27" s="66"/>
      <c r="Q27" s="67">
        <v>0.2634408602150537634408602151</v>
      </c>
      <c r="R27" s="73">
        <v>-28.467153284579636634876540250</v>
      </c>
      <c r="S27" s="66"/>
      <c r="T27" s="67">
        <v>0.4301075268817204301075268817</v>
      </c>
      <c r="U27" s="73">
        <v>43.497757847389491041444774670</v>
      </c>
      <c r="V27" s="66"/>
      <c r="W27" s="67">
        <v>0.4233870967741935483870967742</v>
      </c>
      <c r="X27" s="73">
        <v>43.835616438198536310752659140</v>
      </c>
      <c r="Y27" s="177"/>
      <c r="Z27" s="67">
        <v>0.3821044546850998463901689708</v>
      </c>
      <c r="AA27" s="73">
        <v>12.684031710055283581017564670</v>
      </c>
      <c r="AB27" s="1"/>
      <c r="AC27" s="1"/>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8" customHeight="1">
      <c r="A28" s="1"/>
      <c r="B28" s="650"/>
      <c r="C28" s="15"/>
      <c r="D28" s="187" t="s">
        <v>26</v>
      </c>
      <c r="E28" s="180">
        <v>0.4254143646408839779005524862</v>
      </c>
      <c r="F28" s="81">
        <v>17.036098796563872325218635120</v>
      </c>
      <c r="G28" s="181"/>
      <c r="H28" s="180">
        <v>0.5759668508287292817679558011</v>
      </c>
      <c r="I28" s="81">
        <v>18.186112423291795570821647830</v>
      </c>
      <c r="J28" s="181"/>
      <c r="K28" s="180">
        <v>0.6708103130755064456721915285</v>
      </c>
      <c r="L28" s="81">
        <v>21.568627451089940857444453170</v>
      </c>
      <c r="M28" s="180"/>
      <c r="N28" s="180">
        <v>0.6065837937384898710865561694</v>
      </c>
      <c r="O28" s="81">
        <v>5.695948656294446592456502100</v>
      </c>
      <c r="P28" s="181"/>
      <c r="Q28" s="180">
        <v>0.4884898710865561694290976059</v>
      </c>
      <c r="R28" s="81">
        <v>-2.9721079103731266499950131400</v>
      </c>
      <c r="S28" s="182"/>
      <c r="T28" s="180">
        <v>0.6599907918968692449355432781</v>
      </c>
      <c r="U28" s="81">
        <v>7.2577628132673281427989240400</v>
      </c>
      <c r="V28" s="181"/>
      <c r="W28" s="180">
        <v>0.6740331491712707182320441989</v>
      </c>
      <c r="X28" s="81">
        <v>15.776986951361978135478977710</v>
      </c>
      <c r="Y28" s="183"/>
      <c r="Z28" s="180">
        <v>0.585898447776900815574848724</v>
      </c>
      <c r="AA28" s="81">
        <v>11.524256651056755767741570290</v>
      </c>
      <c r="AB28" s="1"/>
      <c r="AC28" s="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8" customHeight="1">
      <c r="A29" s="1"/>
      <c r="B29" s="57"/>
      <c r="C29" s="15"/>
      <c r="D29" s="406" t="s">
        <v>91</v>
      </c>
      <c r="E29" s="68">
        <v>42.336964111146113099998733640</v>
      </c>
      <c r="F29" s="73">
        <v>-41.880919418957681670157833630</v>
      </c>
      <c r="G29" s="68"/>
      <c r="H29" s="68">
        <v>56.006807457233673910256815060</v>
      </c>
      <c r="I29" s="73">
        <v>-22.492540318999926733882941550</v>
      </c>
      <c r="J29" s="68"/>
      <c r="K29" s="68">
        <v>76.941129585702904606938869560</v>
      </c>
      <c r="L29" s="73">
        <v>6.3538611923607200375015920400</v>
      </c>
      <c r="M29" s="68"/>
      <c r="N29" s="68">
        <v>88.85474689362626638848110104</v>
      </c>
      <c r="O29" s="73">
        <v>29.044262866405069383135633620</v>
      </c>
      <c r="P29" s="68"/>
      <c r="Q29" s="68">
        <v>53.929646407782930480883822780</v>
      </c>
      <c r="R29" s="73">
        <v>-26.275996340106433590686727490</v>
      </c>
      <c r="S29" s="68"/>
      <c r="T29" s="68">
        <v>65.168716315794328220384480720</v>
      </c>
      <c r="U29" s="73">
        <v>33.787759583737662018131477680</v>
      </c>
      <c r="V29" s="68"/>
      <c r="W29" s="68">
        <v>62.813987308327714026102948120</v>
      </c>
      <c r="X29" s="73">
        <v>24.235066247587607741675482320</v>
      </c>
      <c r="Y29" s="174"/>
      <c r="Z29" s="68">
        <v>65.216840245074928093457940080</v>
      </c>
      <c r="AA29" s="73">
        <v>1.0399307682302334725352403800</v>
      </c>
      <c r="AB29" s="1"/>
      <c r="AC29" s="1"/>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21" customHeight="1">
      <c r="A30" s="1"/>
      <c r="B30" s="16"/>
      <c r="C30" s="16"/>
      <c r="D30" s="1"/>
      <c r="E30" s="66"/>
      <c r="F30" s="66"/>
      <c r="G30" s="66"/>
      <c r="H30" s="66"/>
      <c r="I30" s="66"/>
      <c r="J30" s="66"/>
      <c r="K30" s="66"/>
      <c r="L30" s="66"/>
      <c r="M30" s="66"/>
      <c r="N30" s="66"/>
      <c r="O30" s="66"/>
      <c r="P30" s="66"/>
      <c r="Q30" s="66"/>
      <c r="R30" s="66"/>
      <c r="S30" s="66"/>
      <c r="T30" s="66"/>
      <c r="U30" s="66"/>
      <c r="V30" s="66"/>
      <c r="W30" s="66"/>
      <c r="X30" s="66"/>
      <c r="Y30" s="66"/>
      <c r="Z30" s="66"/>
      <c r="AA30" s="19"/>
      <c r="AB30" s="1"/>
      <c r="AC30" s="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8" customHeight="1">
      <c r="A31" s="1"/>
      <c r="B31" s="650" t="s">
        <v>12</v>
      </c>
      <c r="C31" s="1"/>
      <c r="D31" s="17" t="s">
        <v>32</v>
      </c>
      <c r="E31" s="237">
        <v>89.94776119402985074626865672</v>
      </c>
      <c r="F31" s="73">
        <v>-12.538455304909341346126644050</v>
      </c>
      <c r="G31" s="70"/>
      <c r="H31" s="237">
        <v>104.84583333333333333333333333</v>
      </c>
      <c r="I31" s="73">
        <v>-5.6351482880961160069818914100</v>
      </c>
      <c r="J31" s="70"/>
      <c r="K31" s="237">
        <v>104.617187500</v>
      </c>
      <c r="L31" s="73">
        <v>-6.9052472210534209258565247300</v>
      </c>
      <c r="M31" s="70"/>
      <c r="N31" s="237">
        <v>104.17456359102244389027431421</v>
      </c>
      <c r="O31" s="73">
        <v>-8.882510648386984963908616420</v>
      </c>
      <c r="P31" s="70"/>
      <c r="Q31" s="237">
        <v>89.17346938775510204081632653</v>
      </c>
      <c r="R31" s="73">
        <v>-14.755850356753638694174831590</v>
      </c>
      <c r="S31" s="70"/>
      <c r="T31" s="237">
        <v>99.509375000</v>
      </c>
      <c r="U31" s="73">
        <v>-6.1549918591219522358621950200</v>
      </c>
      <c r="V31" s="70"/>
      <c r="W31" s="237">
        <v>102.33968253968253968253968254</v>
      </c>
      <c r="X31" s="73">
        <v>-10.768043650955549472642628550</v>
      </c>
      <c r="Y31" s="178"/>
      <c r="Z31" s="237">
        <v>100.86482412060301507537688442</v>
      </c>
      <c r="AA31" s="73">
        <v>-8.079944579329315540387244170</v>
      </c>
      <c r="AB31" s="1"/>
      <c r="AC31" s="1"/>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8" customHeight="1">
      <c r="A32" s="1"/>
      <c r="B32" s="650"/>
      <c r="C32" s="15"/>
      <c r="D32" s="187" t="s">
        <v>26</v>
      </c>
      <c r="E32" s="238">
        <v>129.99527056277056277056277057</v>
      </c>
      <c r="F32" s="81">
        <v>-0.7249311084669096578007339200</v>
      </c>
      <c r="G32" s="184"/>
      <c r="H32" s="238">
        <v>142.02515987210231814548361311</v>
      </c>
      <c r="I32" s="81">
        <v>1.6105053279323579558424021700</v>
      </c>
      <c r="J32" s="184"/>
      <c r="K32" s="238">
        <v>141.37342484557309540150995196</v>
      </c>
      <c r="L32" s="81">
        <v>-0.8316112476796235449664974700</v>
      </c>
      <c r="M32" s="184"/>
      <c r="N32" s="238">
        <v>140.22159013282732447817836812</v>
      </c>
      <c r="O32" s="81">
        <v>-2.0781616287100532141708054600</v>
      </c>
      <c r="P32" s="184"/>
      <c r="Q32" s="238">
        <v>134.61857681432610744580584354</v>
      </c>
      <c r="R32" s="81">
        <v>-3.4801542159415669424614638300</v>
      </c>
      <c r="S32" s="184"/>
      <c r="T32" s="238">
        <v>128.79198814091384722706662016</v>
      </c>
      <c r="U32" s="81">
        <v>-3.2080117027423839849721365600</v>
      </c>
      <c r="V32" s="184"/>
      <c r="W32" s="238">
        <v>131.57702185792349726775956284</v>
      </c>
      <c r="X32" s="81">
        <v>1.57923253824608445674091500</v>
      </c>
      <c r="Y32" s="186"/>
      <c r="Z32" s="238">
        <v>135.6751812977099236641221374</v>
      </c>
      <c r="AA32" s="81">
        <v>-1.0156584297933037567427833500</v>
      </c>
      <c r="AB32" s="1"/>
      <c r="AC32" s="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8" customHeight="1">
      <c r="A33" s="1"/>
      <c r="B33" s="57"/>
      <c r="C33" s="15"/>
      <c r="D33" s="406" t="s">
        <v>92</v>
      </c>
      <c r="E33" s="68">
        <v>69.193102798748806933444864030</v>
      </c>
      <c r="F33" s="73">
        <v>-11.899789472246483817955106280</v>
      </c>
      <c r="G33" s="68"/>
      <c r="H33" s="68">
        <v>73.822013950029480111426058870</v>
      </c>
      <c r="I33" s="73">
        <v>-7.1308115166625422317114425600</v>
      </c>
      <c r="J33" s="68"/>
      <c r="K33" s="68">
        <v>74.000603447399630958070818610</v>
      </c>
      <c r="L33" s="73">
        <v>-6.1245685744777165855296484900</v>
      </c>
      <c r="M33" s="68"/>
      <c r="N33" s="68">
        <v>74.292812891625026053545876640</v>
      </c>
      <c r="O33" s="73">
        <v>-6.9487553877359376791430741400</v>
      </c>
      <c r="P33" s="68"/>
      <c r="Q33" s="68">
        <v>66.241577869869856182750059420</v>
      </c>
      <c r="R33" s="73">
        <v>-11.682256689451067852171740420</v>
      </c>
      <c r="S33" s="68"/>
      <c r="T33" s="68">
        <v>77.263637619395652619533697590</v>
      </c>
      <c r="U33" s="73">
        <v>-3.0446529801984581670546079100</v>
      </c>
      <c r="V33" s="68"/>
      <c r="W33" s="68">
        <v>77.779296943053567999600114580</v>
      </c>
      <c r="X33" s="73">
        <v>-12.155315491796315303452490340</v>
      </c>
      <c r="Y33" s="174"/>
      <c r="Z33" s="68">
        <v>74.342870343607125950661875630</v>
      </c>
      <c r="AA33" s="73">
        <v>-7.1367713695230507897516088600</v>
      </c>
      <c r="AB33" s="1"/>
      <c r="AC33" s="1"/>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21" customHeight="1">
      <c r="A34" s="1"/>
      <c r="B34" s="16"/>
      <c r="C34" s="16"/>
      <c r="D34" s="1"/>
      <c r="E34" s="66"/>
      <c r="F34" s="66"/>
      <c r="G34" s="66"/>
      <c r="H34" s="66"/>
      <c r="I34" s="66"/>
      <c r="J34" s="66"/>
      <c r="K34" s="66"/>
      <c r="L34" s="66"/>
      <c r="M34" s="66"/>
      <c r="N34" s="66"/>
      <c r="O34" s="66"/>
      <c r="P34" s="66"/>
      <c r="Q34" s="66"/>
      <c r="R34" s="66"/>
      <c r="S34" s="66"/>
      <c r="T34" s="66"/>
      <c r="U34" s="66"/>
      <c r="V34" s="66"/>
      <c r="W34" s="66"/>
      <c r="X34" s="66"/>
      <c r="Y34" s="66"/>
      <c r="Z34" s="66"/>
      <c r="AA34" s="18"/>
      <c r="AB34" s="1"/>
      <c r="AC34" s="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8" customHeight="1">
      <c r="A35" s="1"/>
      <c r="B35" s="650" t="s">
        <v>13</v>
      </c>
      <c r="C35" s="1"/>
      <c r="D35" s="17" t="s">
        <v>32</v>
      </c>
      <c r="E35" s="237">
        <v>16.200268817204301075268817204</v>
      </c>
      <c r="F35" s="73">
        <v>-40.508390918067502136587638010</v>
      </c>
      <c r="G35" s="70"/>
      <c r="H35" s="237">
        <v>33.82123655913978494623655914</v>
      </c>
      <c r="I35" s="73">
        <v>-13.558914462336549042645049290</v>
      </c>
      <c r="J35" s="70"/>
      <c r="K35" s="237">
        <v>53.995967741935483870967741935</v>
      </c>
      <c r="L35" s="73">
        <v>20.364932885807948041272352100</v>
      </c>
      <c r="M35" s="70"/>
      <c r="N35" s="237">
        <v>56.147849462365591397849462366</v>
      </c>
      <c r="O35" s="73">
        <v>24.279296700571842228235000550</v>
      </c>
      <c r="P35" s="70"/>
      <c r="Q35" s="237">
        <v>23.491935483870967741935483871</v>
      </c>
      <c r="R35" s="73">
        <v>-39.022433101894768292636923090</v>
      </c>
      <c r="S35" s="70"/>
      <c r="T35" s="237">
        <v>42.799731182795698924731182796</v>
      </c>
      <c r="U35" s="73">
        <v>34.665482534112153674634582840</v>
      </c>
      <c r="V35" s="70"/>
      <c r="W35" s="237">
        <v>43.329301075268817204301075269</v>
      </c>
      <c r="X35" s="73">
        <v>28.347334474470550547093183250</v>
      </c>
      <c r="Y35" s="178"/>
      <c r="Z35" s="237">
        <v>38.54089861751152073732718894</v>
      </c>
      <c r="AA35" s="73">
        <v>3.5792243981411628688294322600</v>
      </c>
      <c r="AB35" s="1"/>
      <c r="AC35" s="1"/>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8" customHeight="1">
      <c r="A36" s="1"/>
      <c r="B36" s="650" t="s"/>
      <c r="C36" s="15"/>
      <c r="D36" s="187" t="s">
        <v>26</v>
      </c>
      <c r="E36" s="238">
        <v>55.301855432780847145488029466</v>
      </c>
      <c r="F36" s="81">
        <v>16.187667708419006989928648120</v>
      </c>
      <c r="G36" s="184"/>
      <c r="H36" s="238">
        <v>81.80178406998158379373848987</v>
      </c>
      <c r="I36" s="81">
        <v>20.089506060662653501973438860</v>
      </c>
      <c r="J36" s="184"/>
      <c r="K36" s="238">
        <v>94.83475138121546961325966851</v>
      </c>
      <c r="L36" s="81">
        <v>20.557649071496670073635954180</v>
      </c>
      <c r="M36" s="184"/>
      <c r="N36" s="238">
        <v>85.0561441068139963167587477</v>
      </c>
      <c r="O36" s="81">
        <v>3.4994160081526304610247854600</v>
      </c>
      <c r="P36" s="184"/>
      <c r="Q36" s="238">
        <v>65.759811233885819521178637201</v>
      </c>
      <c r="R36" s="81">
        <v>-6.3488281876058881710381299500</v>
      </c>
      <c r="S36" s="184"/>
      <c r="T36" s="238">
        <v>85.00152624309392265193370166</v>
      </c>
      <c r="U36" s="81">
        <v>3.8169212301942422671109303200</v>
      </c>
      <c r="V36" s="184"/>
      <c r="W36" s="238">
        <v>88.68727440147329650092081031</v>
      </c>
      <c r="X36" s="81">
        <v>17.605374801100395815162309560</v>
      </c>
      <c r="Y36" s="186"/>
      <c r="Z36" s="238">
        <v>79.4918781241778479347540121</v>
      </c>
      <c r="AA36" s="81">
        <v>10.391551137085656437132362420</v>
      </c>
      <c r="AB36" s="1"/>
      <c r="AC36" s="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8" customHeight="1">
      <c r="A37" s="1"/>
      <c r="B37" s="57"/>
      <c r="C37" s="15"/>
      <c r="D37" s="406" t="s">
        <v>93</v>
      </c>
      <c r="E37" s="68">
        <v>29.294259099299196552270976310</v>
      </c>
      <c r="F37" s="73">
        <v>-48.796967651357934655558648700</v>
      </c>
      <c r="G37" s="68"/>
      <c r="H37" s="68">
        <v>41.345353214054644207268521420</v>
      </c>
      <c r="I37" s="73">
        <v>-28.019451180131429008353579780</v>
      </c>
      <c r="J37" s="68"/>
      <c r="K37" s="68">
        <v>56.936900192727896060262763970</v>
      </c>
      <c r="L37" s="73">
        <v>-0.1598539678100052520049092500</v>
      </c>
      <c r="M37" s="68"/>
      <c r="N37" s="68">
        <v>66.012690854953449999754488950</v>
      </c>
      <c r="O37" s="73">
        <v>20.077292697869631990882934760</v>
      </c>
      <c r="P37" s="68"/>
      <c r="Q37" s="68">
        <v>35.723848720174827730947343820</v>
      </c>
      <c r="R37" s="73">
        <v>-34.888623689382583297851283490</v>
      </c>
      <c r="S37" s="68"/>
      <c r="T37" s="68">
        <v>50.351720815448261037544737980</v>
      </c>
      <c r="U37" s="73">
        <v>29.714386574105265409620753900</v>
      </c>
      <c r="V37" s="68"/>
      <c r="W37" s="68">
        <v>48.856277710273135915254802590</v>
      </c>
      <c r="X37" s="73">
        <v>9.133901993654799336335930670</v>
      </c>
      <c r="Y37" s="174"/>
      <c r="Z37" s="68">
        <v>48.484070985584595917121395490</v>
      </c>
      <c r="AA37" s="73">
        <v>-6.1710580826102575396423081700</v>
      </c>
      <c r="AB37" s="1"/>
      <c r="AC37" s="1"/>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3.1" customHeight="1">
      <c r="A38" s="1"/>
      <c r="B38" s="1"/>
      <c r="C38" s="1"/>
      <c r="D38" s="1"/>
      <c r="E38" s="175"/>
      <c r="F38" s="175"/>
      <c r="G38" s="175"/>
      <c r="H38" s="175"/>
      <c r="I38" s="175"/>
      <c r="J38" s="175"/>
      <c r="K38" s="175"/>
      <c r="L38" s="175"/>
      <c r="M38" s="175"/>
      <c r="N38" s="175"/>
      <c r="O38" s="175"/>
      <c r="P38" s="175"/>
      <c r="Q38" s="175"/>
      <c r="R38" s="175"/>
      <c r="S38" s="175"/>
      <c r="T38" s="175"/>
      <c r="U38" s="175"/>
      <c r="V38" s="175"/>
      <c r="W38" s="175"/>
      <c r="X38" s="175"/>
      <c r="Y38" s="175"/>
      <c r="Z38" s="175"/>
      <c r="AA38" s="175"/>
      <c r="AB38" s="1"/>
      <c r="AC38" s="1"/>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9"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1"/>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9.75" customHeight="1">
      <c r="A41" s="1"/>
      <c r="B41" s="1"/>
      <c r="C41" s="1"/>
      <c r="D41" s="1"/>
      <c r="E41" s="1"/>
      <c r="F41" s="1"/>
      <c r="G41" s="1"/>
      <c r="H41" s="1"/>
      <c r="I41" s="1"/>
      <c r="J41" s="1"/>
      <c r="K41" s="1"/>
      <c r="L41" s="1"/>
      <c r="M41" s="1"/>
      <c r="N41" s="1"/>
      <c r="O41" s="1"/>
      <c r="P41" s="1"/>
      <c r="Q41" s="1"/>
      <c r="R41" s="1"/>
      <c r="S41" s="1"/>
      <c r="T41" s="1"/>
      <c r="U41" s="1"/>
      <c r="V41" s="1"/>
      <c r="W41" s="1"/>
      <c r="X41" s="1"/>
      <c r="Y41" s="80"/>
      <c r="Z41" s="241"/>
      <c r="AA41" s="1"/>
      <c r="AB41" s="1"/>
      <c r="AC41" s="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9"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sheetData>
  <mergeCells count="41">
    <mergeCell ref="H26:I26"/>
    <mergeCell ref="K26:L26"/>
    <mergeCell ref="N26:O26"/>
    <mergeCell ref="Z8:AA8"/>
    <mergeCell ref="Z25:AA25"/>
    <mergeCell ref="Z9:AA9"/>
    <mergeCell ref="Q26:R26"/>
    <mergeCell ref="T26:U26"/>
    <mergeCell ref="W26:X26"/>
    <mergeCell ref="K9:L9"/>
    <mergeCell ref="B10:B11"/>
    <mergeCell ref="B6:AB6"/>
    <mergeCell ref="E8:F8"/>
    <mergeCell ref="H8:I8"/>
    <mergeCell ref="K8:L8"/>
    <mergeCell ref="N8:O8"/>
    <mergeCell ref="Q8:R8"/>
    <mergeCell ref="T8:U8"/>
    <mergeCell ref="T9:U9"/>
    <mergeCell ref="W9:X9"/>
    <mergeCell ref="E9:F9"/>
    <mergeCell ref="H9:I9"/>
    <mergeCell ref="N9:O9"/>
    <mergeCell ref="Q9:R9"/>
    <mergeCell ref="W8:X8"/>
    <mergeCell ref="B40:AB40"/>
    <mergeCell ref="B31:B32"/>
    <mergeCell ref="B35:B36"/>
    <mergeCell ref="B14:B15"/>
    <mergeCell ref="B18:B19"/>
    <mergeCell ref="B27:B28"/>
    <mergeCell ref="B23:AB23"/>
    <mergeCell ref="E25:F25"/>
    <mergeCell ref="T25:U25"/>
    <mergeCell ref="N25:O25"/>
    <mergeCell ref="Q25:R25"/>
    <mergeCell ref="H25:I25"/>
    <mergeCell ref="K25:L25"/>
    <mergeCell ref="Z26:AA26"/>
    <mergeCell ref="W25:X25"/>
    <mergeCell ref="E26:F26"/>
  </mergeCells>
  <phoneticPr fontId="0" type="noConversion"/>
  <printOptions horizontalCentered="1" verticalCentered="1"/>
  <pageMargins left="0.25" right="0.25" top="0.25" bottom="0.25" header="0.5" footer="0.5"/>
  <pageSetup scale="69" orientation="landscape" r:id="rId1"/>
  <headerFooter alignWithMargins="0">
    <oddHeader/>
    <oddFooter/>
  </headerFooter>
  <drawing r:id="rId22"/>
</worksheet>
</file>

<file path=xl/worksheets/sheet2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AV84"/>
  <sheetViews>
    <sheetView showGridLines="0" workbookViewId="0"/>
  </sheetViews>
  <sheetFormatPr defaultRowHeight="12.75"/>
  <cols>
    <col min="1" max="1" width="2.7109375" customWidth="1"/>
    <col min="2" max="2" width="14.28515625" customWidth="1"/>
    <col min="3" max="3" width="4.42578125" customWidth="1"/>
    <col min="4" max="4" width="12.28515625" customWidth="1"/>
    <col min="5" max="5" width="8.7109375" customWidth="1"/>
    <col min="6" max="6" width="6.7109375" customWidth="1"/>
    <col min="7" max="7" width="4.7109375" customWidth="1"/>
    <col min="8" max="8" width="12.28515625" customWidth="1"/>
    <col min="9" max="9" width="8.7109375" customWidth="1"/>
    <col min="10" max="10" width="6.7109375" customWidth="1"/>
    <col min="11" max="11" width="4.7109375" customWidth="1"/>
    <col min="12" max="12" width="12.28515625" customWidth="1"/>
    <col min="13" max="13" width="8.7109375" customWidth="1"/>
    <col min="14" max="14" width="6.7109375" customWidth="1"/>
    <col min="15" max="15" width="3.7109375" customWidth="1"/>
    <col min="16" max="16" width="12.28515625" customWidth="1"/>
    <col min="17" max="17" width="8.7109375" customWidth="1"/>
    <col min="18" max="18" width="6.7109375" customWidth="1"/>
    <col min="19" max="19" width="4.7109375" customWidth="1"/>
    <col min="20" max="20" width="2.7109375" customWidth="1"/>
  </cols>
  <sheetData>
    <row r="1" ht="26.25" customHeight="1">
      <c r="B1" s="20" t="s">
        <v>117</v>
      </c>
      <c r="C1" s="11"/>
      <c r="D1" s="11"/>
      <c r="E1" s="11"/>
      <c r="F1" s="11"/>
      <c r="G1" s="11"/>
      <c r="H1" s="1"/>
      <c r="I1" s="1"/>
      <c r="J1" s="1"/>
      <c r="K1" s="1"/>
      <c r="L1" s="1"/>
      <c r="M1" s="1"/>
      <c r="N1" s="1"/>
      <c r="O1" s="1"/>
      <c r="P1" s="1"/>
      <c r="Q1" s="1"/>
      <c r="R1" s="1"/>
      <c r="S1" s="175"/>
      <c r="T1" s="1"/>
      <c r="U1" s="244"/>
      <c r="V1" s="244"/>
      <c r="W1" s="244"/>
      <c r="X1" s="244"/>
      <c r="Y1" s="244"/>
      <c r="Z1" s="244"/>
      <c r="AA1" s="244"/>
      <c r="AB1" s="244"/>
      <c r="AC1" s="244"/>
      <c r="AD1" s="244"/>
      <c r="AE1" s="244"/>
      <c r="AF1" s="244"/>
      <c r="AG1" s="244"/>
      <c r="AH1" s="244"/>
      <c r="AI1" s="244"/>
      <c r="AJ1" s="244"/>
      <c r="AK1" s="244"/>
      <c r="AL1" s="244"/>
      <c r="AM1" s="244"/>
      <c r="AN1" s="244"/>
      <c r="AO1" s="244"/>
      <c r="AP1" s="244"/>
      <c r="AQ1" s="244"/>
      <c r="AR1" s="244"/>
      <c r="AS1" s="244"/>
      <c r="AT1" s="244"/>
      <c r="AU1" s="244"/>
      <c r="AV1" s="244"/>
    </row>
    <row r="2" ht="14.25" customHeight="1">
      <c r="B2" s="10" t="s">
        <v>141</v>
      </c>
      <c r="C2" s="1"/>
      <c r="D2" s="1"/>
      <c r="E2" s="1"/>
      <c r="F2" s="1"/>
      <c r="G2" s="1"/>
      <c r="H2" s="1"/>
      <c r="I2" s="1"/>
      <c r="J2" s="1"/>
      <c r="K2" s="1"/>
      <c r="L2" s="1"/>
      <c r="M2" s="1"/>
      <c r="N2" s="1"/>
      <c r="O2" s="1"/>
      <c r="P2" s="1"/>
      <c r="Q2" s="1"/>
      <c r="R2" s="234"/>
      <c r="S2" s="175"/>
      <c r="T2" s="1"/>
      <c r="U2" s="244"/>
      <c r="V2" s="244"/>
      <c r="W2" s="244"/>
      <c r="X2" s="244"/>
      <c r="Y2" s="244"/>
      <c r="Z2" s="244"/>
      <c r="AA2" s="244"/>
      <c r="AB2" s="244"/>
      <c r="AC2" s="244"/>
      <c r="AD2" s="244"/>
      <c r="AE2" s="244"/>
      <c r="AF2" s="244"/>
      <c r="AG2" s="244"/>
      <c r="AH2" s="244"/>
      <c r="AI2" s="244"/>
      <c r="AJ2" s="244"/>
      <c r="AK2" s="244"/>
      <c r="AL2" s="244"/>
      <c r="AM2" s="244"/>
      <c r="AN2" s="244"/>
      <c r="AO2" s="244"/>
      <c r="AP2" s="244"/>
      <c r="AQ2" s="244"/>
      <c r="AR2" s="244"/>
      <c r="AS2" s="244"/>
      <c r="AT2" s="244"/>
      <c r="AU2" s="244"/>
      <c r="AV2" s="244"/>
    </row>
    <row r="3" ht="14.25" customHeight="1">
      <c r="B3" s="432" t="s">
        <v>142</v>
      </c>
      <c r="C3" s="1"/>
      <c r="D3" s="1"/>
      <c r="E3" s="1"/>
      <c r="F3" s="1"/>
      <c r="G3" s="1"/>
      <c r="H3" s="1"/>
      <c r="I3" s="1"/>
      <c r="J3" s="1"/>
      <c r="K3" s="1"/>
      <c r="L3" s="1"/>
      <c r="M3" s="1"/>
      <c r="N3" s="1"/>
      <c r="O3" s="1"/>
      <c r="P3" s="1"/>
      <c r="Q3" s="1"/>
      <c r="R3" s="1"/>
      <c r="S3" s="175"/>
      <c r="T3" s="1"/>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row>
    <row r="4" ht="14.25" customHeight="1">
      <c r="B4" s="175" t="s">
        <v>143</v>
      </c>
      <c r="C4" s="1"/>
      <c r="D4" s="1"/>
      <c r="E4" s="1"/>
      <c r="F4" s="1"/>
      <c r="G4" s="1"/>
      <c r="H4" s="1"/>
      <c r="I4" s="1"/>
      <c r="J4" s="1"/>
      <c r="K4" s="1"/>
      <c r="L4" s="1"/>
      <c r="M4" s="1"/>
      <c r="N4" s="1"/>
      <c r="O4" s="1"/>
      <c r="P4" s="1"/>
      <c r="Q4" s="1"/>
      <c r="R4" s="1"/>
      <c r="S4" s="175"/>
      <c r="T4" s="1"/>
      <c r="U4" s="244"/>
      <c r="V4" s="244"/>
      <c r="W4" s="244"/>
      <c r="X4" s="244"/>
      <c r="Y4" s="244"/>
      <c r="Z4" s="244"/>
      <c r="AA4" s="244"/>
      <c r="AB4" s="244"/>
      <c r="AC4" s="244"/>
      <c r="AD4" s="244"/>
      <c r="AE4" s="244"/>
      <c r="AF4" s="244"/>
      <c r="AG4" s="244"/>
      <c r="AH4" s="244"/>
      <c r="AI4" s="244"/>
      <c r="AJ4" s="244"/>
      <c r="AK4" s="244"/>
      <c r="AL4" s="244"/>
      <c r="AM4" s="244"/>
      <c r="AN4" s="244"/>
      <c r="AO4" s="244"/>
      <c r="AP4" s="244"/>
      <c r="AQ4" s="244"/>
      <c r="AR4" s="244"/>
      <c r="AS4" s="244"/>
      <c r="AT4" s="244"/>
      <c r="AU4" s="244"/>
      <c r="AV4" s="244"/>
    </row>
    <row r="5" ht="14.25" customHeight="1">
      <c r="A5" s="13"/>
      <c r="B5" s="12"/>
      <c r="C5" s="1"/>
      <c r="D5" s="1"/>
      <c r="E5" s="1"/>
      <c r="F5" s="1"/>
      <c r="G5" s="1"/>
      <c r="H5" s="1"/>
      <c r="I5" s="1"/>
      <c r="J5" s="1"/>
      <c r="K5" s="1"/>
      <c r="L5" s="1"/>
      <c r="M5" s="1"/>
      <c r="N5" s="1"/>
      <c r="O5" s="1"/>
      <c r="P5" s="1"/>
      <c r="Q5" s="1"/>
      <c r="R5" s="1"/>
      <c r="S5" s="1"/>
      <c r="T5" s="1"/>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row>
    <row r="6" ht="15" customHeight="1">
      <c r="A6" s="13"/>
      <c r="B6" s="612" t="s">
        <v>144</v>
      </c>
      <c r="C6" s="612"/>
      <c r="D6" s="612"/>
      <c r="E6" s="612"/>
      <c r="F6" s="612"/>
      <c r="G6" s="612"/>
      <c r="H6" s="612"/>
      <c r="I6" s="612"/>
      <c r="J6" s="612"/>
      <c r="K6" s="612"/>
      <c r="L6" s="612"/>
      <c r="M6" s="612"/>
      <c r="N6" s="612"/>
      <c r="O6" s="612"/>
      <c r="P6" s="612"/>
      <c r="Q6" s="612"/>
      <c r="R6" s="612"/>
      <c r="S6" s="612"/>
      <c r="T6" s="1"/>
      <c r="U6" s="244"/>
      <c r="V6" s="244"/>
      <c r="W6" s="244"/>
      <c r="X6" s="244"/>
      <c r="Y6" s="244"/>
      <c r="Z6" s="244"/>
      <c r="AA6" s="244"/>
      <c r="AB6" s="244"/>
      <c r="AC6" s="244"/>
      <c r="AD6" s="244"/>
      <c r="AE6" s="244"/>
      <c r="AF6" s="244"/>
      <c r="AG6" s="244"/>
      <c r="AH6" s="244"/>
      <c r="AI6" s="244"/>
      <c r="AJ6" s="244"/>
      <c r="AK6" s="244"/>
      <c r="AL6" s="244"/>
      <c r="AM6" s="244"/>
      <c r="AN6" s="244"/>
      <c r="AO6" s="244"/>
      <c r="AP6" s="244"/>
      <c r="AQ6" s="244"/>
      <c r="AR6" s="244"/>
      <c r="AS6" s="244"/>
      <c r="AT6" s="244"/>
      <c r="AU6" s="244"/>
      <c r="AV6" s="244"/>
    </row>
    <row r="7" ht="14.25" customHeight="1">
      <c r="A7" s="13"/>
      <c r="B7" s="12"/>
      <c r="C7" s="1"/>
      <c r="D7" s="1"/>
      <c r="E7" s="1"/>
      <c r="F7" s="1"/>
      <c r="G7" s="1"/>
      <c r="H7" s="1"/>
      <c r="I7" s="1"/>
      <c r="J7" s="1"/>
      <c r="K7" s="1"/>
      <c r="L7" s="1"/>
      <c r="M7" s="1"/>
      <c r="N7" s="1"/>
      <c r="O7" s="1"/>
      <c r="P7" s="1"/>
      <c r="Q7" s="1"/>
      <c r="R7" s="1"/>
      <c r="S7" s="1"/>
      <c r="T7" s="1"/>
      <c r="U7" s="244"/>
      <c r="V7" s="244"/>
      <c r="W7" s="244"/>
      <c r="X7" s="244"/>
      <c r="Y7" s="244"/>
      <c r="Z7" s="244"/>
      <c r="AA7" s="244"/>
      <c r="AB7" s="244"/>
      <c r="AC7" s="244"/>
      <c r="AD7" s="244"/>
      <c r="AE7" s="244"/>
      <c r="AF7" s="244"/>
      <c r="AG7" s="244"/>
      <c r="AH7" s="244"/>
      <c r="AI7" s="244"/>
      <c r="AJ7" s="244"/>
      <c r="AK7" s="244"/>
      <c r="AL7" s="244"/>
      <c r="AM7" s="244"/>
      <c r="AN7" s="244"/>
      <c r="AO7" s="244"/>
      <c r="AP7" s="244"/>
      <c r="AQ7" s="244"/>
      <c r="AR7" s="244"/>
      <c r="AS7" s="244"/>
      <c r="AT7" s="244"/>
      <c r="AU7" s="244"/>
      <c r="AV7" s="244"/>
    </row>
    <row r="8" ht="15" customHeight="1">
      <c r="A8" s="1"/>
      <c r="B8" s="1"/>
      <c r="C8" s="14"/>
      <c r="D8" s="648" t="s">
        <v>21</v>
      </c>
      <c r="E8" s="648"/>
      <c r="F8" s="648"/>
      <c r="G8" s="1"/>
      <c r="H8" s="648" t="s">
        <v>24</v>
      </c>
      <c r="I8" s="648"/>
      <c r="J8" s="648"/>
      <c r="K8" s="1"/>
      <c r="L8" s="648" t="s">
        <v>25</v>
      </c>
      <c r="M8" s="648"/>
      <c r="N8" s="648"/>
      <c r="O8" s="1"/>
      <c r="P8" s="648" t="s">
        <v>23</v>
      </c>
      <c r="Q8" s="648"/>
      <c r="R8" s="648"/>
      <c r="S8" s="2"/>
      <c r="T8" s="1"/>
      <c r="U8" s="244"/>
      <c r="V8" s="244"/>
      <c r="W8" s="244"/>
      <c r="X8" s="244"/>
      <c r="Y8" s="244"/>
      <c r="Z8" s="244"/>
      <c r="AA8" s="244"/>
      <c r="AB8" s="244"/>
      <c r="AC8" s="244"/>
      <c r="AD8" s="244"/>
      <c r="AE8" s="244"/>
      <c r="AF8" s="244"/>
      <c r="AG8" s="244"/>
      <c r="AH8" s="244"/>
      <c r="AI8" s="244"/>
      <c r="AJ8" s="244"/>
      <c r="AK8" s="244"/>
      <c r="AL8" s="244"/>
      <c r="AM8" s="244"/>
      <c r="AN8" s="244"/>
      <c r="AO8" s="244"/>
      <c r="AP8" s="244"/>
      <c r="AQ8" s="244"/>
      <c r="AR8" s="244"/>
      <c r="AS8" s="244"/>
      <c r="AT8" s="244"/>
      <c r="AU8" s="244"/>
      <c r="AV8" s="244"/>
    </row>
    <row r="9" ht="15" customHeight="1">
      <c r="A9" s="1"/>
      <c r="B9" s="1"/>
      <c r="C9" s="1"/>
      <c r="D9" s="2"/>
      <c r="E9" s="2"/>
      <c r="F9" s="66" t="s">
        <v>57</v>
      </c>
      <c r="G9" s="65"/>
      <c r="H9" s="1"/>
      <c r="I9" s="1"/>
      <c r="J9" s="66" t="s">
        <v>57</v>
      </c>
      <c r="K9" s="1"/>
      <c r="L9" s="1"/>
      <c r="M9" s="1"/>
      <c r="N9" s="66" t="s">
        <v>57</v>
      </c>
      <c r="O9" s="1"/>
      <c r="P9" s="1"/>
      <c r="Q9" s="1"/>
      <c r="R9" s="66" t="s">
        <v>57</v>
      </c>
      <c r="S9" s="1"/>
      <c r="T9" s="1"/>
      <c r="U9" s="244"/>
      <c r="V9" s="244"/>
      <c r="W9" s="244"/>
      <c r="X9" s="244"/>
      <c r="Y9" s="244"/>
      <c r="Z9" s="244"/>
      <c r="AA9" s="244"/>
      <c r="AB9" s="244"/>
      <c r="AC9" s="244"/>
      <c r="AD9" s="244"/>
      <c r="AE9" s="244"/>
      <c r="AF9" s="244"/>
      <c r="AG9" s="244"/>
      <c r="AH9" s="244"/>
      <c r="AI9" s="244"/>
      <c r="AJ9" s="244"/>
      <c r="AK9" s="244"/>
      <c r="AL9" s="244"/>
      <c r="AM9" s="244"/>
      <c r="AN9" s="244"/>
      <c r="AO9" s="244"/>
      <c r="AP9" s="244"/>
      <c r="AQ9" s="244"/>
      <c r="AR9" s="244"/>
      <c r="AS9" s="244"/>
      <c r="AT9" s="244"/>
      <c r="AU9" s="244"/>
      <c r="AV9" s="244"/>
    </row>
    <row r="10" ht="15" customHeight="1">
      <c r="A10" s="1"/>
      <c r="B10" s="57" t="s">
        <v>28</v>
      </c>
      <c r="C10" s="58"/>
      <c r="D10" s="17" t="s">
        <v>32</v>
      </c>
      <c r="E10" s="19">
        <v>0.380952380952380952380952381</v>
      </c>
      <c r="F10" s="73">
        <v>30.183727033942372951412813880</v>
      </c>
      <c r="G10" s="66"/>
      <c r="H10" s="17" t="s">
        <v>32</v>
      </c>
      <c r="I10" s="19">
        <v>0</v>
      </c>
      <c r="J10" s="73">
        <v>0</v>
      </c>
      <c r="K10" s="1"/>
      <c r="L10" s="17" t="s">
        <v>32</v>
      </c>
      <c r="M10" s="19">
        <v>0.0161290322580645161290322581</v>
      </c>
      <c r="N10" s="73">
        <v>50.000000000600000000002400330</v>
      </c>
      <c r="O10" s="1"/>
      <c r="P10" s="17" t="s">
        <v>32</v>
      </c>
      <c r="Q10" s="19">
        <v>0.397081413210445468509984639</v>
      </c>
      <c r="R10" s="73">
        <v>30.886075949212676173690295930</v>
      </c>
      <c r="S10" s="19"/>
      <c r="T10" s="1"/>
      <c r="U10" s="244"/>
      <c r="V10" s="244"/>
      <c r="W10" s="244"/>
      <c r="X10" s="244"/>
      <c r="Y10" s="244"/>
      <c r="Z10" s="244"/>
      <c r="AA10" s="244"/>
      <c r="AB10" s="244"/>
      <c r="AC10" s="244"/>
      <c r="AD10" s="244"/>
      <c r="AE10" s="244"/>
      <c r="AF10" s="244"/>
      <c r="AG10" s="244"/>
      <c r="AH10" s="244"/>
      <c r="AI10" s="244"/>
      <c r="AJ10" s="244"/>
      <c r="AK10" s="244"/>
      <c r="AL10" s="244"/>
      <c r="AM10" s="244"/>
      <c r="AN10" s="244"/>
      <c r="AO10" s="244"/>
      <c r="AP10" s="244"/>
      <c r="AQ10" s="244"/>
      <c r="AR10" s="244"/>
      <c r="AS10" s="244"/>
      <c r="AT10" s="244"/>
      <c r="AU10" s="244"/>
      <c r="AV10" s="244"/>
    </row>
    <row r="11" ht="15" customHeight="1">
      <c r="A11" s="1"/>
      <c r="B11" s="57"/>
      <c r="C11" s="58"/>
      <c r="D11" s="187" t="s">
        <v>27</v>
      </c>
      <c r="E11" s="190">
        <v>0.3762090235587063558874967527</v>
      </c>
      <c r="F11" s="81">
        <v>17.751667438848051820927000410</v>
      </c>
      <c r="G11" s="181"/>
      <c r="H11" s="187" t="s">
        <v>27</v>
      </c>
      <c r="I11" s="190">
        <v>0.0506762599597453554149789315</v>
      </c>
      <c r="J11" s="81">
        <v>-56.775674297251796783506834680</v>
      </c>
      <c r="K11" s="191"/>
      <c r="L11" s="187" t="s">
        <v>27</v>
      </c>
      <c r="M11" s="190">
        <v>0.0431226091413746501813443631</v>
      </c>
      <c r="N11" s="81">
        <v>1.5073069315785501236426477500</v>
      </c>
      <c r="O11" s="191"/>
      <c r="P11" s="187" t="s">
        <v>27</v>
      </c>
      <c r="Q11" s="190">
        <v>0.4700078926598263614838200473</v>
      </c>
      <c r="R11" s="81">
        <v>-1.9214932748592055471862196100</v>
      </c>
      <c r="S11" s="19"/>
      <c r="T11" s="1"/>
      <c r="U11" s="244"/>
      <c r="V11" s="244"/>
      <c r="W11" s="244"/>
      <c r="X11" s="244"/>
      <c r="Y11" s="244"/>
      <c r="Z11" s="244"/>
      <c r="AA11" s="244"/>
      <c r="AB11" s="244"/>
      <c r="AC11" s="244"/>
      <c r="AD11" s="244"/>
      <c r="AE11" s="244"/>
      <c r="AF11" s="244"/>
      <c r="AG11" s="244"/>
      <c r="AH11" s="244"/>
      <c r="AI11" s="244"/>
      <c r="AJ11" s="244"/>
      <c r="AK11" s="244"/>
      <c r="AL11" s="244"/>
      <c r="AM11" s="244"/>
      <c r="AN11" s="244"/>
      <c r="AO11" s="244"/>
      <c r="AP11" s="244"/>
      <c r="AQ11" s="244"/>
      <c r="AR11" s="244"/>
      <c r="AS11" s="244"/>
      <c r="AT11" s="244"/>
      <c r="AU11" s="244"/>
      <c r="AV11" s="244"/>
    </row>
    <row r="12" ht="15" customHeight="1">
      <c r="A12" s="1"/>
      <c r="B12" s="57"/>
      <c r="C12" s="58"/>
      <c r="D12" s="406" t="s">
        <v>91</v>
      </c>
      <c r="E12" s="74">
        <v>101.26083030877569115478026891</v>
      </c>
      <c r="F12" s="73">
        <v>10.557862886908252160516569620</v>
      </c>
      <c r="G12" s="68"/>
      <c r="H12" s="406" t="s">
        <v>91</v>
      </c>
      <c r="I12" s="74">
        <v>0</v>
      </c>
      <c r="J12" s="73">
        <v>0</v>
      </c>
      <c r="K12" s="1"/>
      <c r="L12" s="406" t="s">
        <v>91</v>
      </c>
      <c r="M12" s="74">
        <v>37.402728126507070735579306820</v>
      </c>
      <c r="N12" s="73">
        <v>47.772613160077849044607631710</v>
      </c>
      <c r="O12" s="1"/>
      <c r="P12" s="406" t="s">
        <v>91</v>
      </c>
      <c r="Q12" s="74">
        <v>84.48398833542376890475442575</v>
      </c>
      <c r="R12" s="73">
        <v>33.450314772993717101642640370</v>
      </c>
      <c r="S12" s="74"/>
      <c r="T12" s="1"/>
      <c r="U12" s="244"/>
      <c r="V12" s="244"/>
      <c r="W12" s="244"/>
      <c r="X12" s="244"/>
      <c r="Y12" s="244"/>
      <c r="Z12" s="244"/>
      <c r="AA12" s="244"/>
      <c r="AB12" s="244"/>
      <c r="AC12" s="244"/>
      <c r="AD12" s="244"/>
      <c r="AE12" s="244"/>
      <c r="AF12" s="244"/>
      <c r="AG12" s="244"/>
      <c r="AH12" s="244"/>
      <c r="AI12" s="244"/>
      <c r="AJ12" s="244"/>
      <c r="AK12" s="244"/>
      <c r="AL12" s="244"/>
      <c r="AM12" s="244"/>
      <c r="AN12" s="244"/>
      <c r="AO12" s="244"/>
      <c r="AP12" s="244"/>
      <c r="AQ12" s="244"/>
      <c r="AR12" s="244"/>
      <c r="AS12" s="244"/>
      <c r="AT12" s="244"/>
      <c r="AU12" s="244"/>
      <c r="AV12" s="244"/>
    </row>
    <row r="13" ht="15" customHeight="1">
      <c r="A13" s="1"/>
      <c r="B13" s="16"/>
      <c r="C13" s="1"/>
      <c r="D13" s="1"/>
      <c r="E13" s="3"/>
      <c r="F13" s="66"/>
      <c r="G13" s="3"/>
      <c r="H13" s="1"/>
      <c r="I13" s="1"/>
      <c r="J13" s="66"/>
      <c r="K13" s="1"/>
      <c r="L13" s="1"/>
      <c r="M13" s="1"/>
      <c r="N13" s="66"/>
      <c r="O13" s="1"/>
      <c r="P13" s="1"/>
      <c r="Q13" s="19"/>
      <c r="R13" s="66"/>
      <c r="S13" s="19"/>
      <c r="T13" s="1"/>
      <c r="U13" s="244"/>
      <c r="V13" s="244"/>
      <c r="W13" s="244"/>
      <c r="X13" s="244"/>
      <c r="Y13" s="244"/>
      <c r="Z13" s="244"/>
      <c r="AA13" s="244"/>
      <c r="AB13" s="244"/>
      <c r="AC13" s="244"/>
      <c r="AD13" s="244"/>
      <c r="AE13" s="244"/>
      <c r="AF13" s="244"/>
      <c r="AG13" s="244"/>
      <c r="AH13" s="244"/>
      <c r="AI13" s="244"/>
      <c r="AJ13" s="244"/>
      <c r="AK13" s="244"/>
      <c r="AL13" s="244"/>
      <c r="AM13" s="244"/>
      <c r="AN13" s="244"/>
      <c r="AO13" s="244"/>
      <c r="AP13" s="244"/>
      <c r="AQ13" s="244"/>
      <c r="AR13" s="244"/>
      <c r="AS13" s="244"/>
      <c r="AT13" s="244"/>
      <c r="AU13" s="244"/>
      <c r="AV13" s="244"/>
    </row>
    <row r="14" ht="15" customHeight="1">
      <c r="A14" s="1"/>
      <c r="B14" s="57" t="s">
        <v>12</v>
      </c>
      <c r="C14" s="58"/>
      <c r="D14" s="17" t="s">
        <v>32</v>
      </c>
      <c r="E14" s="239">
        <v>100.4314516129032258064516129</v>
      </c>
      <c r="F14" s="73">
        <v>-4.7746980948803677186371419600</v>
      </c>
      <c r="G14" s="70"/>
      <c r="H14" s="76" t="s">
        <v>32</v>
      </c>
      <c r="I14" s="239">
        <v>0</v>
      </c>
      <c r="J14" s="73">
        <v>0</v>
      </c>
      <c r="K14" s="77"/>
      <c r="L14" s="76" t="s">
        <v>32</v>
      </c>
      <c r="M14" s="239">
        <v>100.95238095238095238095238095</v>
      </c>
      <c r="N14" s="73">
        <v>11.461619348089840679079313300</v>
      </c>
      <c r="O14" s="77"/>
      <c r="P14" s="76" t="s">
        <v>32</v>
      </c>
      <c r="Q14" s="239">
        <v>100.45261121856866537717601547</v>
      </c>
      <c r="R14" s="73">
        <v>-4.2754543163117146830277912200</v>
      </c>
      <c r="S14" s="18"/>
      <c r="T14" s="1"/>
      <c r="U14" s="244"/>
      <c r="V14" s="244"/>
      <c r="W14" s="244"/>
      <c r="X14" s="244"/>
      <c r="Y14" s="244"/>
      <c r="Z14" s="244"/>
      <c r="AA14" s="244"/>
      <c r="AB14" s="244"/>
      <c r="AC14" s="244"/>
      <c r="AD14" s="244"/>
      <c r="AE14" s="244"/>
      <c r="AF14" s="244"/>
      <c r="AG14" s="244"/>
      <c r="AH14" s="244"/>
      <c r="AI14" s="244"/>
      <c r="AJ14" s="244"/>
      <c r="AK14" s="244"/>
      <c r="AL14" s="244"/>
      <c r="AM14" s="244"/>
      <c r="AN14" s="244"/>
      <c r="AO14" s="244"/>
      <c r="AP14" s="244"/>
      <c r="AQ14" s="244"/>
      <c r="AR14" s="244"/>
      <c r="AS14" s="244"/>
      <c r="AT14" s="244"/>
      <c r="AU14" s="244"/>
      <c r="AV14" s="244"/>
    </row>
    <row r="15" ht="15" customHeight="1">
      <c r="A15" s="1"/>
      <c r="B15" s="57"/>
      <c r="C15" s="58"/>
      <c r="D15" s="187" t="s">
        <v>27</v>
      </c>
      <c r="E15" s="240">
        <v>130.35876447495914726728719292</v>
      </c>
      <c r="F15" s="81">
        <v>-3.6137320938137401935283128100</v>
      </c>
      <c r="G15" s="184"/>
      <c r="H15" s="189" t="s">
        <v>27</v>
      </c>
      <c r="I15" s="240">
        <v>158.94053667310422073020044857</v>
      </c>
      <c r="J15" s="81">
        <v>9.942336129893349965727641260</v>
      </c>
      <c r="K15" s="188"/>
      <c r="L15" s="189" t="s">
        <v>27</v>
      </c>
      <c r="M15" s="240">
        <v>121.05023588481560705161290284</v>
      </c>
      <c r="N15" s="81">
        <v>3.5564451137473266145979734900</v>
      </c>
      <c r="O15" s="188"/>
      <c r="P15" s="189" t="s">
        <v>27</v>
      </c>
      <c r="Q15" s="240">
        <v>132.58640638119227539882451722</v>
      </c>
      <c r="R15" s="81">
        <v>-2.4379532878240667191361258500</v>
      </c>
      <c r="S15" s="18"/>
      <c r="T15" s="1"/>
      <c r="U15" s="244"/>
      <c r="V15" s="244"/>
      <c r="W15" s="244"/>
      <c r="X15" s="244"/>
      <c r="Y15" s="244"/>
      <c r="Z15" s="244"/>
      <c r="AA15" s="244"/>
      <c r="AB15" s="244"/>
      <c r="AC15" s="244"/>
      <c r="AD15" s="244"/>
      <c r="AE15" s="244"/>
      <c r="AF15" s="244"/>
      <c r="AG15" s="244"/>
      <c r="AH15" s="244"/>
      <c r="AI15" s="244"/>
      <c r="AJ15" s="244"/>
      <c r="AK15" s="244"/>
      <c r="AL15" s="244"/>
      <c r="AM15" s="244"/>
      <c r="AN15" s="244"/>
      <c r="AO15" s="244"/>
      <c r="AP15" s="244"/>
      <c r="AQ15" s="244"/>
      <c r="AR15" s="244"/>
      <c r="AS15" s="244"/>
      <c r="AT15" s="244"/>
      <c r="AU15" s="244"/>
      <c r="AV15" s="244"/>
    </row>
    <row r="16" ht="15" customHeight="1">
      <c r="A16" s="1"/>
      <c r="B16" s="57"/>
      <c r="C16" s="58"/>
      <c r="D16" s="406" t="s">
        <v>92</v>
      </c>
      <c r="E16" s="74">
        <v>77.042346954863792487974647090</v>
      </c>
      <c r="F16" s="73">
        <v>-1.204493156972742025126232700</v>
      </c>
      <c r="G16" s="68"/>
      <c r="H16" s="406" t="s">
        <v>92</v>
      </c>
      <c r="I16" s="74">
        <v>0</v>
      </c>
      <c r="J16" s="73">
        <v>0</v>
      </c>
      <c r="K16" s="1"/>
      <c r="L16" s="406" t="s">
        <v>92</v>
      </c>
      <c r="M16" s="74">
        <v>83.39709560620303666264498583</v>
      </c>
      <c r="N16" s="73">
        <v>7.6336863685362791176033881100</v>
      </c>
      <c r="O16" s="1"/>
      <c r="P16" s="406" t="s">
        <v>92</v>
      </c>
      <c r="Q16" s="74">
        <v>75.763884066483210439946624150</v>
      </c>
      <c r="R16" s="73">
        <v>-1.8834178766140981784628734100</v>
      </c>
      <c r="S16" s="74"/>
      <c r="T16" s="1"/>
      <c r="U16" s="244"/>
      <c r="V16" s="244"/>
      <c r="W16" s="244"/>
      <c r="X16" s="244"/>
      <c r="Y16" s="244"/>
      <c r="Z16" s="244"/>
      <c r="AA16" s="244"/>
      <c r="AB16" s="244"/>
      <c r="AC16" s="244"/>
      <c r="AD16" s="244"/>
      <c r="AE16" s="244"/>
      <c r="AF16" s="244"/>
      <c r="AG16" s="244"/>
      <c r="AH16" s="244"/>
      <c r="AI16" s="244"/>
      <c r="AJ16" s="244"/>
      <c r="AK16" s="244"/>
      <c r="AL16" s="244"/>
      <c r="AM16" s="244"/>
      <c r="AN16" s="244"/>
      <c r="AO16" s="244"/>
      <c r="AP16" s="244"/>
      <c r="AQ16" s="244"/>
      <c r="AR16" s="244"/>
      <c r="AS16" s="244"/>
      <c r="AT16" s="244"/>
      <c r="AU16" s="244"/>
      <c r="AV16" s="244"/>
    </row>
    <row r="17" ht="15" customHeight="1">
      <c r="A17" s="1"/>
      <c r="B17" s="16"/>
      <c r="C17" s="1"/>
      <c r="D17" s="1"/>
      <c r="E17" s="3"/>
      <c r="F17" s="68"/>
      <c r="G17" s="3"/>
      <c r="H17" s="1"/>
      <c r="I17" s="1"/>
      <c r="J17" s="68"/>
      <c r="K17" s="1"/>
      <c r="L17" s="1"/>
      <c r="M17" s="1"/>
      <c r="N17" s="68"/>
      <c r="O17" s="1"/>
      <c r="P17" s="1"/>
      <c r="Q17" s="18"/>
      <c r="R17" s="68"/>
      <c r="S17" s="18"/>
      <c r="T17" s="1"/>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row>
    <row r="18" ht="15" customHeight="1">
      <c r="A18" s="1"/>
      <c r="B18" s="57" t="s">
        <v>13</v>
      </c>
      <c r="C18" s="58"/>
      <c r="D18" s="17" t="s">
        <v>32</v>
      </c>
      <c r="E18" s="239">
        <v>38.259600614439324116743471582</v>
      </c>
      <c r="F18" s="73">
        <v>23.967847099635696464946527190</v>
      </c>
      <c r="G18" s="70"/>
      <c r="H18" s="76" t="s">
        <v>32</v>
      </c>
      <c r="I18" s="239">
        <v>0</v>
      </c>
      <c r="J18" s="73">
        <v>0</v>
      </c>
      <c r="K18" s="77"/>
      <c r="L18" s="76" t="s">
        <v>32</v>
      </c>
      <c r="M18" s="239">
        <v>1.6282642089093701996927803379</v>
      </c>
      <c r="N18" s="73">
        <v>67.192429026380499358249214730</v>
      </c>
      <c r="O18" s="77"/>
      <c r="P18" s="76" t="s">
        <v>32</v>
      </c>
      <c r="Q18" s="239">
        <v>39.88786482334869431643625192</v>
      </c>
      <c r="R18" s="73">
        <v>25.290101565522727893321479250</v>
      </c>
      <c r="S18" s="18"/>
      <c r="T18" s="1"/>
      <c r="U18" s="244"/>
      <c r="V18" s="244"/>
      <c r="W18" s="244"/>
      <c r="X18" s="244"/>
      <c r="Y18" s="244"/>
      <c r="Z18" s="244"/>
      <c r="AA18" s="244"/>
      <c r="AB18" s="244"/>
      <c r="AC18" s="244"/>
      <c r="AD18" s="244"/>
      <c r="AE18" s="244"/>
      <c r="AF18" s="244"/>
      <c r="AG18" s="244"/>
      <c r="AH18" s="244"/>
      <c r="AI18" s="244"/>
      <c r="AJ18" s="244"/>
      <c r="AK18" s="244"/>
      <c r="AL18" s="244"/>
      <c r="AM18" s="244"/>
      <c r="AN18" s="244"/>
      <c r="AO18" s="244"/>
      <c r="AP18" s="244"/>
      <c r="AQ18" s="244"/>
      <c r="AR18" s="244"/>
      <c r="AS18" s="244"/>
      <c r="AT18" s="244"/>
      <c r="AU18" s="244"/>
      <c r="AV18" s="244"/>
    </row>
    <row r="19" ht="15" customHeight="1">
      <c r="A19" s="1"/>
      <c r="B19" s="57"/>
      <c r="C19" s="58"/>
      <c r="D19" s="187" t="s">
        <v>27</v>
      </c>
      <c r="E19" s="240">
        <v>49.042143495443759016140128815</v>
      </c>
      <c r="F19" s="81">
        <v>13.496437641598446571043374080</v>
      </c>
      <c r="G19" s="184"/>
      <c r="H19" s="189" t="s">
        <v>27</v>
      </c>
      <c r="I19" s="240">
        <v>8.05451195458766968289271041</v>
      </c>
      <c r="J19" s="81">
        <v>-52.478166546091836368063969980</v>
      </c>
      <c r="K19" s="188"/>
      <c r="L19" s="189" t="s">
        <v>27</v>
      </c>
      <c r="M19" s="240">
        <v>5.2200020085321072125693707213</v>
      </c>
      <c r="N19" s="81">
        <v>5.1173585890333356400020684100</v>
      </c>
      <c r="O19" s="188"/>
      <c r="P19" s="189" t="s">
        <v>27</v>
      </c>
      <c r="Q19" s="240">
        <v>62.316657458563535911602209945</v>
      </c>
      <c r="R19" s="81">
        <v>-4.3126014540814136532041876800</v>
      </c>
      <c r="S19" s="18"/>
      <c r="T19" s="1"/>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row>
    <row r="20" ht="15" customHeight="1">
      <c r="A20" s="1"/>
      <c r="B20" s="57"/>
      <c r="C20" s="58"/>
      <c r="D20" s="406" t="s">
        <v>93</v>
      </c>
      <c r="E20" s="74">
        <v>78.013720216017791405631138420</v>
      </c>
      <c r="F20" s="73">
        <v>9.226200994133745806261638490</v>
      </c>
      <c r="G20" s="68"/>
      <c r="H20" s="406" t="s">
        <v>93</v>
      </c>
      <c r="I20" s="74">
        <v>0</v>
      </c>
      <c r="J20" s="73">
        <v>0</v>
      </c>
      <c r="K20" s="1"/>
      <c r="L20" s="406" t="s">
        <v>93</v>
      </c>
      <c r="M20" s="74">
        <v>31.192788934908131074003212960</v>
      </c>
      <c r="N20" s="73">
        <v>59.053110986699434112800990260</v>
      </c>
      <c r="O20" s="1"/>
      <c r="P20" s="406" t="s">
        <v>93</v>
      </c>
      <c r="Q20" s="74">
        <v>64.008350977181585230224243340</v>
      </c>
      <c r="R20" s="73">
        <v>30.936887687903208610275585500</v>
      </c>
      <c r="S20" s="74"/>
      <c r="T20" s="1"/>
      <c r="U20" s="244"/>
      <c r="V20" s="244"/>
      <c r="W20" s="244"/>
      <c r="X20" s="244"/>
      <c r="Y20" s="244"/>
      <c r="Z20" s="244"/>
      <c r="AA20" s="244"/>
      <c r="AB20" s="244"/>
      <c r="AC20" s="244"/>
      <c r="AD20" s="244"/>
      <c r="AE20" s="244"/>
      <c r="AF20" s="244"/>
      <c r="AG20" s="244"/>
      <c r="AH20" s="244"/>
      <c r="AI20" s="244"/>
      <c r="AJ20" s="244"/>
      <c r="AK20" s="244"/>
      <c r="AL20" s="244"/>
      <c r="AM20" s="244"/>
      <c r="AN20" s="244"/>
      <c r="AO20" s="244"/>
      <c r="AP20" s="244"/>
      <c r="AQ20" s="244"/>
      <c r="AR20" s="244"/>
      <c r="AS20" s="244"/>
      <c r="AT20" s="244"/>
      <c r="AU20" s="244"/>
      <c r="AV20" s="244"/>
    </row>
    <row r="21" ht="15" customHeight="1">
      <c r="A21" s="1"/>
      <c r="B21" s="16"/>
      <c r="C21" s="1"/>
      <c r="D21" s="1"/>
      <c r="E21" s="1"/>
      <c r="F21" s="1"/>
      <c r="G21" s="1"/>
      <c r="H21" s="1"/>
      <c r="I21" s="1"/>
      <c r="J21" s="1"/>
      <c r="K21" s="1"/>
      <c r="L21" s="1"/>
      <c r="M21" s="1"/>
      <c r="N21" s="1"/>
      <c r="O21" s="1"/>
      <c r="P21" s="1"/>
      <c r="Q21" s="1"/>
      <c r="R21" s="1"/>
      <c r="S21" s="1"/>
      <c r="T21" s="1"/>
      <c r="U21" s="244"/>
      <c r="V21" s="244"/>
      <c r="W21" s="244"/>
      <c r="X21" s="244"/>
      <c r="Y21" s="244"/>
      <c r="Z21" s="244"/>
      <c r="AA21" s="244"/>
      <c r="AB21" s="244"/>
      <c r="AC21" s="244"/>
      <c r="AD21" s="244"/>
      <c r="AE21" s="244"/>
      <c r="AF21" s="244"/>
      <c r="AG21" s="244"/>
      <c r="AH21" s="244"/>
      <c r="AI21" s="244"/>
      <c r="AJ21" s="244"/>
      <c r="AK21" s="244"/>
      <c r="AL21" s="244"/>
      <c r="AM21" s="244"/>
      <c r="AN21" s="244"/>
      <c r="AO21" s="244"/>
      <c r="AP21" s="244"/>
      <c r="AQ21" s="244"/>
      <c r="AR21" s="244"/>
      <c r="AS21" s="244"/>
      <c r="AT21" s="244"/>
      <c r="AU21" s="244"/>
      <c r="AV21" s="244"/>
    </row>
    <row r="22" ht="15" customHeight="1">
      <c r="A22" s="1"/>
      <c r="T22" s="1"/>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row>
    <row r="23" ht="15" customHeight="1">
      <c r="A23" s="1"/>
      <c r="B23" s="612" t="s">
        <v>61</v>
      </c>
      <c r="C23" s="612"/>
      <c r="D23" s="612"/>
      <c r="E23" s="612"/>
      <c r="F23" s="612"/>
      <c r="G23" s="612"/>
      <c r="H23" s="612"/>
      <c r="I23" s="612"/>
      <c r="J23" s="612"/>
      <c r="K23" s="612"/>
      <c r="L23" s="612"/>
      <c r="M23" s="612"/>
      <c r="N23" s="612"/>
      <c r="O23" s="612"/>
      <c r="P23" s="612"/>
      <c r="Q23" s="612"/>
      <c r="R23" s="612"/>
      <c r="S23" s="612"/>
      <c r="T23" s="1"/>
      <c r="U23" s="244"/>
      <c r="V23" s="244"/>
      <c r="W23" s="244"/>
      <c r="X23" s="244"/>
      <c r="Y23" s="244"/>
      <c r="Z23" s="244"/>
      <c r="AA23" s="244"/>
      <c r="AB23" s="244"/>
      <c r="AC23" s="244"/>
      <c r="AD23" s="244"/>
      <c r="AE23" s="244"/>
      <c r="AF23" s="244"/>
      <c r="AG23" s="244"/>
      <c r="AH23" s="244"/>
      <c r="AI23" s="244"/>
      <c r="AJ23" s="244"/>
      <c r="AK23" s="244"/>
      <c r="AL23" s="244"/>
      <c r="AM23" s="244"/>
      <c r="AN23" s="244"/>
      <c r="AO23" s="244"/>
      <c r="AP23" s="244"/>
      <c r="AQ23" s="244"/>
      <c r="AR23" s="244"/>
      <c r="AS23" s="244"/>
      <c r="AT23" s="244"/>
      <c r="AU23" s="244"/>
      <c r="AV23" s="244"/>
    </row>
    <row r="24" ht="15" customHeight="1">
      <c r="A24" s="1"/>
      <c r="B24" s="16"/>
      <c r="C24" s="1"/>
      <c r="D24" s="1"/>
      <c r="E24" s="1"/>
      <c r="F24" s="1"/>
      <c r="G24" s="1"/>
      <c r="H24" s="1"/>
      <c r="I24" s="1"/>
      <c r="J24" s="1"/>
      <c r="K24" s="1"/>
      <c r="L24" s="1"/>
      <c r="M24" s="1"/>
      <c r="N24" s="1"/>
      <c r="O24" s="1"/>
      <c r="P24" s="1"/>
      <c r="Q24" s="1"/>
      <c r="R24" s="1"/>
      <c r="S24" s="1"/>
      <c r="T24" s="1"/>
      <c r="U24" s="244"/>
      <c r="V24" s="244"/>
      <c r="W24" s="244"/>
      <c r="X24" s="244"/>
      <c r="Y24" s="244"/>
      <c r="Z24" s="244"/>
      <c r="AA24" s="244"/>
      <c r="AB24" s="244"/>
      <c r="AC24" s="244"/>
      <c r="AD24" s="244"/>
      <c r="AE24" s="244"/>
      <c r="AF24" s="244"/>
      <c r="AG24" s="244"/>
      <c r="AH24" s="244"/>
      <c r="AI24" s="244"/>
      <c r="AJ24" s="244"/>
      <c r="AK24" s="244"/>
      <c r="AL24" s="244"/>
      <c r="AM24" s="244"/>
      <c r="AN24" s="244"/>
      <c r="AO24" s="244"/>
      <c r="AP24" s="244"/>
      <c r="AQ24" s="244"/>
      <c r="AR24" s="244"/>
      <c r="AS24" s="244"/>
      <c r="AT24" s="244"/>
      <c r="AU24" s="244"/>
      <c r="AV24" s="244"/>
    </row>
    <row r="25" ht="15" customHeight="1">
      <c r="A25" s="1"/>
      <c r="B25" s="1"/>
      <c r="C25" s="14"/>
      <c r="D25" s="648" t="s">
        <v>21</v>
      </c>
      <c r="E25" s="648"/>
      <c r="F25" s="648"/>
      <c r="G25" s="1"/>
      <c r="H25" s="648" t="s">
        <v>24</v>
      </c>
      <c r="I25" s="648"/>
      <c r="J25" s="648"/>
      <c r="K25" s="1"/>
      <c r="L25" s="648" t="s">
        <v>25</v>
      </c>
      <c r="M25" s="648"/>
      <c r="N25" s="648"/>
      <c r="O25" s="1"/>
      <c r="P25" s="648" t="s">
        <v>23</v>
      </c>
      <c r="Q25" s="648"/>
      <c r="R25" s="648"/>
      <c r="S25" s="2"/>
      <c r="T25" s="1"/>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row>
    <row r="26" ht="15" customHeight="1">
      <c r="A26" s="1"/>
      <c r="B26" s="16"/>
      <c r="C26" s="1"/>
      <c r="D26" s="1"/>
      <c r="E26" s="1"/>
      <c r="F26" s="66" t="s">
        <v>57</v>
      </c>
      <c r="G26" s="1"/>
      <c r="H26" s="1"/>
      <c r="I26" s="1"/>
      <c r="J26" s="66" t="s">
        <v>57</v>
      </c>
      <c r="K26" s="1"/>
      <c r="L26" s="1"/>
      <c r="M26" s="1"/>
      <c r="N26" s="66" t="s">
        <v>57</v>
      </c>
      <c r="O26" s="1"/>
      <c r="P26" s="1"/>
      <c r="Q26" s="1"/>
      <c r="R26" s="66" t="s">
        <v>57</v>
      </c>
      <c r="S26" s="1"/>
      <c r="T26" s="1"/>
      <c r="U26" s="244"/>
      <c r="V26" s="244"/>
      <c r="W26" s="244"/>
      <c r="X26" s="244"/>
      <c r="Y26" s="244"/>
      <c r="Z26" s="244"/>
      <c r="AA26" s="244"/>
      <c r="AB26" s="244"/>
      <c r="AC26" s="244"/>
      <c r="AD26" s="244"/>
      <c r="AE26" s="244"/>
      <c r="AF26" s="244"/>
      <c r="AG26" s="244"/>
      <c r="AH26" s="244"/>
      <c r="AI26" s="244"/>
      <c r="AJ26" s="244"/>
      <c r="AK26" s="244"/>
      <c r="AL26" s="244"/>
      <c r="AM26" s="244"/>
      <c r="AN26" s="244"/>
      <c r="AO26" s="244"/>
      <c r="AP26" s="244"/>
      <c r="AQ26" s="244"/>
      <c r="AR26" s="244"/>
      <c r="AS26" s="244"/>
      <c r="AT26" s="244"/>
      <c r="AU26" s="244"/>
      <c r="AV26" s="244"/>
    </row>
    <row r="27" ht="15" customHeight="1">
      <c r="A27" s="1"/>
      <c r="B27" s="57" t="s">
        <v>28</v>
      </c>
      <c r="C27" s="58"/>
      <c r="D27" s="17" t="s">
        <v>32</v>
      </c>
      <c r="E27" s="19">
        <v>0.3156682027649769585253456221</v>
      </c>
      <c r="F27" s="73">
        <v>11.081081081078679327976625320</v>
      </c>
      <c r="G27" s="1"/>
      <c r="H27" s="17" t="s">
        <v>32</v>
      </c>
      <c r="I27" s="19">
        <v>0.0512672811059907834101382488</v>
      </c>
      <c r="J27" s="73">
        <v>18.141592919659769754879167260</v>
      </c>
      <c r="K27" s="1"/>
      <c r="L27" s="17" t="s">
        <v>32</v>
      </c>
      <c r="M27" s="19">
        <v>0.0151689708141321044546850998</v>
      </c>
      <c r="N27" s="73">
        <v>31.666666668826000000035412660</v>
      </c>
      <c r="O27" s="1"/>
      <c r="P27" s="17" t="s">
        <v>32</v>
      </c>
      <c r="Q27" s="19">
        <v>0.3821044546850998463901689708</v>
      </c>
      <c r="R27" s="73">
        <v>12.684031710055283581017564670</v>
      </c>
      <c r="S27" s="19"/>
      <c r="T27" s="1"/>
      <c r="U27" s="244"/>
      <c r="V27" s="244"/>
      <c r="W27" s="244"/>
      <c r="X27" s="244"/>
      <c r="Y27" s="244"/>
      <c r="Z27" s="244"/>
      <c r="AA27" s="244"/>
      <c r="AB27" s="244"/>
      <c r="AC27" s="244"/>
      <c r="AD27" s="244"/>
      <c r="AE27" s="244"/>
      <c r="AF27" s="244"/>
      <c r="AG27" s="244"/>
      <c r="AH27" s="244"/>
      <c r="AI27" s="244"/>
      <c r="AJ27" s="244"/>
      <c r="AK27" s="244"/>
      <c r="AL27" s="244"/>
      <c r="AM27" s="244"/>
      <c r="AN27" s="244"/>
      <c r="AO27" s="244"/>
      <c r="AP27" s="244"/>
      <c r="AQ27" s="244"/>
      <c r="AR27" s="244"/>
      <c r="AS27" s="244"/>
      <c r="AT27" s="244"/>
      <c r="AU27" s="244"/>
      <c r="AV27" s="244"/>
    </row>
    <row r="28" ht="15" customHeight="1">
      <c r="A28" s="1"/>
      <c r="B28" s="57"/>
      <c r="C28" s="58"/>
      <c r="D28" s="187" t="s">
        <v>27</v>
      </c>
      <c r="E28" s="190">
        <v>0.418268924588256576935290095</v>
      </c>
      <c r="F28" s="81">
        <v>10.998641913957758409263983500</v>
      </c>
      <c r="G28" s="191"/>
      <c r="H28" s="187" t="s">
        <v>27</v>
      </c>
      <c r="I28" s="190">
        <v>0.1219760881398645780368744249</v>
      </c>
      <c r="J28" s="81">
        <v>22.216859983606939887483650630</v>
      </c>
      <c r="K28" s="191"/>
      <c r="L28" s="187" t="s">
        <v>27</v>
      </c>
      <c r="M28" s="190">
        <v>0.0456534350487796606026842041</v>
      </c>
      <c r="N28" s="81">
        <v>-6.311016405216331985408999500</v>
      </c>
      <c r="O28" s="191"/>
      <c r="P28" s="187" t="s">
        <v>27</v>
      </c>
      <c r="Q28" s="190">
        <v>0.585898447776900815574848724</v>
      </c>
      <c r="R28" s="81">
        <v>11.524256651056755767741570290</v>
      </c>
      <c r="S28" s="19"/>
      <c r="T28" s="1"/>
      <c r="U28" s="244"/>
      <c r="V28" s="244"/>
      <c r="W28" s="244"/>
      <c r="X28" s="244"/>
      <c r="Y28" s="244"/>
      <c r="Z28" s="244"/>
      <c r="AA28" s="244"/>
      <c r="AB28" s="244"/>
      <c r="AC28" s="244"/>
      <c r="AD28" s="244"/>
      <c r="AE28" s="244"/>
      <c r="AF28" s="244"/>
      <c r="AG28" s="244"/>
      <c r="AH28" s="244"/>
      <c r="AI28" s="244"/>
      <c r="AJ28" s="244"/>
      <c r="AK28" s="244"/>
      <c r="AL28" s="244"/>
      <c r="AM28" s="244"/>
      <c r="AN28" s="244"/>
      <c r="AO28" s="244"/>
      <c r="AP28" s="244"/>
      <c r="AQ28" s="244"/>
      <c r="AR28" s="244"/>
      <c r="AS28" s="244"/>
      <c r="AT28" s="244"/>
      <c r="AU28" s="244"/>
      <c r="AV28" s="244"/>
    </row>
    <row r="29" ht="15" customHeight="1">
      <c r="A29" s="1"/>
      <c r="B29" s="57"/>
      <c r="C29" s="58"/>
      <c r="D29" s="406" t="s">
        <v>91</v>
      </c>
      <c r="E29" s="74">
        <v>75.470154297480740227346861070</v>
      </c>
      <c r="F29" s="73">
        <v>0.0742704287179989089052709600</v>
      </c>
      <c r="G29" s="75"/>
      <c r="H29" s="406" t="s">
        <v>91</v>
      </c>
      <c r="I29" s="74">
        <v>42.030599511559957631986285800</v>
      </c>
      <c r="J29" s="73">
        <v>-3.3344557076898701013978941900</v>
      </c>
      <c r="K29" s="75"/>
      <c r="L29" s="406" t="s">
        <v>91</v>
      </c>
      <c r="M29" s="74">
        <v>33.226351528315869782438766340</v>
      </c>
      <c r="N29" s="73">
        <v>40.535911068740046047371412930</v>
      </c>
      <c r="O29" s="75"/>
      <c r="P29" s="406" t="s">
        <v>91</v>
      </c>
      <c r="Q29" s="74">
        <v>65.216840245074928093457940080</v>
      </c>
      <c r="R29" s="73">
        <v>1.0399307682302334725352403800</v>
      </c>
      <c r="S29" s="74"/>
      <c r="T29" s="1"/>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row>
    <row r="30" ht="15" customHeight="1">
      <c r="A30" s="1"/>
      <c r="B30" s="16"/>
      <c r="C30" s="1"/>
      <c r="D30" s="1"/>
      <c r="E30" s="1"/>
      <c r="F30" s="66"/>
      <c r="G30" s="1"/>
      <c r="H30" s="1"/>
      <c r="I30" s="1"/>
      <c r="J30" s="66"/>
      <c r="K30" s="1"/>
      <c r="L30" s="1"/>
      <c r="M30" s="1"/>
      <c r="N30" s="66"/>
      <c r="O30" s="1"/>
      <c r="P30" s="1"/>
      <c r="Q30" s="19"/>
      <c r="R30" s="66"/>
      <c r="S30" s="19"/>
      <c r="T30" s="1"/>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row>
    <row r="31" ht="15" customHeight="1">
      <c r="A31" s="1"/>
      <c r="B31" s="57" t="s">
        <v>12</v>
      </c>
      <c r="C31" s="58"/>
      <c r="D31" s="17" t="s">
        <v>32</v>
      </c>
      <c r="E31" s="239">
        <v>97.24270072992700729927007299</v>
      </c>
      <c r="F31" s="73">
        <v>-11.715763240692169310475324370</v>
      </c>
      <c r="G31" s="77"/>
      <c r="H31" s="76" t="s">
        <v>32</v>
      </c>
      <c r="I31" s="239">
        <v>124.49812734082397003745318352</v>
      </c>
      <c r="J31" s="73">
        <v>12.245489205075674482358783600</v>
      </c>
      <c r="K31" s="77"/>
      <c r="L31" s="76" t="s">
        <v>32</v>
      </c>
      <c r="M31" s="239">
        <v>96.36708860759493670886075949</v>
      </c>
      <c r="N31" s="73">
        <v>1.4568400852382056384163946900</v>
      </c>
      <c r="O31" s="77"/>
      <c r="P31" s="76" t="s">
        <v>32</v>
      </c>
      <c r="Q31" s="239">
        <v>100.86482412060301507537688442</v>
      </c>
      <c r="R31" s="73">
        <v>-8.079944579329315540387244170</v>
      </c>
      <c r="S31" s="18"/>
      <c r="T31" s="1"/>
      <c r="U31" s="244"/>
      <c r="V31" s="244"/>
      <c r="W31" s="244"/>
      <c r="X31" s="244"/>
      <c r="Y31" s="244"/>
      <c r="Z31" s="244"/>
      <c r="AA31" s="244"/>
      <c r="AB31" s="244"/>
      <c r="AC31" s="244"/>
      <c r="AD31" s="244"/>
      <c r="AE31" s="244"/>
      <c r="AF31" s="244"/>
      <c r="AG31" s="244"/>
      <c r="AH31" s="244"/>
      <c r="AI31" s="244"/>
      <c r="AJ31" s="244"/>
      <c r="AK31" s="244"/>
      <c r="AL31" s="244"/>
      <c r="AM31" s="244"/>
      <c r="AN31" s="244"/>
      <c r="AO31" s="244"/>
      <c r="AP31" s="244"/>
      <c r="AQ31" s="244"/>
      <c r="AR31" s="244"/>
      <c r="AS31" s="244"/>
      <c r="AT31" s="244"/>
      <c r="AU31" s="244"/>
      <c r="AV31" s="244"/>
    </row>
    <row r="32" ht="15" customHeight="1">
      <c r="A32" s="1"/>
      <c r="B32" s="57"/>
      <c r="C32" s="58"/>
      <c r="D32" s="187" t="s">
        <v>27</v>
      </c>
      <c r="E32" s="240">
        <v>136.66676336728831002218805674</v>
      </c>
      <c r="F32" s="81">
        <v>-0.8958669912043724917869250900</v>
      </c>
      <c r="G32" s="188"/>
      <c r="H32" s="189" t="s">
        <v>27</v>
      </c>
      <c r="I32" s="240">
        <v>136.32103143166641214519682394</v>
      </c>
      <c r="J32" s="81">
        <v>-4.2745818000942930312735663800</v>
      </c>
      <c r="K32" s="188"/>
      <c r="L32" s="189" t="s">
        <v>27</v>
      </c>
      <c r="M32" s="240">
        <v>124.86490517673791240051793862</v>
      </c>
      <c r="N32" s="81">
        <v>4.3393072204745327392746688400</v>
      </c>
      <c r="O32" s="188"/>
      <c r="P32" s="189" t="s">
        <v>27</v>
      </c>
      <c r="Q32" s="240">
        <v>135.6751812977099236641221374</v>
      </c>
      <c r="R32" s="81">
        <v>-1.0156584297933037567427833500</v>
      </c>
      <c r="S32" s="18"/>
      <c r="T32" s="1"/>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row>
    <row r="33" ht="15" customHeight="1">
      <c r="A33" s="1"/>
      <c r="B33" s="57"/>
      <c r="C33" s="58"/>
      <c r="D33" s="406" t="s">
        <v>92</v>
      </c>
      <c r="E33" s="74">
        <v>71.153145310525503976200780350</v>
      </c>
      <c r="F33" s="73">
        <v>-10.917704359055386951854875410</v>
      </c>
      <c r="G33" s="75"/>
      <c r="H33" s="406" t="s">
        <v>92</v>
      </c>
      <c r="I33" s="74">
        <v>91.32716062466151508257696709</v>
      </c>
      <c r="J33" s="73">
        <v>17.257768433668675264730601950</v>
      </c>
      <c r="K33" s="75"/>
      <c r="L33" s="406" t="s">
        <v>92</v>
      </c>
      <c r="M33" s="74">
        <v>77.177080678692732076807892430</v>
      </c>
      <c r="N33" s="73">
        <v>-2.7625898733791790643935995800</v>
      </c>
      <c r="O33" s="75"/>
      <c r="P33" s="406" t="s">
        <v>92</v>
      </c>
      <c r="Q33" s="74">
        <v>74.342870343607125950661875630</v>
      </c>
      <c r="R33" s="73">
        <v>-7.1367713695230507897516088600</v>
      </c>
      <c r="S33" s="74"/>
      <c r="T33" s="1"/>
      <c r="U33" s="244"/>
      <c r="V33" s="244"/>
      <c r="W33" s="244"/>
      <c r="X33" s="244"/>
      <c r="Y33" s="244"/>
      <c r="Z33" s="244"/>
      <c r="AA33" s="244"/>
      <c r="AB33" s="244"/>
      <c r="AC33" s="244"/>
      <c r="AD33" s="244"/>
      <c r="AE33" s="244"/>
      <c r="AF33" s="244"/>
      <c r="AG33" s="244"/>
      <c r="AH33" s="244"/>
      <c r="AI33" s="244"/>
      <c r="AJ33" s="244"/>
      <c r="AK33" s="244"/>
      <c r="AL33" s="244"/>
      <c r="AM33" s="244"/>
      <c r="AN33" s="244"/>
      <c r="AO33" s="244"/>
      <c r="AP33" s="244"/>
      <c r="AQ33" s="244"/>
      <c r="AR33" s="244"/>
      <c r="AS33" s="244"/>
      <c r="AT33" s="244"/>
      <c r="AU33" s="244"/>
      <c r="AV33" s="244"/>
    </row>
    <row r="34" ht="15" customHeight="1">
      <c r="A34" s="1"/>
      <c r="B34" s="16"/>
      <c r="C34" s="1"/>
      <c r="D34" s="1"/>
      <c r="E34" s="1"/>
      <c r="F34" s="68"/>
      <c r="G34" s="1"/>
      <c r="H34" s="1"/>
      <c r="I34" s="1"/>
      <c r="J34" s="68"/>
      <c r="K34" s="1"/>
      <c r="L34" s="1"/>
      <c r="M34" s="1"/>
      <c r="N34" s="68"/>
      <c r="O34" s="1"/>
      <c r="P34" s="1"/>
      <c r="Q34" s="18"/>
      <c r="R34" s="68"/>
      <c r="S34" s="18"/>
      <c r="T34" s="1"/>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row>
    <row r="35" ht="15" customHeight="1">
      <c r="A35" s="1"/>
      <c r="B35" s="57" t="s">
        <v>13</v>
      </c>
      <c r="C35" s="58"/>
      <c r="D35" s="17" t="s">
        <v>32</v>
      </c>
      <c r="E35" s="239">
        <v>30.696428571428571428571428571</v>
      </c>
      <c r="F35" s="73">
        <v>-1.9329153835936364370901756500</v>
      </c>
      <c r="G35" s="77"/>
      <c r="H35" s="76" t="s">
        <v>32</v>
      </c>
      <c r="I35" s="239">
        <v>6.3826804915514592933947772657</v>
      </c>
      <c r="J35" s="73">
        <v>32.608608928369014325606920050</v>
      </c>
      <c r="K35" s="77"/>
      <c r="L35" s="76" t="s">
        <v>32</v>
      </c>
      <c r="M35" s="239">
        <v>1.4617895545314900153609831029</v>
      </c>
      <c r="N35" s="73">
        <v>33.584839444804179835212836100</v>
      </c>
      <c r="O35" s="77"/>
      <c r="P35" s="76" t="s">
        <v>32</v>
      </c>
      <c r="Q35" s="239">
        <v>38.54089861751152073732718894</v>
      </c>
      <c r="R35" s="73">
        <v>3.5792243981411628688294322600</v>
      </c>
      <c r="S35" s="18"/>
      <c r="T35" s="1"/>
      <c r="U35" s="244"/>
      <c r="V35" s="244"/>
      <c r="W35" s="244"/>
      <c r="X35" s="244"/>
      <c r="Y35" s="244"/>
      <c r="Z35" s="244"/>
      <c r="AA35" s="244"/>
      <c r="AB35" s="244"/>
      <c r="AC35" s="244"/>
      <c r="AD35" s="244"/>
      <c r="AE35" s="244"/>
      <c r="AF35" s="244"/>
      <c r="AG35" s="244"/>
      <c r="AH35" s="244"/>
      <c r="AI35" s="244"/>
      <c r="AJ35" s="244"/>
      <c r="AK35" s="244"/>
      <c r="AL35" s="244"/>
      <c r="AM35" s="244"/>
      <c r="AN35" s="244"/>
      <c r="AO35" s="244"/>
      <c r="AP35" s="244"/>
      <c r="AQ35" s="244"/>
      <c r="AR35" s="244"/>
      <c r="AS35" s="244"/>
      <c r="AT35" s="244"/>
      <c r="AU35" s="244"/>
      <c r="AV35" s="244"/>
    </row>
    <row r="36" ht="15" customHeight="1">
      <c r="A36" s="1"/>
      <c r="B36" s="57"/>
      <c r="C36" s="58"/>
      <c r="D36" s="187" t="s">
        <v>27</v>
      </c>
      <c r="E36" s="240">
        <v>57.163460140593420630025336365</v>
      </c>
      <c r="F36" s="81">
        <v>10.004241720339921244410236140</v>
      </c>
      <c r="G36" s="188"/>
      <c r="H36" s="189" t="s">
        <v>27</v>
      </c>
      <c r="I36" s="240">
        <v>16.627906145226191813208314787</v>
      </c>
      <c r="J36" s="81">
        <v>16.992600330595894644879672520</v>
      </c>
      <c r="K36" s="188"/>
      <c r="L36" s="189" t="s">
        <v>27</v>
      </c>
      <c r="M36" s="240">
        <v>5.7005118383582354915203609498</v>
      </c>
      <c r="N36" s="81">
        <v>-2.2455635763212658970931321800</v>
      </c>
      <c r="O36" s="188"/>
      <c r="P36" s="189" t="s">
        <v>27</v>
      </c>
      <c r="Q36" s="240">
        <v>79.4918781241778479347540121</v>
      </c>
      <c r="R36" s="81">
        <v>10.391551137085656437132362420</v>
      </c>
      <c r="S36" s="18"/>
      <c r="T36" s="1"/>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row>
    <row r="37" ht="15" customHeight="1">
      <c r="A37" s="1"/>
      <c r="B37" s="57"/>
      <c r="C37" s="58"/>
      <c r="D37" s="406" t="s">
        <v>93</v>
      </c>
      <c r="E37" s="74">
        <v>53.699388553329751422656707750</v>
      </c>
      <c r="F37" s="73">
        <v>-10.851542556265287890243138060</v>
      </c>
      <c r="G37" s="75"/>
      <c r="H37" s="406" t="s">
        <v>93</v>
      </c>
      <c r="I37" s="74">
        <v>38.385353127543098645146286210</v>
      </c>
      <c r="J37" s="73">
        <v>13.347860081206238118780011520</v>
      </c>
      <c r="K37" s="75"/>
      <c r="L37" s="406" t="s">
        <v>93</v>
      </c>
      <c r="M37" s="74">
        <v>25.643128125522498087984728620</v>
      </c>
      <c r="N37" s="73">
        <v>36.653480222058376912450820160</v>
      </c>
      <c r="O37" s="75"/>
      <c r="P37" s="406" t="s">
        <v>93</v>
      </c>
      <c r="Q37" s="74">
        <v>48.484070985584595917121395490</v>
      </c>
      <c r="R37" s="73">
        <v>-6.1710580826102575396423081700</v>
      </c>
      <c r="S37" s="74"/>
      <c r="T37" s="1"/>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row>
    <row r="38" ht="18" customHeight="1">
      <c r="A38" s="1"/>
      <c r="B38" s="1"/>
      <c r="C38" s="1"/>
      <c r="D38" s="1"/>
      <c r="E38" s="1"/>
      <c r="F38" s="1"/>
      <c r="G38" s="1"/>
      <c r="H38" s="1"/>
      <c r="I38" s="1"/>
      <c r="J38" s="1"/>
      <c r="K38" s="1"/>
      <c r="L38" s="1"/>
      <c r="M38" s="1"/>
      <c r="N38" s="1"/>
      <c r="O38" s="1"/>
      <c r="P38" s="1"/>
      <c r="Q38" s="1"/>
      <c r="R38" s="1"/>
      <c r="S38" s="1"/>
      <c r="T38" s="1"/>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row>
    <row r="39" ht="9" customHeight="1">
      <c r="A39" s="1"/>
      <c r="B39" s="1"/>
      <c r="C39" s="1"/>
      <c r="D39" s="1"/>
      <c r="E39" s="1"/>
      <c r="F39" s="1"/>
      <c r="G39" s="1"/>
      <c r="H39" s="1"/>
      <c r="I39" s="1"/>
      <c r="J39" s="1"/>
      <c r="K39" s="1"/>
      <c r="L39" s="1"/>
      <c r="M39" s="1"/>
      <c r="N39" s="1"/>
      <c r="O39" s="1"/>
      <c r="P39" s="1"/>
      <c r="Q39" s="1"/>
      <c r="R39" s="1"/>
      <c r="S39" s="1"/>
      <c r="T39" s="1"/>
      <c r="U39" s="244"/>
      <c r="V39" s="244"/>
      <c r="W39" s="244"/>
      <c r="X39" s="244"/>
      <c r="Y39" s="244"/>
      <c r="Z39" s="244"/>
      <c r="AA39" s="244"/>
      <c r="AB39" s="244"/>
      <c r="AC39" s="244"/>
      <c r="AD39" s="244"/>
      <c r="AE39" s="244"/>
      <c r="AF39" s="244"/>
      <c r="AG39" s="244"/>
      <c r="AH39" s="244"/>
      <c r="AI39" s="244"/>
      <c r="AJ39" s="244"/>
      <c r="AK39" s="244"/>
      <c r="AL39" s="244"/>
      <c r="AM39" s="244"/>
      <c r="AN39" s="244"/>
      <c r="AO39" s="244"/>
      <c r="AP39" s="244"/>
      <c r="AQ39" s="244"/>
      <c r="AR39" s="244"/>
      <c r="AS39" s="244"/>
      <c r="AT39" s="244"/>
      <c r="AU39" s="244"/>
      <c r="AV39" s="244"/>
    </row>
    <row r="40" ht="33.95" customHeight="1">
      <c r="A40" s="1"/>
      <c r="B40" s="651" t="s">
        <v>114</v>
      </c>
      <c r="C40" s="651"/>
      <c r="D40" s="651"/>
      <c r="E40" s="651"/>
      <c r="F40" s="651"/>
      <c r="G40" s="651"/>
      <c r="H40" s="651"/>
      <c r="I40" s="651"/>
      <c r="J40" s="651"/>
      <c r="K40" s="651"/>
      <c r="L40" s="651"/>
      <c r="M40" s="651"/>
      <c r="N40" s="651"/>
      <c r="O40" s="651"/>
      <c r="P40" s="651"/>
      <c r="Q40" s="651"/>
      <c r="R40" s="651"/>
      <c r="S40" s="651"/>
      <c r="T40" s="1"/>
      <c r="U40" s="244"/>
      <c r="V40" s="244"/>
      <c r="W40" s="244"/>
      <c r="X40" s="244"/>
      <c r="Y40" s="244"/>
      <c r="Z40" s="244"/>
      <c r="AA40" s="244"/>
      <c r="AB40" s="244"/>
      <c r="AC40" s="244"/>
      <c r="AD40" s="244"/>
      <c r="AE40" s="244"/>
      <c r="AF40" s="244"/>
      <c r="AG40" s="244"/>
      <c r="AH40" s="244"/>
      <c r="AI40" s="244"/>
      <c r="AJ40" s="244"/>
      <c r="AK40" s="244"/>
      <c r="AL40" s="244"/>
      <c r="AM40" s="244"/>
      <c r="AN40" s="244"/>
      <c r="AO40" s="244"/>
      <c r="AP40" s="244"/>
      <c r="AQ40" s="244"/>
      <c r="AR40" s="244"/>
      <c r="AS40" s="244"/>
      <c r="AT40" s="244"/>
      <c r="AU40" s="244"/>
      <c r="AV40" s="244"/>
    </row>
    <row r="41" ht="9" customHeight="1">
      <c r="A41" s="1"/>
      <c r="B41" s="1"/>
      <c r="C41" s="1"/>
      <c r="D41" s="1"/>
      <c r="E41" s="1"/>
      <c r="F41" s="1"/>
      <c r="G41" s="1"/>
      <c r="H41" s="1"/>
      <c r="I41" s="1"/>
      <c r="J41" s="1"/>
      <c r="K41" s="1"/>
      <c r="L41" s="1"/>
      <c r="M41" s="1"/>
      <c r="N41" s="1"/>
      <c r="O41" s="1"/>
      <c r="P41" s="1"/>
      <c r="Q41" s="80"/>
      <c r="R41" s="241"/>
      <c r="S41" s="1"/>
      <c r="T41" s="1"/>
      <c r="U41" s="244"/>
      <c r="V41" s="244"/>
      <c r="W41" s="244"/>
      <c r="X41" s="244"/>
      <c r="Y41" s="244"/>
      <c r="Z41" s="244"/>
      <c r="AA41" s="244"/>
      <c r="AB41" s="244"/>
      <c r="AC41" s="244"/>
      <c r="AD41" s="244"/>
      <c r="AE41" s="244"/>
      <c r="AF41" s="244"/>
      <c r="AG41" s="244"/>
      <c r="AH41" s="244"/>
      <c r="AI41" s="244"/>
      <c r="AJ41" s="244"/>
      <c r="AK41" s="244"/>
      <c r="AL41" s="244"/>
      <c r="AM41" s="244"/>
      <c r="AN41" s="244"/>
      <c r="AO41" s="244"/>
      <c r="AP41" s="244"/>
      <c r="AQ41" s="244"/>
      <c r="AR41" s="244"/>
      <c r="AS41" s="244"/>
      <c r="AT41" s="244"/>
      <c r="AU41" s="244"/>
      <c r="AV41" s="244"/>
    </row>
    <row r="42" ht="9" customHeight="1">
      <c r="A42" s="1"/>
      <c r="B42" s="1"/>
      <c r="C42" s="1"/>
      <c r="D42" s="1"/>
      <c r="E42" s="1"/>
      <c r="F42" s="1"/>
      <c r="G42" s="1"/>
      <c r="H42" s="1"/>
      <c r="I42" s="1"/>
      <c r="J42" s="1"/>
      <c r="K42" s="1"/>
      <c r="L42" s="1"/>
      <c r="M42" s="1"/>
      <c r="N42" s="1"/>
      <c r="O42" s="1"/>
      <c r="P42" s="1"/>
      <c r="Q42" s="1"/>
      <c r="R42" s="1"/>
      <c r="S42" s="1"/>
      <c r="T42" s="1"/>
      <c r="U42" s="244"/>
      <c r="V42" s="244"/>
      <c r="W42" s="244"/>
      <c r="X42" s="244"/>
      <c r="Y42" s="244"/>
      <c r="Z42" s="244"/>
      <c r="AA42" s="244"/>
      <c r="AB42" s="244"/>
      <c r="AC42" s="244"/>
      <c r="AD42" s="244"/>
      <c r="AE42" s="244"/>
      <c r="AF42" s="244"/>
      <c r="AG42" s="244"/>
      <c r="AH42" s="244"/>
      <c r="AI42" s="244"/>
      <c r="AJ42" s="244"/>
      <c r="AK42" s="244"/>
      <c r="AL42" s="244"/>
      <c r="AM42" s="244"/>
      <c r="AN42" s="244"/>
      <c r="AO42" s="244"/>
      <c r="AP42" s="244"/>
      <c r="AQ42" s="244"/>
      <c r="AR42" s="244"/>
      <c r="AS42" s="244"/>
      <c r="AT42" s="244"/>
      <c r="AU42" s="244"/>
      <c r="AV42" s="244"/>
    </row>
    <row r="43" ht="18" customHeight="1">
      <c r="A43" s="244"/>
      <c r="B43" s="244"/>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row>
    <row r="44">
      <c r="A44" s="244"/>
      <c r="B44" s="244"/>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row>
    <row r="45">
      <c r="A45" s="244"/>
      <c r="B45" s="244"/>
      <c r="C45" s="244"/>
      <c r="D45" s="244"/>
      <c r="E45" s="244"/>
      <c r="F45" s="244"/>
      <c r="G45" s="244"/>
      <c r="H45" s="244"/>
      <c r="I45" s="244"/>
      <c r="J45" s="244"/>
      <c r="K45" s="244"/>
      <c r="L45" s="244"/>
      <c r="M45" s="244"/>
      <c r="N45" s="244"/>
      <c r="O45" s="244"/>
      <c r="P45" s="244"/>
      <c r="Q45" s="244"/>
      <c r="R45" s="244"/>
      <c r="S45" s="244"/>
      <c r="T45" s="244"/>
      <c r="U45" s="244"/>
      <c r="V45" s="244"/>
      <c r="W45" s="244"/>
      <c r="X45" s="244"/>
      <c r="Y45" s="244"/>
      <c r="Z45" s="244"/>
      <c r="AA45" s="244"/>
      <c r="AB45" s="244"/>
      <c r="AC45" s="244"/>
      <c r="AD45" s="244"/>
      <c r="AE45" s="244"/>
      <c r="AF45" s="244"/>
      <c r="AG45" s="244"/>
      <c r="AH45" s="244"/>
      <c r="AI45" s="244"/>
      <c r="AJ45" s="244"/>
      <c r="AK45" s="244"/>
      <c r="AL45" s="244"/>
      <c r="AM45" s="244"/>
      <c r="AN45" s="244"/>
      <c r="AO45" s="244"/>
      <c r="AP45" s="244"/>
      <c r="AQ45" s="244"/>
      <c r="AR45" s="244"/>
      <c r="AS45" s="244"/>
      <c r="AT45" s="244"/>
      <c r="AU45" s="244"/>
      <c r="AV45" s="244"/>
    </row>
    <row r="46">
      <c r="A46" s="244"/>
      <c r="B46" s="244"/>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row>
    <row r="47">
      <c r="A47" s="244"/>
      <c r="B47" s="244"/>
      <c r="C47" s="244"/>
      <c r="D47" s="244"/>
      <c r="E47" s="244"/>
      <c r="F47" s="244"/>
      <c r="G47" s="244"/>
      <c r="H47" s="244"/>
      <c r="I47" s="244"/>
      <c r="J47" s="244"/>
      <c r="K47" s="244"/>
      <c r="L47" s="244"/>
      <c r="M47" s="244"/>
      <c r="N47" s="244"/>
      <c r="O47" s="244"/>
      <c r="P47" s="244"/>
      <c r="Q47" s="244"/>
      <c r="R47" s="244"/>
      <c r="S47" s="244"/>
      <c r="T47" s="244"/>
      <c r="U47" s="244"/>
      <c r="V47" s="244"/>
      <c r="W47" s="244"/>
      <c r="X47" s="244"/>
      <c r="Y47" s="244"/>
      <c r="Z47" s="244"/>
      <c r="AA47" s="244"/>
      <c r="AB47" s="244"/>
      <c r="AC47" s="244"/>
      <c r="AD47" s="244"/>
      <c r="AE47" s="244"/>
      <c r="AF47" s="244"/>
      <c r="AG47" s="244"/>
      <c r="AH47" s="244"/>
      <c r="AI47" s="244"/>
      <c r="AJ47" s="244"/>
      <c r="AK47" s="244"/>
      <c r="AL47" s="244"/>
      <c r="AM47" s="244"/>
      <c r="AN47" s="244"/>
      <c r="AO47" s="244"/>
      <c r="AP47" s="244"/>
      <c r="AQ47" s="244"/>
      <c r="AR47" s="244"/>
      <c r="AS47" s="244"/>
      <c r="AT47" s="244"/>
      <c r="AU47" s="244"/>
      <c r="AV47" s="244"/>
    </row>
    <row r="48">
      <c r="A48" s="244"/>
      <c r="B48" s="244"/>
      <c r="C48" s="244"/>
      <c r="D48" s="244"/>
      <c r="E48" s="244"/>
      <c r="F48" s="244"/>
      <c r="G48" s="244"/>
      <c r="H48" s="244"/>
      <c r="I48" s="244"/>
      <c r="J48" s="244"/>
      <c r="K48" s="244"/>
      <c r="L48" s="244"/>
      <c r="M48" s="244"/>
      <c r="N48" s="244"/>
      <c r="O48" s="244"/>
      <c r="P48" s="244"/>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c r="AT48" s="244"/>
      <c r="AU48" s="244"/>
      <c r="AV48" s="244"/>
    </row>
    <row r="49">
      <c r="A49" s="244"/>
      <c r="B49" s="244"/>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row>
    <row r="50">
      <c r="A50" s="244"/>
      <c r="B50" s="244"/>
      <c r="C50" s="244"/>
      <c r="D50" s="244"/>
      <c r="E50" s="244"/>
      <c r="F50" s="244"/>
      <c r="G50" s="244"/>
      <c r="H50" s="244"/>
      <c r="I50" s="244"/>
      <c r="J50" s="244"/>
      <c r="K50" s="244"/>
      <c r="L50" s="244"/>
      <c r="M50" s="244"/>
      <c r="N50" s="244"/>
      <c r="O50" s="244"/>
      <c r="P50" s="244"/>
      <c r="Q50" s="244"/>
      <c r="R50" s="244"/>
      <c r="S50" s="244"/>
      <c r="T50" s="244"/>
      <c r="U50" s="244"/>
      <c r="V50" s="244"/>
      <c r="W50" s="244"/>
      <c r="X50" s="244"/>
      <c r="Y50" s="244"/>
      <c r="Z50" s="244"/>
      <c r="AA50" s="244"/>
      <c r="AB50" s="244"/>
      <c r="AC50" s="244"/>
      <c r="AD50" s="244"/>
      <c r="AE50" s="244"/>
      <c r="AF50" s="244"/>
      <c r="AG50" s="244"/>
      <c r="AH50" s="244"/>
      <c r="AI50" s="244"/>
      <c r="AJ50" s="244"/>
      <c r="AK50" s="244"/>
      <c r="AL50" s="244"/>
      <c r="AM50" s="244"/>
      <c r="AN50" s="244"/>
      <c r="AO50" s="244"/>
      <c r="AP50" s="244"/>
      <c r="AQ50" s="244"/>
      <c r="AR50" s="244"/>
      <c r="AS50" s="244"/>
      <c r="AT50" s="244"/>
      <c r="AU50" s="244"/>
      <c r="AV50" s="244"/>
    </row>
    <row r="51">
      <c r="A51" s="244"/>
      <c r="B51" s="244"/>
      <c r="C51" s="244"/>
      <c r="D51" s="244"/>
      <c r="E51" s="244"/>
      <c r="F51" s="244"/>
      <c r="G51" s="244"/>
      <c r="H51" s="244"/>
      <c r="I51" s="244"/>
      <c r="J51" s="244"/>
      <c r="K51" s="244"/>
      <c r="L51" s="244"/>
      <c r="M51" s="244"/>
      <c r="N51" s="244"/>
      <c r="O51" s="244"/>
      <c r="P51" s="244"/>
      <c r="Q51" s="244"/>
      <c r="R51" s="244"/>
      <c r="S51" s="244"/>
      <c r="T51" s="244"/>
      <c r="U51" s="244"/>
      <c r="V51" s="244"/>
      <c r="W51" s="244"/>
      <c r="X51" s="244"/>
      <c r="Y51" s="244"/>
      <c r="Z51" s="244"/>
      <c r="AA51" s="244"/>
      <c r="AB51" s="244"/>
      <c r="AC51" s="244"/>
      <c r="AD51" s="244"/>
      <c r="AE51" s="244"/>
      <c r="AF51" s="244"/>
      <c r="AG51" s="244"/>
      <c r="AH51" s="244"/>
      <c r="AI51" s="244"/>
      <c r="AJ51" s="244"/>
      <c r="AK51" s="244"/>
      <c r="AL51" s="244"/>
      <c r="AM51" s="244"/>
      <c r="AN51" s="244"/>
      <c r="AO51" s="244"/>
      <c r="AP51" s="244"/>
      <c r="AQ51" s="244"/>
      <c r="AR51" s="244"/>
      <c r="AS51" s="244"/>
      <c r="AT51" s="244"/>
      <c r="AU51" s="244"/>
      <c r="AV51" s="244"/>
    </row>
    <row r="52">
      <c r="A52" s="244"/>
      <c r="B52" s="244"/>
      <c r="C52" s="244"/>
      <c r="D52" s="244"/>
      <c r="E52" s="244"/>
      <c r="F52" s="244"/>
      <c r="G52" s="244"/>
      <c r="H52" s="244"/>
      <c r="I52" s="244"/>
      <c r="J52" s="244"/>
      <c r="K52" s="244"/>
      <c r="L52" s="244"/>
      <c r="M52" s="244"/>
      <c r="N52" s="244"/>
      <c r="O52" s="244"/>
      <c r="P52" s="244"/>
      <c r="Q52" s="244"/>
      <c r="R52" s="244"/>
      <c r="S52" s="244"/>
      <c r="T52" s="244"/>
      <c r="U52" s="244"/>
      <c r="V52" s="244"/>
      <c r="W52" s="244"/>
      <c r="X52" s="244"/>
      <c r="Y52" s="244"/>
      <c r="Z52" s="244"/>
      <c r="AA52" s="244"/>
      <c r="AB52" s="244"/>
      <c r="AC52" s="244"/>
      <c r="AD52" s="244"/>
      <c r="AE52" s="244"/>
      <c r="AF52" s="244"/>
      <c r="AG52" s="244"/>
      <c r="AH52" s="244"/>
      <c r="AI52" s="244"/>
      <c r="AJ52" s="244"/>
      <c r="AK52" s="244"/>
      <c r="AL52" s="244"/>
      <c r="AM52" s="244"/>
      <c r="AN52" s="244"/>
      <c r="AO52" s="244"/>
      <c r="AP52" s="244"/>
      <c r="AQ52" s="244"/>
      <c r="AR52" s="244"/>
      <c r="AS52" s="244"/>
      <c r="AT52" s="244"/>
      <c r="AU52" s="244"/>
      <c r="AV52" s="244"/>
    </row>
    <row r="53">
      <c r="A53" s="244"/>
      <c r="B53" s="244"/>
      <c r="C53" s="244"/>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c r="AD53" s="244"/>
      <c r="AE53" s="244"/>
      <c r="AF53" s="244"/>
      <c r="AG53" s="244"/>
      <c r="AH53" s="244"/>
      <c r="AI53" s="244"/>
      <c r="AJ53" s="244"/>
      <c r="AK53" s="244"/>
      <c r="AL53" s="244"/>
      <c r="AM53" s="244"/>
      <c r="AN53" s="244"/>
      <c r="AO53" s="244"/>
      <c r="AP53" s="244"/>
      <c r="AQ53" s="244"/>
      <c r="AR53" s="244"/>
      <c r="AS53" s="244"/>
      <c r="AT53" s="244"/>
      <c r="AU53" s="244"/>
      <c r="AV53" s="244"/>
    </row>
    <row r="54">
      <c r="A54" s="244"/>
      <c r="B54" s="244"/>
      <c r="C54" s="244"/>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c r="AD54" s="244"/>
      <c r="AE54" s="244"/>
      <c r="AF54" s="244"/>
      <c r="AG54" s="244"/>
      <c r="AH54" s="244"/>
      <c r="AI54" s="244"/>
      <c r="AJ54" s="244"/>
      <c r="AK54" s="244"/>
      <c r="AL54" s="244"/>
      <c r="AM54" s="244"/>
      <c r="AN54" s="244"/>
      <c r="AO54" s="244"/>
      <c r="AP54" s="244"/>
      <c r="AQ54" s="244"/>
      <c r="AR54" s="244"/>
      <c r="AS54" s="244"/>
      <c r="AT54" s="244"/>
      <c r="AU54" s="244"/>
      <c r="AV54" s="244"/>
    </row>
    <row r="55">
      <c r="A55" s="244"/>
      <c r="B55" s="244"/>
      <c r="C55" s="244"/>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row>
    <row r="56">
      <c r="A56" s="244"/>
      <c r="B56" s="244"/>
      <c r="C56" s="244"/>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row>
    <row r="57">
      <c r="A57" s="244"/>
      <c r="B57" s="244"/>
      <c r="C57" s="244"/>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row>
    <row r="58">
      <c r="A58" s="244"/>
      <c r="B58" s="244"/>
      <c r="C58" s="244"/>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row>
    <row r="59">
      <c r="A59" s="244"/>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row>
    <row r="60">
      <c r="A60" s="244"/>
      <c r="B60" s="244"/>
      <c r="C60" s="244"/>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row>
    <row r="61">
      <c r="A61" s="244"/>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row>
    <row r="62">
      <c r="A62" s="244"/>
      <c r="B62" s="244"/>
      <c r="C62" s="244"/>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row>
    <row r="63">
      <c r="A63" s="244"/>
      <c r="B63" s="244"/>
      <c r="C63" s="244"/>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row>
    <row r="70">
      <c r="A70" s="244"/>
      <c r="B70" s="244"/>
      <c r="C70" s="244"/>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row>
    <row r="71">
      <c r="A71" s="244"/>
      <c r="B71" s="244"/>
      <c r="C71" s="244"/>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row>
    <row r="72">
      <c r="A72" s="244"/>
      <c r="B72" s="244"/>
      <c r="C72" s="244"/>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row>
    <row r="73">
      <c r="A73" s="244"/>
      <c r="B73" s="244"/>
      <c r="C73" s="244"/>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row>
    <row r="74">
      <c r="A74" s="244"/>
      <c r="B74" s="244"/>
      <c r="C74" s="244"/>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row>
    <row r="75">
      <c r="A75" s="244"/>
      <c r="B75" s="244"/>
      <c r="C75" s="244"/>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row>
    <row r="76">
      <c r="A76" s="244"/>
      <c r="B76" s="244"/>
      <c r="C76" s="244"/>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row>
    <row r="77">
      <c r="A77" s="244"/>
      <c r="B77" s="244"/>
      <c r="C77" s="244"/>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row>
    <row r="78">
      <c r="A78" s="244"/>
      <c r="B78" s="244"/>
      <c r="C78" s="244"/>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row>
    <row r="79">
      <c r="A79" s="244"/>
      <c r="B79" s="244"/>
      <c r="C79" s="244"/>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row>
  </sheetData>
  <mergeCells count="11">
    <mergeCell ref="B40:S40"/>
    <mergeCell ref="D25:F25"/>
    <mergeCell ref="H25:J25"/>
    <mergeCell ref="L25:N25"/>
    <mergeCell ref="P25:R25"/>
    <mergeCell ref="B6:S6"/>
    <mergeCell ref="B23:S23"/>
    <mergeCell ref="D8:F8"/>
    <mergeCell ref="H8:J8"/>
    <mergeCell ref="L8:N8"/>
    <mergeCell ref="P8:R8"/>
  </mergeCells>
  <phoneticPr fontId="0" type="noConversion"/>
  <printOptions horizontalCentered="1" verticalCentered="1"/>
  <pageMargins left="0.25" right="0.25" top="0.3" bottom="0.3" header="0" footer="0"/>
  <pageSetup scale="89" orientation="landscape" r:id="rId1"/>
  <headerFooter alignWithMargins="0">
    <oddHeader/>
    <oddFooter/>
  </headerFooter>
  <drawing r:id="rId26"/>
</worksheet>
</file>

<file path=xl/worksheets/sheet2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pageSetUpPr fitToPage="1"/>
  </sheetPr>
  <dimension ref="A1:BM103"/>
  <sheetViews>
    <sheetView showGridLines="0" zoomScale="65" zoomScaleNormal="75" workbookViewId="0"/>
  </sheetViews>
  <sheetFormatPr defaultRowHeight="12.75"/>
  <cols>
    <col min="1" max="1" width="1" customWidth="1"/>
    <col min="2" max="2" width="20.28515625" customWidth="1"/>
    <col min="3" max="33" width="8.28515625" customWidth="1"/>
    <col min="34" max="34" width="1.7109375" customWidth="1"/>
    <col min="35" max="37" width="8.28515625" customWidth="1"/>
    <col min="38" max="38" width="3.7109375" customWidth="1"/>
    <col min="39" max="40" width="9.28515625" customWidth="1"/>
  </cols>
  <sheetData>
    <row r="1" ht="36" customHeight="1">
      <c r="A1" s="6"/>
      <c r="B1" s="39" t="s">
        <v>119</v>
      </c>
      <c r="AM1" s="244"/>
      <c r="AN1" s="244"/>
      <c r="AO1" s="244"/>
      <c r="AP1" s="244"/>
      <c r="AQ1" s="244"/>
      <c r="AR1" s="244"/>
      <c r="AS1" s="244"/>
      <c r="AT1" s="244"/>
      <c r="AU1" s="244"/>
      <c r="AV1" s="244"/>
      <c r="AW1" s="244"/>
      <c r="AX1" s="244"/>
      <c r="AY1" s="244"/>
      <c r="AZ1" s="244"/>
      <c r="BA1" s="244"/>
      <c r="BB1" s="244"/>
      <c r="BC1" s="244"/>
      <c r="BD1" s="244"/>
      <c r="BE1" s="244"/>
      <c r="BF1" s="244"/>
      <c r="BG1" s="244"/>
      <c r="BH1" s="244"/>
      <c r="BI1" s="244"/>
      <c r="BJ1" s="244"/>
      <c r="BK1" s="244"/>
      <c r="BL1" s="244"/>
      <c r="BM1" s="244"/>
    </row>
    <row r="2" ht="15" customHeight="1">
      <c r="A2" s="5"/>
      <c r="B2" s="10" t="s">
        <v>141</v>
      </c>
      <c r="AD2" s="9"/>
      <c r="AE2" s="9"/>
      <c r="AF2" s="216"/>
      <c r="AG2" s="176"/>
      <c r="AI2" s="216"/>
      <c r="AM2" s="244"/>
      <c r="AN2" s="244"/>
      <c r="AO2" s="244"/>
      <c r="AP2" s="244"/>
      <c r="AQ2" s="244"/>
      <c r="AR2" s="244"/>
      <c r="AS2" s="244"/>
      <c r="AT2" s="244"/>
      <c r="AU2" s="244"/>
      <c r="AV2" s="244"/>
      <c r="AW2" s="244"/>
      <c r="AX2" s="244"/>
      <c r="AY2" s="244"/>
      <c r="AZ2" s="244"/>
      <c r="BA2" s="244"/>
      <c r="BB2" s="244"/>
      <c r="BC2" s="244"/>
      <c r="BD2" s="244"/>
      <c r="BE2" s="244"/>
      <c r="BF2" s="244"/>
      <c r="BG2" s="244"/>
      <c r="BH2" s="244"/>
      <c r="BI2" s="244"/>
      <c r="BJ2" s="244"/>
      <c r="BK2" s="244"/>
      <c r="BL2" s="244"/>
      <c r="BM2" s="244"/>
    </row>
    <row r="3" ht="15" customHeight="1">
      <c r="A3" s="5"/>
      <c r="B3" s="10" t="s">
        <v>142</v>
      </c>
      <c r="AF3" s="176"/>
      <c r="AG3" s="176"/>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row>
    <row r="4" ht="15" customHeight="1">
      <c r="A4" s="5"/>
      <c r="B4" s="4" t="s">
        <v>143</v>
      </c>
      <c r="T4" s="652"/>
      <c r="U4" s="652"/>
      <c r="V4" s="652"/>
      <c r="W4" s="652"/>
      <c r="X4" s="652"/>
      <c r="Y4" s="652"/>
      <c r="Z4" s="652"/>
      <c r="AA4" s="652"/>
      <c r="AB4" s="652"/>
      <c r="AC4" s="652"/>
      <c r="AD4" s="652"/>
      <c r="AE4" s="652"/>
      <c r="AF4" s="652"/>
      <c r="AG4" s="652"/>
      <c r="AH4" s="652"/>
      <c r="AI4" s="652"/>
      <c r="AM4" s="244"/>
      <c r="AN4" s="244"/>
      <c r="AO4" s="244"/>
      <c r="AP4" s="244"/>
      <c r="AQ4" s="244"/>
      <c r="AR4" s="244"/>
      <c r="AS4" s="244"/>
      <c r="AT4" s="244"/>
      <c r="AU4" s="244"/>
      <c r="AV4" s="244"/>
      <c r="AW4" s="244"/>
      <c r="AX4" s="244"/>
      <c r="AY4" s="244"/>
      <c r="AZ4" s="244"/>
      <c r="BA4" s="244"/>
      <c r="BB4" s="244"/>
      <c r="BC4" s="244"/>
      <c r="BD4" s="244"/>
      <c r="BE4" s="244"/>
      <c r="BF4" s="244"/>
      <c r="BG4" s="244"/>
      <c r="BH4" s="244"/>
      <c r="BI4" s="244"/>
      <c r="BJ4" s="244"/>
      <c r="BK4" s="244"/>
      <c r="BL4" s="244"/>
      <c r="BM4" s="244"/>
    </row>
    <row r="5" ht="24" customHeight="1">
      <c r="A5" s="5"/>
      <c r="AM5" s="244"/>
      <c r="AN5" s="244"/>
      <c r="AO5" s="244"/>
      <c r="AP5" s="244"/>
      <c r="AQ5" s="244"/>
      <c r="AR5" s="244"/>
      <c r="AS5" s="244"/>
      <c r="AT5" s="244"/>
      <c r="AU5" s="244"/>
      <c r="AV5" s="244"/>
      <c r="AW5" s="244"/>
      <c r="AX5" s="244"/>
      <c r="AY5" s="244"/>
      <c r="AZ5" s="244"/>
      <c r="BA5" s="244"/>
      <c r="BB5" s="244"/>
      <c r="BC5" s="244"/>
      <c r="BD5" s="244"/>
      <c r="BE5" s="244"/>
      <c r="BF5" s="244"/>
      <c r="BG5" s="244"/>
      <c r="BH5" s="244"/>
      <c r="BI5" s="244"/>
      <c r="BJ5" s="244"/>
      <c r="BK5" s="244"/>
      <c r="BL5" s="244"/>
      <c r="BM5" s="244"/>
    </row>
    <row r="6" ht="24" customHeight="1">
      <c r="A6" s="5"/>
      <c r="B6" t="s">
        <v>144</v>
      </c>
      <c r="AM6" s="244"/>
      <c r="AN6" s="244"/>
      <c r="AO6" s="244"/>
      <c r="AP6" s="244"/>
      <c r="AQ6" s="244"/>
      <c r="AR6" s="244"/>
      <c r="AS6" s="244"/>
      <c r="AT6" s="244"/>
      <c r="AU6" s="244"/>
      <c r="AV6" s="244"/>
      <c r="AW6" s="244"/>
      <c r="AX6" s="244"/>
      <c r="AY6" s="244"/>
      <c r="AZ6" s="244"/>
      <c r="BA6" s="244"/>
      <c r="BB6" s="244"/>
      <c r="BC6" s="244"/>
      <c r="BD6" s="244"/>
      <c r="BE6" s="244"/>
      <c r="BF6" s="244"/>
      <c r="BG6" s="244"/>
      <c r="BH6" s="244"/>
      <c r="BI6" s="244"/>
      <c r="BJ6" s="244"/>
      <c r="BK6" s="244"/>
      <c r="BL6" s="244"/>
      <c r="BM6" s="244"/>
    </row>
    <row r="7" ht="24" customHeight="1">
      <c r="A7" s="5"/>
      <c r="Y7" s="26"/>
      <c r="Z7" s="26"/>
      <c r="AA7" s="26"/>
      <c r="AB7" s="26"/>
      <c r="AC7" s="26"/>
      <c r="AM7" s="244"/>
      <c r="AN7" s="244"/>
      <c r="AO7" s="244"/>
      <c r="AP7" s="244"/>
      <c r="AQ7" s="244"/>
      <c r="AR7" s="244"/>
      <c r="AS7" s="244"/>
      <c r="AT7" s="244"/>
      <c r="AU7" s="244"/>
      <c r="AV7" s="244"/>
      <c r="AW7" s="244"/>
      <c r="AX7" s="244"/>
      <c r="AY7" s="244"/>
      <c r="AZ7" s="244"/>
      <c r="BA7" s="244"/>
      <c r="BB7" s="244"/>
      <c r="BC7" s="244"/>
      <c r="BD7" s="244"/>
      <c r="BE7" s="244"/>
      <c r="BF7" s="244"/>
      <c r="BG7" s="244"/>
      <c r="BH7" s="244"/>
      <c r="BI7" s="244"/>
      <c r="BJ7" s="244"/>
      <c r="BK7" s="244"/>
      <c r="BL7" s="244"/>
      <c r="BM7" s="244"/>
    </row>
    <row r="8" ht="24" customHeight="1">
      <c r="A8" s="5"/>
      <c r="AM8" s="244"/>
      <c r="AN8" s="244"/>
      <c r="AO8" s="244"/>
      <c r="AP8" s="244"/>
      <c r="AQ8" s="244"/>
      <c r="AR8" s="244"/>
      <c r="AS8" s="244"/>
      <c r="AT8" s="244"/>
      <c r="AU8" s="244"/>
      <c r="AV8" s="244"/>
      <c r="AW8" s="244"/>
      <c r="AX8" s="244"/>
      <c r="AY8" s="244"/>
      <c r="AZ8" s="244"/>
      <c r="BA8" s="244"/>
      <c r="BB8" s="244"/>
      <c r="BC8" s="244"/>
      <c r="BD8" s="244"/>
      <c r="BE8" s="244"/>
      <c r="BF8" s="244"/>
      <c r="BG8" s="244"/>
      <c r="BH8" s="244"/>
      <c r="BI8" s="244"/>
      <c r="BJ8" s="244"/>
      <c r="BK8" s="244"/>
      <c r="BL8" s="244"/>
      <c r="BM8" s="244"/>
    </row>
    <row r="9" ht="24" customHeight="1">
      <c r="A9" s="5"/>
      <c r="AM9" s="244"/>
      <c r="AN9" s="244"/>
      <c r="AO9" s="244"/>
      <c r="AP9" s="244"/>
      <c r="AQ9" s="244"/>
      <c r="AR9" s="244"/>
      <c r="AS9" s="244"/>
      <c r="AT9" s="244"/>
      <c r="AU9" s="244"/>
      <c r="AV9" s="244"/>
      <c r="AW9" s="244"/>
      <c r="AX9" s="244"/>
      <c r="AY9" s="244"/>
      <c r="AZ9" s="244"/>
      <c r="BA9" s="244"/>
      <c r="BB9" s="244"/>
      <c r="BC9" s="244"/>
      <c r="BD9" s="244"/>
      <c r="BE9" s="244"/>
      <c r="BF9" s="244"/>
      <c r="BG9" s="244"/>
      <c r="BH9" s="244"/>
      <c r="BI9" s="244"/>
      <c r="BJ9" s="244"/>
      <c r="BK9" s="244"/>
      <c r="BL9" s="244"/>
      <c r="BM9" s="244"/>
    </row>
    <row r="10" ht="24" customHeight="1">
      <c r="A10" s="5"/>
      <c r="AM10" s="244"/>
      <c r="AN10" s="244"/>
      <c r="AO10" s="244"/>
      <c r="AP10" s="244"/>
      <c r="AQ10" s="244"/>
      <c r="AR10" s="244"/>
      <c r="AS10" s="244"/>
      <c r="AT10" s="244"/>
      <c r="AU10" s="244"/>
      <c r="AV10" s="244"/>
      <c r="AW10" s="244"/>
      <c r="AX10" s="244"/>
      <c r="AY10" s="244"/>
      <c r="AZ10" s="244"/>
      <c r="BA10" s="244"/>
      <c r="BB10" s="244"/>
      <c r="BC10" s="244"/>
      <c r="BD10" s="244"/>
      <c r="BE10" s="244"/>
      <c r="BF10" s="244"/>
      <c r="BG10" s="244"/>
      <c r="BH10" s="244"/>
      <c r="BI10" s="244"/>
      <c r="BJ10" s="244"/>
      <c r="BK10" s="244"/>
      <c r="BL10" s="244"/>
      <c r="BM10" s="244"/>
    </row>
    <row r="11" ht="24" customHeight="1">
      <c r="A11" s="5"/>
      <c r="AM11" s="244"/>
      <c r="AN11" s="244"/>
      <c r="AO11" s="244"/>
      <c r="AP11" s="244"/>
      <c r="AQ11" s="244"/>
      <c r="AR11" s="244"/>
      <c r="AS11" s="244"/>
      <c r="AT11" s="244"/>
      <c r="AU11" s="244"/>
      <c r="AV11" s="244"/>
      <c r="AW11" s="244"/>
      <c r="AX11" s="244"/>
      <c r="AY11" s="244"/>
      <c r="AZ11" s="244"/>
      <c r="BA11" s="244"/>
      <c r="BB11" s="244"/>
      <c r="BC11" s="244"/>
      <c r="BD11" s="244"/>
      <c r="BE11" s="244"/>
      <c r="BF11" s="244"/>
      <c r="BG11" s="244"/>
      <c r="BH11" s="244"/>
      <c r="BI11" s="244"/>
      <c r="BJ11" s="244"/>
      <c r="BK11" s="244"/>
      <c r="BL11" s="244"/>
      <c r="BM11" s="244"/>
    </row>
    <row r="12" ht="24" customHeight="1">
      <c r="A12" s="5"/>
      <c r="AM12" s="244"/>
      <c r="AN12" s="244"/>
      <c r="AO12" s="244"/>
      <c r="AP12" s="244"/>
      <c r="AQ12" s="244"/>
      <c r="AR12" s="244"/>
      <c r="AS12" s="244"/>
      <c r="AT12" s="244"/>
      <c r="AU12" s="244"/>
      <c r="AV12" s="244"/>
      <c r="AW12" s="244"/>
      <c r="AX12" s="244"/>
      <c r="AY12" s="244"/>
      <c r="AZ12" s="244"/>
      <c r="BA12" s="244"/>
      <c r="BB12" s="244"/>
      <c r="BC12" s="244"/>
      <c r="BD12" s="244"/>
      <c r="BE12" s="244"/>
      <c r="BF12" s="244"/>
      <c r="BG12" s="244"/>
      <c r="BH12" s="244"/>
      <c r="BI12" s="244"/>
      <c r="BJ12" s="244"/>
      <c r="BK12" s="244"/>
      <c r="BL12" s="244"/>
      <c r="BM12" s="244"/>
    </row>
    <row r="13" ht="24" customHeight="1">
      <c r="A13" s="5"/>
      <c r="AM13" s="244"/>
      <c r="AN13" s="244"/>
      <c r="AO13" s="244"/>
      <c r="AP13" s="244"/>
      <c r="AQ13" s="244"/>
      <c r="AR13" s="244"/>
      <c r="AS13" s="244"/>
      <c r="AT13" s="244"/>
      <c r="AU13" s="244"/>
      <c r="AV13" s="244"/>
      <c r="AW13" s="244"/>
      <c r="AX13" s="244"/>
      <c r="AY13" s="244"/>
      <c r="AZ13" s="244"/>
      <c r="BA13" s="244"/>
      <c r="BB13" s="244"/>
      <c r="BC13" s="244"/>
      <c r="BD13" s="244"/>
      <c r="BE13" s="244"/>
      <c r="BF13" s="244"/>
      <c r="BG13" s="244"/>
      <c r="BH13" s="244"/>
      <c r="BI13" s="244"/>
      <c r="BJ13" s="244"/>
      <c r="BK13" s="244"/>
      <c r="BL13" s="244"/>
      <c r="BM13" s="244"/>
    </row>
    <row r="14" ht="24" customHeight="1">
      <c r="A14" s="5"/>
      <c r="AM14" s="244"/>
      <c r="AN14" s="244"/>
      <c r="AO14" s="244"/>
      <c r="AP14" s="244"/>
      <c r="AQ14" s="244"/>
      <c r="AR14" s="244"/>
      <c r="AS14" s="244"/>
      <c r="AT14" s="244"/>
      <c r="AU14" s="244"/>
      <c r="AV14" s="244"/>
      <c r="AW14" s="244"/>
      <c r="AX14" s="244"/>
      <c r="AY14" s="244"/>
      <c r="AZ14" s="244"/>
      <c r="BA14" s="244"/>
      <c r="BB14" s="244"/>
      <c r="BC14" s="244"/>
      <c r="BD14" s="244"/>
      <c r="BE14" s="244"/>
      <c r="BF14" s="244"/>
      <c r="BG14" s="244"/>
      <c r="BH14" s="244"/>
      <c r="BI14" s="244"/>
      <c r="BJ14" s="244"/>
      <c r="BK14" s="244"/>
      <c r="BL14" s="244"/>
      <c r="BM14" s="244"/>
    </row>
    <row r="15" ht="24" customHeight="1">
      <c r="A15" s="5"/>
      <c r="AM15" s="244"/>
      <c r="AN15" s="244"/>
      <c r="AO15" s="244"/>
      <c r="AP15" s="244"/>
      <c r="AQ15" s="244"/>
      <c r="AR15" s="244"/>
      <c r="AS15" s="244"/>
      <c r="AT15" s="244"/>
      <c r="AU15" s="244"/>
      <c r="AV15" s="244"/>
      <c r="AW15" s="244"/>
      <c r="AX15" s="244"/>
      <c r="AY15" s="244"/>
      <c r="AZ15" s="244"/>
      <c r="BA15" s="244"/>
      <c r="BB15" s="244"/>
      <c r="BC15" s="244"/>
      <c r="BD15" s="244"/>
      <c r="BE15" s="244"/>
      <c r="BF15" s="244"/>
      <c r="BG15" s="244"/>
      <c r="BH15" s="244"/>
      <c r="BI15" s="244"/>
      <c r="BJ15" s="244"/>
      <c r="BK15" s="244"/>
      <c r="BL15" s="244"/>
      <c r="BM15" s="244"/>
    </row>
    <row r="16" ht="24" customHeight="1">
      <c r="A16" s="5"/>
      <c r="AM16" s="244"/>
      <c r="AN16" s="244"/>
      <c r="AO16" s="244"/>
      <c r="AP16" s="244"/>
      <c r="AQ16" s="244"/>
      <c r="AR16" s="244"/>
      <c r="AS16" s="244"/>
      <c r="AT16" s="244"/>
      <c r="AU16" s="244"/>
      <c r="AV16" s="244"/>
      <c r="AW16" s="244"/>
      <c r="AX16" s="244"/>
      <c r="AY16" s="244"/>
      <c r="AZ16" s="244"/>
      <c r="BA16" s="244"/>
      <c r="BB16" s="244"/>
      <c r="BC16" s="244"/>
      <c r="BD16" s="244"/>
      <c r="BE16" s="244"/>
      <c r="BF16" s="244"/>
      <c r="BG16" s="244"/>
      <c r="BH16" s="244"/>
      <c r="BI16" s="244"/>
      <c r="BJ16" s="244"/>
      <c r="BK16" s="244"/>
      <c r="BL16" s="244"/>
      <c r="BM16" s="244"/>
    </row>
    <row r="17" ht="24" customHeight="1">
      <c r="A17" s="5"/>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row>
    <row r="18" ht="24" customHeight="1">
      <c r="A18" s="5"/>
      <c r="AM18" s="244"/>
      <c r="AN18" s="244"/>
      <c r="AO18" s="244"/>
      <c r="AP18" s="244"/>
      <c r="AQ18" s="244"/>
      <c r="AR18" s="244"/>
      <c r="AS18" s="244"/>
      <c r="AT18" s="244"/>
      <c r="AU18" s="244"/>
      <c r="AV18" s="244"/>
      <c r="AW18" s="244"/>
      <c r="AX18" s="244"/>
      <c r="AY18" s="244"/>
      <c r="AZ18" s="244"/>
      <c r="BA18" s="244"/>
      <c r="BB18" s="244"/>
      <c r="BC18" s="244"/>
      <c r="BD18" s="244"/>
      <c r="BE18" s="244"/>
      <c r="BF18" s="244"/>
      <c r="BG18" s="244"/>
      <c r="BH18" s="244"/>
      <c r="BI18" s="244"/>
      <c r="BJ18" s="244"/>
      <c r="BK18" s="244"/>
      <c r="BL18" s="244"/>
      <c r="BM18" s="244"/>
    </row>
    <row r="19" ht="15" customHeight="1">
      <c r="A19" s="5"/>
      <c r="AM19" s="244"/>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4"/>
      <c r="BK19" s="244"/>
      <c r="BL19" s="244"/>
      <c r="BM19" s="244"/>
    </row>
    <row r="20" ht="15" customHeight="1">
      <c r="A20" s="5"/>
      <c r="AM20" s="244"/>
      <c r="AN20" s="244"/>
      <c r="AO20" s="244"/>
      <c r="AP20" s="244"/>
      <c r="AQ20" s="244"/>
      <c r="AR20" s="244"/>
      <c r="AS20" s="244"/>
      <c r="AT20" s="244"/>
      <c r="AU20" s="244"/>
      <c r="AV20" s="244"/>
      <c r="AW20" s="244"/>
      <c r="AX20" s="244"/>
      <c r="AY20" s="244"/>
      <c r="AZ20" s="244"/>
      <c r="BA20" s="244"/>
      <c r="BB20" s="244"/>
      <c r="BC20" s="244"/>
      <c r="BD20" s="244"/>
      <c r="BE20" s="244"/>
      <c r="BF20" s="244"/>
      <c r="BG20" s="244"/>
      <c r="BH20" s="244"/>
      <c r="BI20" s="244"/>
      <c r="BJ20" s="244"/>
      <c r="BK20" s="244"/>
      <c r="BL20" s="244"/>
      <c r="BM20" s="244"/>
    </row>
    <row r="21" ht="30.75" customHeight="1">
      <c r="AM21" s="244"/>
      <c r="AN21" s="244"/>
      <c r="AO21" s="244"/>
      <c r="AP21" s="244"/>
      <c r="AQ21" s="244"/>
      <c r="AR21" s="244"/>
      <c r="AS21" s="244"/>
      <c r="AT21" s="244"/>
      <c r="AU21" s="244"/>
      <c r="AV21" s="244"/>
      <c r="AW21" s="244"/>
      <c r="AX21" s="244"/>
      <c r="AY21" s="244"/>
      <c r="AZ21" s="244"/>
      <c r="BA21" s="244"/>
      <c r="BB21" s="244"/>
      <c r="BC21" s="244"/>
      <c r="BD21" s="244"/>
      <c r="BE21" s="244"/>
      <c r="BF21" s="244"/>
      <c r="BG21" s="244"/>
      <c r="BH21" s="244"/>
      <c r="BI21" s="244"/>
      <c r="BJ21" s="244"/>
      <c r="BK21" s="244"/>
      <c r="BL21" s="244"/>
      <c r="BM21" s="244"/>
    </row>
    <row r="22" ht="18" customHeight="1">
      <c r="A22" s="8"/>
      <c r="B22" s="29"/>
      <c r="X22" s="653"/>
      <c r="Y22" s="653"/>
      <c r="Z22" s="653"/>
      <c r="AA22" s="653"/>
      <c r="AB22" s="653"/>
      <c r="AC22" s="653"/>
      <c r="AD22" s="653"/>
      <c r="AM22" s="244"/>
      <c r="AN22" s="244"/>
      <c r="AO22" s="244"/>
      <c r="AP22" s="244"/>
      <c r="AQ22" s="244"/>
      <c r="AR22" s="244"/>
      <c r="AS22" s="244"/>
      <c r="AT22" s="244"/>
      <c r="AU22" s="244"/>
      <c r="AV22" s="244"/>
      <c r="AW22" s="244"/>
      <c r="AX22" s="244"/>
      <c r="AY22" s="244"/>
      <c r="AZ22" s="244"/>
      <c r="BA22" s="244"/>
      <c r="BB22" s="244"/>
      <c r="BC22" s="244"/>
      <c r="BD22" s="244"/>
      <c r="BE22" s="244"/>
      <c r="BF22" s="244"/>
      <c r="BG22" s="244"/>
      <c r="BH22" s="244"/>
      <c r="BI22" s="244"/>
      <c r="BJ22" s="244"/>
      <c r="BK22" s="244"/>
      <c r="BL22" s="244"/>
      <c r="BM22" s="244"/>
    </row>
    <row r="23" s="21" customFormat="1" ht="16.5">
      <c r="C23" s="50" t="s">
        <v>52</v>
      </c>
      <c r="D23" s="50" t="s">
        <v>53</v>
      </c>
      <c r="E23" s="50" t="s">
        <v>49</v>
      </c>
      <c r="F23" s="50" t="s">
        <v>47</v>
      </c>
      <c r="G23" s="50" t="s">
        <v>48</v>
      </c>
      <c r="H23" s="50" t="s">
        <v>50</v>
      </c>
      <c r="I23" s="50" t="s">
        <v>51</v>
      </c>
      <c r="J23" s="50" t="s">
        <v>52</v>
      </c>
      <c r="K23" s="50" t="s">
        <v>53</v>
      </c>
      <c r="L23" s="50" t="s">
        <v>49</v>
      </c>
      <c r="M23" s="50" t="s">
        <v>47</v>
      </c>
      <c r="N23" s="50" t="s">
        <v>48</v>
      </c>
      <c r="O23" s="50" t="s">
        <v>50</v>
      </c>
      <c r="P23" s="50" t="s">
        <v>51</v>
      </c>
      <c r="Q23" s="50" t="s">
        <v>52</v>
      </c>
      <c r="R23" s="50" t="s">
        <v>53</v>
      </c>
      <c r="S23" s="50" t="s">
        <v>49</v>
      </c>
      <c r="T23" s="50" t="s">
        <v>47</v>
      </c>
      <c r="U23" s="50" t="s">
        <v>48</v>
      </c>
      <c r="V23" s="50" t="s">
        <v>50</v>
      </c>
      <c r="W23" s="50" t="s">
        <v>51</v>
      </c>
      <c r="X23" s="50" t="s">
        <v>52</v>
      </c>
      <c r="Y23" s="50" t="s">
        <v>53</v>
      </c>
      <c r="Z23" s="50" t="s">
        <v>49</v>
      </c>
      <c r="AA23" s="50" t="s">
        <v>47</v>
      </c>
      <c r="AB23" s="50" t="s">
        <v>48</v>
      </c>
      <c r="AC23" s="50" t="s">
        <v>50</v>
      </c>
      <c r="AD23" s="50" t="s">
        <v>51</v>
      </c>
      <c r="AE23" s="50" t="s">
        <v>52</v>
      </c>
      <c r="AF23" s="50" t="s">
        <v>53</v>
      </c>
      <c r="AG23" s="50" t="s">
        <v>49</v>
      </c>
      <c r="AH23" s="0"/>
      <c r="AJ23" s="0"/>
      <c r="AK23" s="0"/>
      <c r="AL23" s="0"/>
      <c r="AM23" s="244"/>
      <c r="AN23" s="244"/>
      <c r="AO23" s="246"/>
      <c r="AP23" s="246"/>
      <c r="AQ23" s="246"/>
      <c r="AR23" s="246"/>
      <c r="AS23" s="246"/>
      <c r="AT23" s="246"/>
      <c r="AU23" s="246"/>
      <c r="AV23" s="246"/>
      <c r="AW23" s="246"/>
      <c r="AX23" s="246"/>
      <c r="AY23" s="246"/>
      <c r="AZ23" s="246"/>
      <c r="BA23" s="246"/>
      <c r="BB23" s="246"/>
      <c r="BC23" s="246"/>
      <c r="BD23" s="246"/>
      <c r="BE23" s="246"/>
      <c r="BF23" s="246"/>
      <c r="BG23" s="246"/>
      <c r="BH23" s="246"/>
      <c r="BI23" s="246"/>
      <c r="BJ23" s="246"/>
      <c r="BK23" s="246"/>
      <c r="BL23" s="246"/>
      <c r="BM23" s="246"/>
    </row>
    <row r="24" s="41" customFormat="1" ht="18">
      <c r="B24" s="615" t="s">
        <v>54</v>
      </c>
      <c r="C24" s="275" t="s">
        <v>145</v>
      </c>
      <c r="D24" s="276"/>
      <c r="E24" s="276"/>
      <c r="F24" s="276"/>
      <c r="G24" s="276"/>
      <c r="H24" s="276"/>
      <c r="I24" s="276"/>
      <c r="J24" s="276"/>
      <c r="K24" s="276"/>
      <c r="L24" s="276"/>
      <c r="M24" s="276"/>
      <c r="N24" s="276"/>
      <c r="O24" s="276"/>
      <c r="P24" s="276"/>
      <c r="Q24" s="276"/>
      <c r="R24" s="276"/>
      <c r="S24" s="277"/>
      <c r="T24" s="277"/>
      <c r="U24" s="277"/>
      <c r="V24" s="277"/>
      <c r="W24" s="277"/>
      <c r="X24" s="277"/>
      <c r="Y24" s="277"/>
      <c r="Z24" s="277"/>
      <c r="AA24" s="277"/>
      <c r="AB24" s="277"/>
      <c r="AC24" s="277"/>
      <c r="AD24" s="277"/>
      <c r="AE24" s="277"/>
      <c r="AF24" s="277"/>
      <c r="AG24" s="278"/>
      <c r="AH24" s="25"/>
      <c r="AI24" s="307" t="s">
        <v>59</v>
      </c>
      <c r="AJ24" s="307" t="s">
        <v>31</v>
      </c>
      <c r="AK24" s="307" t="s">
        <v>31</v>
      </c>
      <c r="AL24" s="25"/>
      <c r="AM24" s="248"/>
      <c r="AN24" s="248"/>
      <c r="AO24" s="253"/>
      <c r="AP24" s="253"/>
      <c r="AQ24" s="253"/>
      <c r="AR24" s="253"/>
      <c r="AS24" s="253"/>
      <c r="AT24" s="253"/>
      <c r="AU24" s="253"/>
      <c r="AV24" s="253"/>
      <c r="AW24" s="253"/>
      <c r="AX24" s="253"/>
      <c r="AY24" s="253"/>
      <c r="AZ24" s="253"/>
      <c r="BA24" s="253"/>
      <c r="BB24" s="253"/>
      <c r="BC24" s="253"/>
      <c r="BD24" s="253"/>
      <c r="BE24" s="253"/>
      <c r="BF24" s="253"/>
      <c r="BG24" s="253"/>
      <c r="BH24" s="253"/>
      <c r="BI24" s="253"/>
      <c r="BJ24" s="253"/>
      <c r="BK24" s="253"/>
      <c r="BL24" s="253"/>
      <c r="BM24" s="253"/>
    </row>
    <row r="25" s="42" customFormat="1">
      <c r="B25" s="615"/>
      <c r="C25" s="284">
        <v>1</v>
      </c>
      <c r="D25">
        <v>2</v>
      </c>
      <c r="E25">
        <v>3</v>
      </c>
      <c r="F25">
        <v>4</v>
      </c>
      <c r="G25">
        <v>5</v>
      </c>
      <c r="H25">
        <v>6</v>
      </c>
      <c r="I25">
        <v>7</v>
      </c>
      <c r="J25">
        <v>8</v>
      </c>
      <c r="K25">
        <v>9</v>
      </c>
      <c r="L25">
        <v>10</v>
      </c>
      <c r="M25">
        <v>11</v>
      </c>
      <c r="N25">
        <v>12</v>
      </c>
      <c r="O25">
        <v>13</v>
      </c>
      <c r="P25">
        <v>14</v>
      </c>
      <c r="Q25">
        <v>15</v>
      </c>
      <c r="R25">
        <v>16</v>
      </c>
      <c r="S25">
        <v>17</v>
      </c>
      <c r="T25">
        <v>18</v>
      </c>
      <c r="U25">
        <v>19</v>
      </c>
      <c r="V25">
        <v>20</v>
      </c>
      <c r="W25">
        <v>21</v>
      </c>
      <c r="X25">
        <v>22</v>
      </c>
      <c r="Y25">
        <v>23</v>
      </c>
      <c r="Z25">
        <v>24</v>
      </c>
      <c r="AA25">
        <v>25</v>
      </c>
      <c r="AB25">
        <v>26</v>
      </c>
      <c r="AC25">
        <v>27</v>
      </c>
      <c r="AD25">
        <v>28</v>
      </c>
      <c r="AE25">
        <v>29</v>
      </c>
      <c r="AF25">
        <v>30</v>
      </c>
      <c r="AG25" s="285">
        <v>31</v>
      </c>
      <c r="AH25" s="25"/>
      <c r="AI25" s="308" t="s">
        <v>31</v>
      </c>
      <c r="AJ25" s="308" t="s">
        <v>88</v>
      </c>
      <c r="AK25" s="308" t="s">
        <v>89</v>
      </c>
      <c r="AL25" s="25"/>
      <c r="AM25" s="248"/>
      <c r="AN25" s="248"/>
      <c r="AO25" s="254"/>
      <c r="AP25" s="254"/>
      <c r="AQ25" s="254"/>
      <c r="AR25" s="254"/>
      <c r="AS25" s="254"/>
      <c r="AT25" s="254"/>
      <c r="AU25" s="254"/>
      <c r="AV25" s="254"/>
      <c r="AW25" s="254"/>
      <c r="AX25" s="254"/>
      <c r="AY25" s="254"/>
      <c r="AZ25" s="254"/>
      <c r="BA25" s="254"/>
      <c r="BB25" s="254"/>
      <c r="BC25" s="254"/>
      <c r="BD25" s="254"/>
      <c r="BE25" s="254"/>
      <c r="BF25" s="254"/>
      <c r="BG25" s="254"/>
      <c r="BH25" s="254"/>
      <c r="BI25" s="254"/>
      <c r="BJ25" s="254"/>
      <c r="BK25" s="254"/>
      <c r="BL25" s="254"/>
      <c r="BM25" s="254"/>
    </row>
    <row r="26" ht="14.25">
      <c r="B26" s="404" t="s">
        <v>32</v>
      </c>
      <c r="C26" s="286">
        <v>39.247311827956989247311827960</v>
      </c>
      <c r="D26" s="287">
        <v>47.311827956989247311827956990</v>
      </c>
      <c r="E26" s="287">
        <v>15.053763440860215053763440860</v>
      </c>
      <c r="F26" s="287">
        <v>18.817204301075268817204301080</v>
      </c>
      <c r="G26" s="287">
        <v>33.870967741935483870967741940</v>
      </c>
      <c r="H26" s="287">
        <v>40.860215053763440860215053760</v>
      </c>
      <c r="I26" s="287">
        <v>33.333333333333333333333333330</v>
      </c>
      <c r="J26" s="287">
        <v>70.967741935483870967741935480</v>
      </c>
      <c r="K26" s="287">
        <v>65.053763440860215053763440860</v>
      </c>
      <c r="L26" s="287"/>
      <c r="M26" s="287"/>
      <c r="N26" s="287"/>
      <c r="O26" s="287"/>
      <c r="P26" s="287"/>
      <c r="Q26" s="287"/>
      <c r="R26" s="287"/>
      <c r="S26" s="287"/>
      <c r="T26" s="287"/>
      <c r="U26" s="287"/>
      <c r="V26" s="287"/>
      <c r="W26" s="287"/>
      <c r="X26" s="287"/>
      <c r="Y26" s="287"/>
      <c r="Z26" s="287"/>
      <c r="AA26" s="287"/>
      <c r="AB26" s="287"/>
      <c r="AC26" s="287"/>
      <c r="AD26" s="287"/>
      <c r="AE26" s="287"/>
      <c r="AF26" s="287"/>
      <c r="AG26" s="288"/>
      <c r="AH26" s="218"/>
      <c r="AI26" s="302">
        <v>40.501792114695340501792114700</v>
      </c>
      <c r="AJ26" s="302">
        <v>28.387096774193548387096774190</v>
      </c>
      <c r="AK26" s="302">
        <v>55.645161290322580645161290320</v>
      </c>
      <c r="AM26" s="244"/>
      <c r="AN26" s="244"/>
      <c r="AO26" s="244"/>
      <c r="AP26" s="244"/>
      <c r="AQ26" s="244"/>
      <c r="AR26" s="244"/>
      <c r="AS26" s="244"/>
      <c r="AT26" s="244"/>
      <c r="AU26" s="244"/>
      <c r="AV26" s="244"/>
      <c r="AW26" s="244"/>
      <c r="AX26" s="244"/>
      <c r="AY26" s="244"/>
      <c r="AZ26" s="244"/>
      <c r="BA26" s="244"/>
      <c r="BB26" s="244"/>
      <c r="BC26" s="244"/>
      <c r="BD26" s="244"/>
      <c r="BE26" s="244"/>
      <c r="BF26" s="244"/>
      <c r="BG26" s="244"/>
      <c r="BH26" s="244"/>
      <c r="BI26" s="244"/>
      <c r="BJ26" s="244"/>
      <c r="BK26" s="244"/>
      <c r="BL26" s="244"/>
      <c r="BM26" s="244"/>
    </row>
    <row r="27" ht="14.25">
      <c r="B27" s="201" t="s">
        <v>26</v>
      </c>
      <c r="C27" s="289">
        <v>64.548802946593001841620626150</v>
      </c>
      <c r="D27" s="202">
        <v>61.786372007366482504604051570</v>
      </c>
      <c r="E27" s="202">
        <v>38.121546961325966850828729280</v>
      </c>
      <c r="F27" s="202">
        <v>48.526703499079189686924493550</v>
      </c>
      <c r="G27" s="202">
        <v>51.657458563535911602209944750</v>
      </c>
      <c r="H27" s="202">
        <v>48.526703499079189686924493550</v>
      </c>
      <c r="I27" s="202">
        <v>39.226519337016574585635359120</v>
      </c>
      <c r="J27" s="202">
        <v>44.751381215469613259668508290</v>
      </c>
      <c r="K27" s="202">
        <v>58.195211786372007366482504600</v>
      </c>
      <c r="L27" s="202"/>
      <c r="M27" s="202"/>
      <c r="N27" s="202"/>
      <c r="O27" s="202"/>
      <c r="P27" s="202"/>
      <c r="Q27" s="202"/>
      <c r="R27" s="202"/>
      <c r="S27" s="202"/>
      <c r="T27" s="202"/>
      <c r="U27" s="202"/>
      <c r="V27" s="202"/>
      <c r="W27" s="202"/>
      <c r="X27" s="202"/>
      <c r="Y27" s="202"/>
      <c r="Z27" s="202"/>
      <c r="AA27" s="202"/>
      <c r="AB27" s="202"/>
      <c r="AC27" s="202"/>
      <c r="AD27" s="202"/>
      <c r="AE27" s="202"/>
      <c r="AF27" s="202"/>
      <c r="AG27" s="290"/>
      <c r="AH27" s="218"/>
      <c r="AI27" s="303">
        <v>50.593411090648659709433190100</v>
      </c>
      <c r="AJ27" s="303">
        <v>45.211786372007366482504604050</v>
      </c>
      <c r="AK27" s="303">
        <v>57.320441988950276243093922650</v>
      </c>
      <c r="AM27" s="244"/>
      <c r="AN27" s="244"/>
      <c r="AO27" s="244"/>
      <c r="AP27" s="244"/>
      <c r="AQ27" s="244"/>
      <c r="AR27" s="244"/>
      <c r="AS27" s="244"/>
      <c r="AT27" s="244"/>
      <c r="AU27" s="244"/>
      <c r="AV27" s="244"/>
      <c r="AW27" s="244"/>
      <c r="AX27" s="244"/>
      <c r="AY27" s="244"/>
      <c r="AZ27" s="244"/>
      <c r="BA27" s="244"/>
      <c r="BB27" s="244"/>
      <c r="BC27" s="244"/>
      <c r="BD27" s="244"/>
      <c r="BE27" s="244"/>
      <c r="BF27" s="244"/>
      <c r="BG27" s="244"/>
      <c r="BH27" s="244"/>
      <c r="BI27" s="244"/>
      <c r="BJ27" s="244"/>
      <c r="BK27" s="244"/>
      <c r="BL27" s="244"/>
      <c r="BM27" s="244"/>
    </row>
    <row r="28" ht="14.25">
      <c r="A28" s="24"/>
      <c r="B28" s="49" t="s">
        <v>91</v>
      </c>
      <c r="C28" s="291">
        <v>60.802540150009514022152987790</v>
      </c>
      <c r="D28" s="292">
        <v>76.573241671031967094898518110</v>
      </c>
      <c r="E28" s="292">
        <v>39.488857721703694218030476370</v>
      </c>
      <c r="F28" s="292">
        <v>38.777009242806410496005686380</v>
      </c>
      <c r="G28" s="292">
        <v>65.568397447000904026515682890</v>
      </c>
      <c r="H28" s="292">
        <v>84.20150578437963421989806183</v>
      </c>
      <c r="I28" s="292">
        <v>84.97652582163214970574622954</v>
      </c>
      <c r="J28" s="292">
        <v>158.58223815202294595139418592</v>
      </c>
      <c r="K28" s="292">
        <v>111.78542262142438414542750595</v>
      </c>
      <c r="L28" s="292"/>
      <c r="M28" s="292"/>
      <c r="N28" s="292"/>
      <c r="O28" s="292"/>
      <c r="P28" s="292"/>
      <c r="Q28" s="292"/>
      <c r="R28" s="292"/>
      <c r="S28" s="292"/>
      <c r="T28" s="292"/>
      <c r="U28" s="292"/>
      <c r="V28" s="292"/>
      <c r="W28" s="292"/>
      <c r="X28" s="292"/>
      <c r="Y28" s="292"/>
      <c r="Z28" s="292"/>
      <c r="AA28" s="292"/>
      <c r="AB28" s="292"/>
      <c r="AC28" s="292"/>
      <c r="AD28" s="292"/>
      <c r="AE28" s="292"/>
      <c r="AF28" s="292"/>
      <c r="AG28" s="293"/>
      <c r="AH28" s="218"/>
      <c r="AI28" s="304">
        <v>80.05349163385500353300844155</v>
      </c>
      <c r="AJ28" s="304">
        <v>62.786939097310013245447823970</v>
      </c>
      <c r="AK28" s="304">
        <v>97.07734162447855552798063111</v>
      </c>
      <c r="AM28" s="244"/>
      <c r="AN28" s="244"/>
      <c r="AO28" s="244"/>
      <c r="AP28" s="244"/>
      <c r="AQ28" s="244"/>
      <c r="AR28" s="244"/>
      <c r="AS28" s="244"/>
      <c r="AT28" s="244"/>
      <c r="AU28" s="244"/>
      <c r="AV28" s="244"/>
      <c r="AW28" s="244"/>
      <c r="AX28" s="244"/>
      <c r="AY28" s="244"/>
      <c r="AZ28" s="244"/>
      <c r="BA28" s="244"/>
      <c r="BB28" s="244"/>
      <c r="BC28" s="244"/>
      <c r="BD28" s="244"/>
      <c r="BE28" s="244"/>
      <c r="BF28" s="244"/>
      <c r="BG28" s="244"/>
      <c r="BH28" s="244"/>
      <c r="BI28" s="244"/>
      <c r="BJ28" s="244"/>
      <c r="BK28" s="244"/>
      <c r="BL28" s="244"/>
      <c r="BM28" s="244"/>
    </row>
    <row r="29" ht="12" customHeight="1">
      <c r="B29" s="0"/>
      <c r="AI29" s="22"/>
      <c r="AJ29" s="22"/>
      <c r="AK29" s="22"/>
      <c r="AM29" s="244"/>
      <c r="AN29" s="244"/>
      <c r="AO29" s="244"/>
      <c r="AP29" s="244"/>
      <c r="AQ29" s="244"/>
      <c r="AR29" s="244"/>
      <c r="AS29" s="244"/>
      <c r="AT29" s="244"/>
      <c r="AU29" s="244"/>
      <c r="AV29" s="244"/>
      <c r="AW29" s="244"/>
      <c r="AX29" s="244"/>
      <c r="AY29" s="244"/>
      <c r="AZ29" s="244"/>
      <c r="BA29" s="244"/>
      <c r="BB29" s="244"/>
      <c r="BC29" s="244"/>
      <c r="BD29" s="244"/>
      <c r="BE29" s="244"/>
      <c r="BF29" s="244"/>
      <c r="BG29" s="244"/>
      <c r="BH29" s="244"/>
      <c r="BI29" s="244"/>
      <c r="BJ29" s="244"/>
      <c r="BK29" s="244"/>
      <c r="BL29" s="244"/>
      <c r="BM29" s="244"/>
    </row>
    <row r="30" ht="18">
      <c r="B30" s="29" t="s">
        <v>87</v>
      </c>
      <c r="AI30" s="22"/>
      <c r="AJ30" s="22"/>
      <c r="AK30" s="22"/>
      <c r="AM30" s="244"/>
      <c r="AN30" s="244"/>
      <c r="AO30" s="244"/>
      <c r="AP30" s="244"/>
      <c r="AQ30" s="244"/>
      <c r="AR30" s="244"/>
      <c r="AS30" s="244"/>
      <c r="AT30" s="244"/>
      <c r="AU30" s="244"/>
      <c r="AV30" s="244"/>
      <c r="AW30" s="244"/>
      <c r="AX30" s="244"/>
      <c r="AY30" s="244"/>
      <c r="AZ30" s="244"/>
      <c r="BA30" s="244"/>
      <c r="BB30" s="244"/>
      <c r="BC30" s="244"/>
      <c r="BD30" s="244"/>
      <c r="BE30" s="244"/>
      <c r="BF30" s="244"/>
      <c r="BG30" s="244"/>
      <c r="BH30" s="244"/>
      <c r="BI30" s="244"/>
      <c r="BJ30" s="244"/>
      <c r="BK30" s="244"/>
      <c r="BL30" s="244"/>
      <c r="BM30" s="244"/>
    </row>
    <row r="31" ht="14.25">
      <c r="B31" s="46" t="s">
        <v>32</v>
      </c>
      <c r="C31" s="286">
        <v>48.979591836765097875885054110</v>
      </c>
      <c r="D31" s="287">
        <v>83.33333333335625000000000287</v>
      </c>
      <c r="E31" s="287">
        <v>-24.324324324402045288531695200</v>
      </c>
      <c r="F31" s="287">
        <v>12.903225806225806451613354870</v>
      </c>
      <c r="G31" s="287">
        <v>28.571428571454810495626827530</v>
      </c>
      <c r="H31" s="287">
        <v>28.813559322143062338408595800</v>
      </c>
      <c r="I31" s="287">
        <v>21.568627451023298731257223900</v>
      </c>
      <c r="J31" s="287">
        <v>78.378378378195178962746718460</v>
      </c>
      <c r="K31" s="287">
        <v>28.723404255324626527840652110</v>
      </c>
      <c r="L31" s="287"/>
      <c r="M31" s="287"/>
      <c r="N31" s="287"/>
      <c r="O31" s="287"/>
      <c r="P31" s="287"/>
      <c r="Q31" s="287"/>
      <c r="R31" s="287"/>
      <c r="S31" s="287"/>
      <c r="T31" s="287"/>
      <c r="U31" s="287"/>
      <c r="V31" s="287"/>
      <c r="W31" s="287"/>
      <c r="X31" s="287"/>
      <c r="Y31" s="287"/>
      <c r="Z31" s="287"/>
      <c r="AA31" s="287"/>
      <c r="AB31" s="287"/>
      <c r="AC31" s="287"/>
      <c r="AD31" s="287"/>
      <c r="AE31" s="287"/>
      <c r="AF31" s="287"/>
      <c r="AG31" s="288"/>
      <c r="AH31" s="218"/>
      <c r="AI31" s="302">
        <v>52.702702702929693206720571180</v>
      </c>
      <c r="AJ31" s="302">
        <v>16.043956043945842289578554200</v>
      </c>
      <c r="AK31" s="302">
        <v>81.57894736855484764542946146</v>
      </c>
      <c r="AM31" s="244"/>
      <c r="AN31" s="244"/>
      <c r="AO31" s="244"/>
      <c r="AP31" s="244"/>
      <c r="AQ31" s="244"/>
      <c r="AR31" s="244"/>
      <c r="AS31" s="244"/>
      <c r="AT31" s="244"/>
      <c r="AU31" s="244"/>
      <c r="AV31" s="244"/>
      <c r="AW31" s="244"/>
      <c r="AX31" s="244"/>
      <c r="AY31" s="244"/>
      <c r="AZ31" s="244"/>
      <c r="BA31" s="244"/>
      <c r="BB31" s="244"/>
      <c r="BC31" s="244"/>
      <c r="BD31" s="244"/>
      <c r="BE31" s="244"/>
      <c r="BF31" s="244"/>
      <c r="BG31" s="244"/>
      <c r="BH31" s="244"/>
      <c r="BI31" s="244"/>
      <c r="BJ31" s="244"/>
      <c r="BK31" s="244"/>
      <c r="BL31" s="244"/>
      <c r="BM31" s="244"/>
    </row>
    <row r="32" ht="14.25">
      <c r="B32" s="201" t="s">
        <v>26</v>
      </c>
      <c r="C32" s="289">
        <v>5.8912386706923047434762370400</v>
      </c>
      <c r="D32" s="202">
        <v>17.719298245622709141274238880</v>
      </c>
      <c r="E32" s="202">
        <v>6.4267352186195280232090547200</v>
      </c>
      <c r="F32" s="202">
        <v>12.127659574594526935264968290</v>
      </c>
      <c r="G32" s="202">
        <v>8.932038834925228013950425770</v>
      </c>
      <c r="H32" s="202">
        <v>-20.272314674747070065297843860</v>
      </c>
      <c r="I32" s="202">
        <v>-25.131810193326880013343175610</v>
      </c>
      <c r="J32" s="202">
        <v>-6.3583815028533663002438961200</v>
      </c>
      <c r="K32" s="202">
        <v>21.538461538528384615384652140</v>
      </c>
      <c r="L32" s="202"/>
      <c r="M32" s="202"/>
      <c r="N32" s="202"/>
      <c r="O32" s="202"/>
      <c r="P32" s="202"/>
      <c r="Q32" s="202"/>
      <c r="R32" s="202"/>
      <c r="S32" s="202"/>
      <c r="T32" s="202"/>
      <c r="U32" s="202"/>
      <c r="V32" s="202"/>
      <c r="W32" s="202"/>
      <c r="X32" s="202"/>
      <c r="Y32" s="202"/>
      <c r="Z32" s="202"/>
      <c r="AA32" s="202"/>
      <c r="AB32" s="202"/>
      <c r="AC32" s="202"/>
      <c r="AD32" s="202"/>
      <c r="AE32" s="202"/>
      <c r="AF32" s="202"/>
      <c r="AG32" s="290"/>
      <c r="AH32" s="218"/>
      <c r="AI32" s="303">
        <v>2.1272201568821046174351724600</v>
      </c>
      <c r="AJ32" s="303">
        <v>-4.6910384987876344017932231300</v>
      </c>
      <c r="AK32" s="303">
        <v>6.653340948043706606749314700</v>
      </c>
      <c r="AM32" s="244"/>
      <c r="AN32" s="244"/>
      <c r="AO32" s="244"/>
      <c r="AP32" s="244"/>
      <c r="AQ32" s="244"/>
      <c r="AR32" s="244"/>
      <c r="AS32" s="244"/>
      <c r="AT32" s="244"/>
      <c r="AU32" s="244"/>
      <c r="AV32" s="244"/>
      <c r="AW32" s="244"/>
      <c r="AX32" s="244"/>
      <c r="AY32" s="244"/>
      <c r="AZ32" s="244"/>
      <c r="BA32" s="244"/>
      <c r="BB32" s="244"/>
      <c r="BC32" s="244"/>
      <c r="BD32" s="244"/>
      <c r="BE32" s="244"/>
      <c r="BF32" s="244"/>
      <c r="BG32" s="244"/>
      <c r="BH32" s="244"/>
      <c r="BI32" s="244"/>
      <c r="BJ32" s="244"/>
      <c r="BK32" s="244"/>
      <c r="BL32" s="244"/>
      <c r="BM32" s="244"/>
    </row>
    <row r="33" ht="14.25">
      <c r="A33" s="24"/>
      <c r="B33" s="49" t="s">
        <v>91</v>
      </c>
      <c r="C33" s="291">
        <v>40.691140935573174138042651030</v>
      </c>
      <c r="D33" s="292">
        <v>55.737704917814398930838022730</v>
      </c>
      <c r="E33" s="292">
        <v>-28.894111502771514711125824370</v>
      </c>
      <c r="F33" s="292">
        <v>0.6916814591487459366463163600</v>
      </c>
      <c r="G33" s="292">
        <v>18.029029793748992315304787890</v>
      </c>
      <c r="H33" s="292">
        <v>61.566912166553599016706444370</v>
      </c>
      <c r="I33" s="292">
        <v>62.376875632956921926646677500</v>
      </c>
      <c r="J33" s="292">
        <v>90.49049049020386315347542875</v>
      </c>
      <c r="K33" s="292">
        <v>5.9116617289047838823154432700</v>
      </c>
      <c r="L33" s="292"/>
      <c r="M33" s="292"/>
      <c r="N33" s="292"/>
      <c r="O33" s="292"/>
      <c r="P33" s="292"/>
      <c r="Q33" s="292"/>
      <c r="R33" s="292"/>
      <c r="S33" s="292"/>
      <c r="T33" s="292"/>
      <c r="U33" s="292"/>
      <c r="V33" s="292"/>
      <c r="W33" s="292"/>
      <c r="X33" s="292"/>
      <c r="Y33" s="292"/>
      <c r="Z33" s="292"/>
      <c r="AA33" s="292"/>
      <c r="AB33" s="292"/>
      <c r="AC33" s="292"/>
      <c r="AD33" s="292"/>
      <c r="AE33" s="292"/>
      <c r="AF33" s="292"/>
      <c r="AG33" s="293"/>
      <c r="AH33" s="218"/>
      <c r="AI33" s="304">
        <v>49.522039734541125586470928580</v>
      </c>
      <c r="AJ33" s="304">
        <v>21.755556052757884171774726830</v>
      </c>
      <c r="AK33" s="304">
        <v>70.251532445276175879986446210</v>
      </c>
      <c r="AM33" s="244"/>
      <c r="AN33" s="244"/>
      <c r="AO33" s="244"/>
      <c r="AP33" s="244"/>
      <c r="AQ33" s="244"/>
      <c r="AR33" s="244"/>
      <c r="AS33" s="244"/>
      <c r="AT33" s="244"/>
      <c r="AU33" s="244"/>
      <c r="AV33" s="244"/>
      <c r="AW33" s="244"/>
      <c r="AX33" s="244"/>
      <c r="AY33" s="244"/>
      <c r="AZ33" s="244"/>
      <c r="BA33" s="244"/>
      <c r="BB33" s="244"/>
      <c r="BC33" s="244"/>
      <c r="BD33" s="244"/>
      <c r="BE33" s="244"/>
      <c r="BF33" s="244"/>
      <c r="BG33" s="244"/>
      <c r="BH33" s="244"/>
      <c r="BI33" s="244"/>
      <c r="BJ33" s="244"/>
      <c r="BK33" s="244"/>
      <c r="BL33" s="244"/>
      <c r="BM33" s="244"/>
    </row>
    <row r="34" ht="13.5" customHeight="1">
      <c r="B34" s="176"/>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43"/>
      <c r="AF34" s="43"/>
      <c r="AG34" s="43"/>
      <c r="AI34" s="43"/>
      <c r="AJ34" s="43"/>
      <c r="AK34" s="43"/>
      <c r="AM34" s="244"/>
      <c r="AN34" s="244"/>
      <c r="AO34" s="244"/>
      <c r="AP34" s="244"/>
      <c r="AQ34" s="244"/>
      <c r="AR34" s="244"/>
      <c r="AS34" s="244"/>
      <c r="AT34" s="244"/>
      <c r="AU34" s="244"/>
      <c r="AV34" s="244"/>
      <c r="AW34" s="244"/>
      <c r="AX34" s="244"/>
      <c r="AY34" s="244"/>
      <c r="AZ34" s="244"/>
      <c r="BA34" s="244"/>
      <c r="BB34" s="244"/>
      <c r="BC34" s="244"/>
      <c r="BD34" s="244"/>
      <c r="BE34" s="244"/>
      <c r="BF34" s="244"/>
      <c r="BG34" s="244"/>
      <c r="BH34" s="244"/>
      <c r="BI34" s="244"/>
      <c r="BJ34" s="244"/>
      <c r="BK34" s="244"/>
      <c r="BL34" s="244"/>
      <c r="BM34" s="244"/>
    </row>
    <row r="35" ht="18" customHeight="1">
      <c r="A35" s="8"/>
      <c r="B35" s="29"/>
      <c r="X35" s="653"/>
      <c r="Y35" s="653"/>
      <c r="Z35" s="653"/>
      <c r="AA35" s="653"/>
      <c r="AB35" s="653"/>
      <c r="AC35" s="653"/>
      <c r="AD35" s="653"/>
      <c r="AM35" s="244"/>
      <c r="AN35" s="244"/>
      <c r="AO35" s="244"/>
      <c r="AP35" s="244"/>
      <c r="AQ35" s="244"/>
      <c r="AR35" s="244"/>
      <c r="AS35" s="244"/>
      <c r="AT35" s="244"/>
      <c r="AU35" s="244"/>
      <c r="AV35" s="244"/>
      <c r="AW35" s="244"/>
      <c r="AX35" s="244"/>
      <c r="AY35" s="244"/>
      <c r="AZ35" s="244"/>
      <c r="BA35" s="244"/>
      <c r="BB35" s="244"/>
      <c r="BC35" s="244"/>
      <c r="BD35" s="244"/>
      <c r="BE35" s="244"/>
      <c r="BF35" s="244"/>
      <c r="BG35" s="244"/>
      <c r="BH35" s="244"/>
      <c r="BI35" s="244"/>
      <c r="BJ35" s="244"/>
      <c r="BK35" s="244"/>
      <c r="BL35" s="244"/>
      <c r="BM35" s="244"/>
    </row>
    <row r="36" s="41" customFormat="1" ht="18">
      <c r="B36" s="615" t="s">
        <v>12</v>
      </c>
      <c r="C36" s="275" t="s">
        <v>145</v>
      </c>
      <c r="D36" s="276"/>
      <c r="E36" s="276"/>
      <c r="F36" s="276"/>
      <c r="G36" s="276"/>
      <c r="H36" s="276"/>
      <c r="I36" s="276"/>
      <c r="J36" s="276"/>
      <c r="K36" s="276"/>
      <c r="L36" s="276"/>
      <c r="M36" s="276"/>
      <c r="N36" s="276"/>
      <c r="O36" s="276"/>
      <c r="P36" s="276"/>
      <c r="Q36" s="276"/>
      <c r="R36" s="276"/>
      <c r="S36" s="277"/>
      <c r="T36" s="277"/>
      <c r="U36" s="277"/>
      <c r="V36" s="277"/>
      <c r="W36" s="277"/>
      <c r="X36" s="277"/>
      <c r="Y36" s="277"/>
      <c r="Z36" s="277"/>
      <c r="AA36" s="277"/>
      <c r="AB36" s="277"/>
      <c r="AC36" s="277"/>
      <c r="AD36" s="277"/>
      <c r="AE36" s="277"/>
      <c r="AF36" s="277"/>
      <c r="AG36" s="278"/>
      <c r="AH36" s="25"/>
      <c r="AI36" s="307" t="s">
        <v>59</v>
      </c>
      <c r="AJ36" s="307" t="s">
        <v>31</v>
      </c>
      <c r="AK36" s="307" t="s">
        <v>31</v>
      </c>
      <c r="AL36" s="25"/>
      <c r="AM36" s="248"/>
      <c r="AN36" s="248"/>
      <c r="AO36" s="253"/>
      <c r="AP36" s="253"/>
      <c r="AQ36" s="253"/>
      <c r="AR36" s="253"/>
      <c r="AS36" s="253"/>
      <c r="AT36" s="253"/>
      <c r="AU36" s="253"/>
      <c r="AV36" s="253"/>
      <c r="AW36" s="253"/>
      <c r="AX36" s="253"/>
      <c r="AY36" s="253"/>
      <c r="AZ36" s="253"/>
      <c r="BA36" s="253"/>
      <c r="BB36" s="253"/>
      <c r="BC36" s="253"/>
      <c r="BD36" s="253"/>
      <c r="BE36" s="253"/>
      <c r="BF36" s="253"/>
      <c r="BG36" s="253"/>
      <c r="BH36" s="253"/>
      <c r="BI36" s="253"/>
      <c r="BJ36" s="253"/>
      <c r="BK36" s="253"/>
      <c r="BL36" s="253"/>
      <c r="BM36" s="253"/>
    </row>
    <row r="37" s="42" customFormat="1">
      <c r="B37" s="615"/>
      <c r="C37" s="279">
        <v>1</v>
      </c>
      <c r="D37" s="280">
        <v>2</v>
      </c>
      <c r="E37" s="280">
        <v>3</v>
      </c>
      <c r="F37" s="280">
        <v>4</v>
      </c>
      <c r="G37" s="280">
        <v>5</v>
      </c>
      <c r="H37" s="280">
        <v>6</v>
      </c>
      <c r="I37" s="280">
        <v>7</v>
      </c>
      <c r="J37" s="280">
        <v>8</v>
      </c>
      <c r="K37" s="280">
        <v>9</v>
      </c>
      <c r="L37" s="280">
        <v>10</v>
      </c>
      <c r="M37" s="280">
        <v>11</v>
      </c>
      <c r="N37" s="280">
        <v>12</v>
      </c>
      <c r="O37" s="280">
        <v>13</v>
      </c>
      <c r="P37" s="280">
        <v>14</v>
      </c>
      <c r="Q37" s="280">
        <v>15</v>
      </c>
      <c r="R37" s="280">
        <v>16</v>
      </c>
      <c r="S37" s="280">
        <v>17</v>
      </c>
      <c r="T37" s="280">
        <v>18</v>
      </c>
      <c r="U37" s="280">
        <v>19</v>
      </c>
      <c r="V37" s="280">
        <v>20</v>
      </c>
      <c r="W37" s="280">
        <v>21</v>
      </c>
      <c r="X37" s="280">
        <v>22</v>
      </c>
      <c r="Y37" s="280">
        <v>23</v>
      </c>
      <c r="Z37" s="280">
        <v>24</v>
      </c>
      <c r="AA37" s="280">
        <v>25</v>
      </c>
      <c r="AB37" s="280">
        <v>26</v>
      </c>
      <c r="AC37" s="280">
        <v>27</v>
      </c>
      <c r="AD37" s="280">
        <v>28</v>
      </c>
      <c r="AE37" s="280">
        <v>29</v>
      </c>
      <c r="AF37" s="280">
        <v>30</v>
      </c>
      <c r="AG37" s="281">
        <v>31</v>
      </c>
      <c r="AH37" s="25"/>
      <c r="AI37" s="308" t="s">
        <v>31</v>
      </c>
      <c r="AJ37" s="308" t="s">
        <v>88</v>
      </c>
      <c r="AK37" s="308" t="s">
        <v>89</v>
      </c>
      <c r="AL37" s="25"/>
      <c r="AM37" s="248"/>
      <c r="AN37" s="248"/>
      <c r="AO37" s="254"/>
      <c r="AP37" s="254"/>
      <c r="AQ37" s="254"/>
      <c r="AR37" s="254"/>
      <c r="AS37" s="254"/>
      <c r="AT37" s="254"/>
      <c r="AU37" s="254"/>
      <c r="AV37" s="254"/>
      <c r="AW37" s="254"/>
      <c r="AX37" s="254"/>
      <c r="AY37" s="254"/>
      <c r="AZ37" s="254"/>
      <c r="BA37" s="254"/>
      <c r="BB37" s="254"/>
      <c r="BC37" s="254"/>
      <c r="BD37" s="254"/>
      <c r="BE37" s="254"/>
      <c r="BF37" s="254"/>
      <c r="BG37" s="254"/>
      <c r="BH37" s="254"/>
      <c r="BI37" s="254"/>
      <c r="BJ37" s="254"/>
      <c r="BK37" s="254"/>
      <c r="BL37" s="254"/>
      <c r="BM37" s="254"/>
    </row>
    <row r="38" ht="14.25">
      <c r="B38" s="404" t="s">
        <v>32</v>
      </c>
      <c r="C38" s="294">
        <v>94.41095890410958904109589041</v>
      </c>
      <c r="D38" s="295">
        <v>95.000000000</v>
      </c>
      <c r="E38" s="295">
        <v>87.53571428571428571428571429</v>
      </c>
      <c r="F38" s="295">
        <v>100.94285714285714285714285714</v>
      </c>
      <c r="G38" s="295">
        <v>91.14285714285714285714285714</v>
      </c>
      <c r="H38" s="295">
        <v>94.30263157894736842105263158</v>
      </c>
      <c r="I38" s="295">
        <v>97.45161290322580645161290323</v>
      </c>
      <c r="J38" s="295">
        <v>105.56060606060606060606060606</v>
      </c>
      <c r="K38" s="295">
        <v>107.97520661157024793388429752</v>
      </c>
      <c r="L38" s="295"/>
      <c r="M38" s="295"/>
      <c r="N38" s="295"/>
      <c r="O38" s="295"/>
      <c r="P38" s="295"/>
      <c r="Q38" s="295"/>
      <c r="R38" s="295"/>
      <c r="S38" s="295"/>
      <c r="T38" s="295"/>
      <c r="U38" s="295"/>
      <c r="V38" s="295"/>
      <c r="W38" s="295"/>
      <c r="X38" s="295"/>
      <c r="Y38" s="295"/>
      <c r="Z38" s="295"/>
      <c r="AA38" s="295"/>
      <c r="AB38" s="295"/>
      <c r="AC38" s="295"/>
      <c r="AD38" s="295"/>
      <c r="AE38" s="295"/>
      <c r="AF38" s="295"/>
      <c r="AG38" s="296"/>
      <c r="AH38" s="218"/>
      <c r="AI38" s="305">
        <v>99.0943952802359882005899705</v>
      </c>
      <c r="AJ38" s="305">
        <v>94.45075757575757575757575758</v>
      </c>
      <c r="AK38" s="305">
        <v>102.05555555555555555555555556</v>
      </c>
      <c r="AM38" s="244"/>
      <c r="AN38" s="244"/>
      <c r="AO38" s="244"/>
      <c r="AP38" s="244"/>
      <c r="AQ38" s="244"/>
      <c r="AR38" s="244"/>
      <c r="AS38" s="244"/>
      <c r="AT38" s="244"/>
      <c r="AU38" s="244"/>
      <c r="AV38" s="244"/>
      <c r="AW38" s="244"/>
      <c r="AX38" s="244"/>
      <c r="AY38" s="244"/>
      <c r="AZ38" s="244"/>
      <c r="BA38" s="244"/>
      <c r="BB38" s="244"/>
      <c r="BC38" s="244"/>
      <c r="BD38" s="244"/>
      <c r="BE38" s="244"/>
      <c r="BF38" s="244"/>
      <c r="BG38" s="244"/>
      <c r="BH38" s="244"/>
      <c r="BI38" s="244"/>
      <c r="BJ38" s="244"/>
      <c r="BK38" s="244"/>
      <c r="BL38" s="244"/>
      <c r="BM38" s="244"/>
    </row>
    <row r="39" ht="14.25">
      <c r="B39" s="201" t="s">
        <v>26</v>
      </c>
      <c r="C39" s="297">
        <v>131.98644793152639087018544936</v>
      </c>
      <c r="D39" s="207">
        <v>142.08141579731743666169895677</v>
      </c>
      <c r="E39" s="207">
        <v>137.2228985507246376811594203</v>
      </c>
      <c r="F39" s="207">
        <v>147.99785578747628083491461102</v>
      </c>
      <c r="G39" s="207">
        <v>139.54985739750445632798573976</v>
      </c>
      <c r="H39" s="207">
        <v>143.75094876660341555977229603</v>
      </c>
      <c r="I39" s="207">
        <v>133.74474178403755868544600938</v>
      </c>
      <c r="J39" s="207">
        <v>112.96954732510288065843621398</v>
      </c>
      <c r="K39" s="207">
        <v>115.51170886075949367088607596</v>
      </c>
      <c r="L39" s="207"/>
      <c r="M39" s="207"/>
      <c r="N39" s="207"/>
      <c r="O39" s="207"/>
      <c r="P39" s="207"/>
      <c r="Q39" s="207"/>
      <c r="R39" s="207"/>
      <c r="S39" s="207"/>
      <c r="T39" s="207"/>
      <c r="U39" s="207"/>
      <c r="V39" s="207"/>
      <c r="W39" s="207"/>
      <c r="X39" s="207"/>
      <c r="Y39" s="207"/>
      <c r="Z39" s="207"/>
      <c r="AA39" s="207"/>
      <c r="AB39" s="207"/>
      <c r="AC39" s="207"/>
      <c r="AD39" s="207"/>
      <c r="AE39" s="207"/>
      <c r="AF39" s="207"/>
      <c r="AG39" s="298"/>
      <c r="AH39" s="218"/>
      <c r="AI39" s="306">
        <v>133.78975935288169868554095046</v>
      </c>
      <c r="AJ39" s="306">
        <v>140.86542973523421588594704685</v>
      </c>
      <c r="AK39" s="306">
        <v>126.81354618473895582329317269</v>
      </c>
      <c r="AM39" s="244"/>
      <c r="AN39" s="244"/>
      <c r="AO39" s="244"/>
      <c r="AP39" s="244"/>
      <c r="AQ39" s="244"/>
      <c r="AR39" s="244"/>
      <c r="AS39" s="244"/>
      <c r="AT39" s="244"/>
      <c r="AU39" s="244"/>
      <c r="AV39" s="244"/>
      <c r="AW39" s="244"/>
      <c r="AX39" s="244"/>
      <c r="AY39" s="244"/>
      <c r="AZ39" s="244"/>
      <c r="BA39" s="244"/>
      <c r="BB39" s="244"/>
      <c r="BC39" s="244"/>
      <c r="BD39" s="244"/>
      <c r="BE39" s="244"/>
      <c r="BF39" s="244"/>
      <c r="BG39" s="244"/>
      <c r="BH39" s="244"/>
      <c r="BI39" s="244"/>
      <c r="BJ39" s="244"/>
      <c r="BK39" s="244"/>
      <c r="BL39" s="244"/>
      <c r="BM39" s="244"/>
    </row>
    <row r="40" ht="14.25">
      <c r="A40" s="24"/>
      <c r="B40" s="49" t="s">
        <v>92</v>
      </c>
      <c r="C40" s="291">
        <v>71.530797580906325613078642330</v>
      </c>
      <c r="D40" s="292">
        <v>66.863072462292639229515547420</v>
      </c>
      <c r="E40" s="292">
        <v>63.790894384418138683600039230</v>
      </c>
      <c r="F40" s="292">
        <v>68.205621362375741613575339950</v>
      </c>
      <c r="G40" s="292">
        <v>65.312038896064069951206169340</v>
      </c>
      <c r="H40" s="292">
        <v>65.601397686815292344316644420</v>
      </c>
      <c r="I40" s="292">
        <v>72.863883546623309432470438060</v>
      </c>
      <c r="J40" s="292">
        <v>93.44164738203939595070743253</v>
      </c>
      <c r="K40" s="292">
        <v>93.47555124622752769473180946</v>
      </c>
      <c r="L40" s="292"/>
      <c r="M40" s="292"/>
      <c r="N40" s="292"/>
      <c r="O40" s="292"/>
      <c r="P40" s="292"/>
      <c r="Q40" s="292"/>
      <c r="R40" s="292"/>
      <c r="S40" s="292"/>
      <c r="T40" s="292"/>
      <c r="U40" s="292"/>
      <c r="V40" s="292"/>
      <c r="W40" s="292"/>
      <c r="X40" s="292"/>
      <c r="Y40" s="292"/>
      <c r="Z40" s="292"/>
      <c r="AA40" s="292"/>
      <c r="AB40" s="292"/>
      <c r="AC40" s="292"/>
      <c r="AD40" s="292"/>
      <c r="AE40" s="292"/>
      <c r="AF40" s="292"/>
      <c r="AG40" s="293"/>
      <c r="AH40" s="218"/>
      <c r="AI40" s="304">
        <v>74.067249810093957655434893140</v>
      </c>
      <c r="AJ40" s="304">
        <v>67.050345676229356704644350380</v>
      </c>
      <c r="AK40" s="304">
        <v>80.47685647629063352888717064</v>
      </c>
      <c r="AM40" s="244"/>
      <c r="AN40" s="244"/>
      <c r="AO40" s="244"/>
      <c r="AP40" s="244"/>
      <c r="AQ40" s="244"/>
      <c r="AR40" s="244"/>
      <c r="AS40" s="244"/>
      <c r="AT40" s="244"/>
      <c r="AU40" s="244"/>
      <c r="AV40" s="244"/>
      <c r="AW40" s="244"/>
      <c r="AX40" s="244"/>
      <c r="AY40" s="244"/>
      <c r="AZ40" s="244"/>
      <c r="BA40" s="244"/>
      <c r="BB40" s="244"/>
      <c r="BC40" s="244"/>
      <c r="BD40" s="244"/>
      <c r="BE40" s="244"/>
      <c r="BF40" s="244"/>
      <c r="BG40" s="244"/>
      <c r="BH40" s="244"/>
      <c r="BI40" s="244"/>
      <c r="BJ40" s="244"/>
      <c r="BK40" s="244"/>
      <c r="BL40" s="244"/>
      <c r="BM40" s="244"/>
    </row>
    <row r="41" ht="12" customHeight="1">
      <c r="B41" s="0"/>
      <c r="AI41" s="22"/>
      <c r="AJ41" s="22"/>
      <c r="AK41" s="22"/>
      <c r="AM41" s="244"/>
      <c r="AN41" s="244"/>
      <c r="AO41" s="244"/>
      <c r="AP41" s="244"/>
      <c r="AQ41" s="244"/>
      <c r="AR41" s="244"/>
      <c r="AS41" s="244"/>
      <c r="AT41" s="244"/>
      <c r="AU41" s="244"/>
      <c r="AV41" s="244"/>
      <c r="AW41" s="244"/>
      <c r="AX41" s="244"/>
      <c r="AY41" s="244"/>
      <c r="AZ41" s="244"/>
      <c r="BA41" s="244"/>
      <c r="BB41" s="244"/>
      <c r="BC41" s="244"/>
      <c r="BD41" s="244"/>
      <c r="BE41" s="244"/>
      <c r="BF41" s="244"/>
      <c r="BG41" s="244"/>
      <c r="BH41" s="244"/>
      <c r="BI41" s="244"/>
      <c r="BJ41" s="244"/>
      <c r="BK41" s="244"/>
      <c r="BL41" s="244"/>
      <c r="BM41" s="244"/>
    </row>
    <row r="42" ht="18">
      <c r="B42" s="29" t="s">
        <v>87</v>
      </c>
      <c r="AI42" s="22"/>
      <c r="AJ42" s="22"/>
      <c r="AK42" s="22"/>
      <c r="AM42" s="244"/>
      <c r="AN42" s="244"/>
      <c r="AO42" s="244"/>
      <c r="AP42" s="244"/>
      <c r="AQ42" s="244"/>
      <c r="AR42" s="244"/>
      <c r="AS42" s="244"/>
      <c r="AT42" s="244"/>
      <c r="AU42" s="244"/>
      <c r="AV42" s="244"/>
      <c r="AW42" s="244"/>
      <c r="AX42" s="244"/>
      <c r="AY42" s="244"/>
      <c r="AZ42" s="244"/>
      <c r="BA42" s="244"/>
      <c r="BB42" s="244"/>
      <c r="BC42" s="244"/>
      <c r="BD42" s="244"/>
      <c r="BE42" s="244"/>
      <c r="BF42" s="244"/>
      <c r="BG42" s="244"/>
      <c r="BH42" s="244"/>
      <c r="BI42" s="244"/>
      <c r="BJ42" s="244"/>
      <c r="BK42" s="244"/>
      <c r="BL42" s="244"/>
      <c r="BM42" s="244"/>
    </row>
    <row r="43" ht="14.25">
      <c r="B43" s="46" t="s">
        <v>32</v>
      </c>
      <c r="C43" s="286">
        <v>-16.706211985923904718153240720</v>
      </c>
      <c r="D43" s="287">
        <v>-6.1148857319332921556516368100</v>
      </c>
      <c r="E43" s="287">
        <v>-12.107966660210236435226815490</v>
      </c>
      <c r="F43" s="287">
        <v>11.718263885319150329319219470</v>
      </c>
      <c r="G43" s="287">
        <v>-11.651829871395216026282598370</v>
      </c>
      <c r="H43" s="287">
        <v>-8.308252090327894758254587070</v>
      </c>
      <c r="I43" s="287">
        <v>-2.5292751899850130366568389900</v>
      </c>
      <c r="J43" s="287">
        <v>-3.0472278952054456932504885700</v>
      </c>
      <c r="K43" s="287">
        <v>-5.0190022319833167347685903600</v>
      </c>
      <c r="L43" s="287"/>
      <c r="M43" s="287"/>
      <c r="N43" s="287"/>
      <c r="O43" s="287"/>
      <c r="P43" s="287"/>
      <c r="Q43" s="287"/>
      <c r="R43" s="287"/>
      <c r="S43" s="287"/>
      <c r="T43" s="287"/>
      <c r="U43" s="287"/>
      <c r="V43" s="287"/>
      <c r="W43" s="287"/>
      <c r="X43" s="287"/>
      <c r="Y43" s="287"/>
      <c r="Z43" s="287"/>
      <c r="AA43" s="287"/>
      <c r="AB43" s="287"/>
      <c r="AC43" s="287"/>
      <c r="AD43" s="287"/>
      <c r="AE43" s="287"/>
      <c r="AF43" s="287"/>
      <c r="AG43" s="288"/>
      <c r="AH43" s="218"/>
      <c r="AI43" s="302">
        <v>-2.9043750178600141985584297500</v>
      </c>
      <c r="AJ43" s="302">
        <v>-3.9519600008162940422476719700</v>
      </c>
      <c r="AK43" s="302">
        <v>-5.5041152263374485596707818900</v>
      </c>
      <c r="AM43" s="244"/>
      <c r="AN43" s="244"/>
      <c r="AO43" s="244"/>
      <c r="AP43" s="244"/>
      <c r="AQ43" s="244"/>
      <c r="AR43" s="244"/>
      <c r="AS43" s="244"/>
      <c r="AT43" s="244"/>
      <c r="AU43" s="244"/>
      <c r="AV43" s="244"/>
      <c r="AW43" s="244"/>
      <c r="AX43" s="244"/>
      <c r="AY43" s="244"/>
      <c r="AZ43" s="244"/>
      <c r="BA43" s="244"/>
      <c r="BB43" s="244"/>
      <c r="BC43" s="244"/>
      <c r="BD43" s="244"/>
      <c r="BE43" s="244"/>
      <c r="BF43" s="244"/>
      <c r="BG43" s="244"/>
      <c r="BH43" s="244"/>
      <c r="BI43" s="244"/>
      <c r="BJ43" s="244"/>
      <c r="BK43" s="244"/>
      <c r="BL43" s="244"/>
      <c r="BM43" s="244"/>
    </row>
    <row r="44" ht="14.25">
      <c r="B44" s="201" t="s">
        <v>26</v>
      </c>
      <c r="C44" s="289">
        <v>2.5505032815585220878946131900</v>
      </c>
      <c r="D44" s="202">
        <v>13.470329960535252532020944530</v>
      </c>
      <c r="E44" s="202">
        <v>4.4233192286929163051509994400</v>
      </c>
      <c r="F44" s="202">
        <v>7.7083875794564325015156966700</v>
      </c>
      <c r="G44" s="202">
        <v>-3.0190927018798412423538396700</v>
      </c>
      <c r="H44" s="202">
        <v>1.0523005285503338972551826400</v>
      </c>
      <c r="I44" s="202">
        <v>-1.1066226648009788529024334500</v>
      </c>
      <c r="J44" s="202">
        <v>-13.339957385136131932946431160</v>
      </c>
      <c r="K44" s="202">
        <v>-9.862730009685509348112885050</v>
      </c>
      <c r="L44" s="202"/>
      <c r="M44" s="202"/>
      <c r="N44" s="202"/>
      <c r="O44" s="202"/>
      <c r="P44" s="202"/>
      <c r="Q44" s="202"/>
      <c r="R44" s="202"/>
      <c r="S44" s="202"/>
      <c r="T44" s="202"/>
      <c r="U44" s="202"/>
      <c r="V44" s="202"/>
      <c r="W44" s="202"/>
      <c r="X44" s="202"/>
      <c r="Y44" s="202"/>
      <c r="Z44" s="202"/>
      <c r="AA44" s="202"/>
      <c r="AB44" s="202"/>
      <c r="AC44" s="202"/>
      <c r="AD44" s="202"/>
      <c r="AE44" s="202"/>
      <c r="AF44" s="202"/>
      <c r="AG44" s="290"/>
      <c r="AH44" s="218"/>
      <c r="AI44" s="303">
        <v>-0.7983078721542821493888290400</v>
      </c>
      <c r="AJ44" s="303">
        <v>1.5445036788720276791308516500</v>
      </c>
      <c r="AK44" s="303">
        <v>-0.9723465447360327626938859100</v>
      </c>
      <c r="AM44" s="244"/>
      <c r="AN44" s="244"/>
      <c r="AO44" s="244"/>
      <c r="AP44" s="244"/>
      <c r="AQ44" s="244"/>
      <c r="AR44" s="244"/>
      <c r="AS44" s="244"/>
      <c r="AT44" s="244"/>
      <c r="AU44" s="244"/>
      <c r="AV44" s="244"/>
      <c r="AW44" s="244"/>
      <c r="AX44" s="244"/>
      <c r="AY44" s="244"/>
      <c r="AZ44" s="244"/>
      <c r="BA44" s="244"/>
      <c r="BB44" s="244"/>
      <c r="BC44" s="244"/>
      <c r="BD44" s="244"/>
      <c r="BE44" s="244"/>
      <c r="BF44" s="244"/>
      <c r="BG44" s="244"/>
      <c r="BH44" s="244"/>
      <c r="BI44" s="244"/>
      <c r="BJ44" s="244"/>
      <c r="BK44" s="244"/>
      <c r="BL44" s="244"/>
      <c r="BM44" s="244"/>
    </row>
    <row r="45" ht="14.25">
      <c r="A45" s="24"/>
      <c r="B45" s="49" t="s">
        <v>92</v>
      </c>
      <c r="C45" s="291">
        <v>-18.777787189046222410652513220</v>
      </c>
      <c r="D45" s="292">
        <v>-17.26020863713996190817668600</v>
      </c>
      <c r="E45" s="292">
        <v>-15.831028941662126973504083080</v>
      </c>
      <c r="F45" s="292">
        <v>3.7229006914430928690470790300</v>
      </c>
      <c r="G45" s="292">
        <v>-8.901481136901506616036664300</v>
      </c>
      <c r="H45" s="292">
        <v>-9.263077208511483068768587780</v>
      </c>
      <c r="I45" s="292">
        <v>-1.4385720899816473423914324700</v>
      </c>
      <c r="J45" s="292">
        <v>11.877134120181994540017134970</v>
      </c>
      <c r="K45" s="292">
        <v>5.3737236308527858467470143400</v>
      </c>
      <c r="L45" s="292"/>
      <c r="M45" s="292"/>
      <c r="N45" s="292"/>
      <c r="O45" s="292"/>
      <c r="P45" s="292"/>
      <c r="Q45" s="292"/>
      <c r="R45" s="292"/>
      <c r="S45" s="292"/>
      <c r="T45" s="292"/>
      <c r="U45" s="292"/>
      <c r="V45" s="292"/>
      <c r="W45" s="292"/>
      <c r="X45" s="292"/>
      <c r="Y45" s="292"/>
      <c r="Z45" s="292"/>
      <c r="AA45" s="292"/>
      <c r="AB45" s="292"/>
      <c r="AC45" s="292"/>
      <c r="AD45" s="292"/>
      <c r="AE45" s="292"/>
      <c r="AF45" s="292"/>
      <c r="AG45" s="293"/>
      <c r="AH45" s="218"/>
      <c r="AI45" s="304">
        <v>-2.1230153442944497622195590900</v>
      </c>
      <c r="AJ45" s="304">
        <v>-5.4128618295979954517706466900</v>
      </c>
      <c r="AK45" s="304">
        <v>-4.5762658443431768338725420100</v>
      </c>
      <c r="AM45" s="244"/>
      <c r="AN45" s="244"/>
      <c r="AO45" s="244"/>
      <c r="AP45" s="244"/>
      <c r="AQ45" s="244"/>
      <c r="AR45" s="244"/>
      <c r="AS45" s="244"/>
      <c r="AT45" s="244"/>
      <c r="AU45" s="244"/>
      <c r="AV45" s="244"/>
      <c r="AW45" s="244"/>
      <c r="AX45" s="244"/>
      <c r="AY45" s="244"/>
      <c r="AZ45" s="244"/>
      <c r="BA45" s="244"/>
      <c r="BB45" s="244"/>
      <c r="BC45" s="244"/>
      <c r="BD45" s="244"/>
      <c r="BE45" s="244"/>
      <c r="BF45" s="244"/>
      <c r="BG45" s="244"/>
      <c r="BH45" s="244"/>
      <c r="BI45" s="244"/>
      <c r="BJ45" s="244"/>
      <c r="BK45" s="244"/>
      <c r="BL45" s="244"/>
      <c r="BM45" s="244"/>
    </row>
    <row r="46" ht="13.5" customHeight="1">
      <c r="B46" s="176"/>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43"/>
      <c r="AF46" s="43"/>
      <c r="AG46" s="43"/>
      <c r="AI46" s="43"/>
      <c r="AJ46" s="43"/>
      <c r="AK46" s="43"/>
      <c r="AM46" s="244"/>
      <c r="AN46" s="244"/>
      <c r="AO46" s="244"/>
      <c r="AP46" s="244"/>
      <c r="AQ46" s="244"/>
      <c r="AR46" s="244"/>
      <c r="AS46" s="244"/>
      <c r="AT46" s="244"/>
      <c r="AU46" s="244"/>
      <c r="AV46" s="244"/>
      <c r="AW46" s="244"/>
      <c r="AX46" s="244"/>
      <c r="AY46" s="244"/>
      <c r="AZ46" s="244"/>
      <c r="BA46" s="244"/>
      <c r="BB46" s="244"/>
      <c r="BC46" s="244"/>
      <c r="BD46" s="244"/>
      <c r="BE46" s="244"/>
      <c r="BF46" s="244"/>
      <c r="BG46" s="244"/>
      <c r="BH46" s="244"/>
      <c r="BI46" s="244"/>
      <c r="BJ46" s="244"/>
      <c r="BK46" s="244"/>
      <c r="BL46" s="244"/>
      <c r="BM46" s="244"/>
    </row>
    <row r="47" ht="18" customHeight="1">
      <c r="A47" s="8"/>
      <c r="B47" s="29"/>
      <c r="X47" s="653"/>
      <c r="Y47" s="653"/>
      <c r="Z47" s="653"/>
      <c r="AA47" s="653"/>
      <c r="AB47" s="653"/>
      <c r="AC47" s="653"/>
      <c r="AD47" s="653"/>
      <c r="AM47" s="244"/>
      <c r="AN47" s="244"/>
      <c r="AO47" s="244"/>
      <c r="AP47" s="244"/>
      <c r="AQ47" s="244"/>
      <c r="AR47" s="244"/>
      <c r="AS47" s="244"/>
      <c r="AT47" s="244"/>
      <c r="AU47" s="244"/>
      <c r="AV47" s="244"/>
      <c r="AW47" s="244"/>
      <c r="AX47" s="244"/>
      <c r="AY47" s="244"/>
      <c r="AZ47" s="244"/>
      <c r="BA47" s="244"/>
      <c r="BB47" s="244"/>
      <c r="BC47" s="244"/>
      <c r="BD47" s="244"/>
      <c r="BE47" s="244"/>
      <c r="BF47" s="244"/>
      <c r="BG47" s="244"/>
      <c r="BH47" s="244"/>
      <c r="BI47" s="244"/>
      <c r="BJ47" s="244"/>
      <c r="BK47" s="244"/>
      <c r="BL47" s="244"/>
      <c r="BM47" s="244"/>
    </row>
    <row r="48" s="41" customFormat="1" ht="18">
      <c r="B48" s="615" t="s">
        <v>13</v>
      </c>
      <c r="C48" s="275" t="s">
        <v>145</v>
      </c>
      <c r="D48" s="276"/>
      <c r="E48" s="276"/>
      <c r="F48" s="276"/>
      <c r="G48" s="276"/>
      <c r="H48" s="276"/>
      <c r="I48" s="276"/>
      <c r="J48" s="276"/>
      <c r="K48" s="276"/>
      <c r="L48" s="276"/>
      <c r="M48" s="276"/>
      <c r="N48" s="276"/>
      <c r="O48" s="276"/>
      <c r="P48" s="276"/>
      <c r="Q48" s="276"/>
      <c r="R48" s="276"/>
      <c r="S48" s="277"/>
      <c r="T48" s="277"/>
      <c r="U48" s="277"/>
      <c r="V48" s="277"/>
      <c r="W48" s="277"/>
      <c r="X48" s="277"/>
      <c r="Y48" s="277"/>
      <c r="Z48" s="277"/>
      <c r="AA48" s="277"/>
      <c r="AB48" s="277"/>
      <c r="AC48" s="277"/>
      <c r="AD48" s="277"/>
      <c r="AE48" s="277"/>
      <c r="AF48" s="277"/>
      <c r="AG48" s="278"/>
      <c r="AH48" s="25"/>
      <c r="AI48" s="307" t="s">
        <v>59</v>
      </c>
      <c r="AJ48" s="307" t="s">
        <v>31</v>
      </c>
      <c r="AK48" s="307" t="s">
        <v>31</v>
      </c>
      <c r="AL48" s="25"/>
      <c r="AM48" s="248"/>
      <c r="AN48" s="248"/>
      <c r="AO48" s="253"/>
      <c r="AP48" s="253"/>
      <c r="AQ48" s="253"/>
      <c r="AR48" s="253"/>
      <c r="AS48" s="253"/>
      <c r="AT48" s="253"/>
      <c r="AU48" s="253"/>
      <c r="AV48" s="253"/>
      <c r="AW48" s="253"/>
      <c r="AX48" s="253"/>
      <c r="AY48" s="253"/>
      <c r="AZ48" s="253"/>
      <c r="BA48" s="253"/>
      <c r="BB48" s="253"/>
      <c r="BC48" s="253"/>
      <c r="BD48" s="253"/>
      <c r="BE48" s="253"/>
      <c r="BF48" s="253"/>
      <c r="BG48" s="253"/>
      <c r="BH48" s="253"/>
      <c r="BI48" s="253"/>
      <c r="BJ48" s="253"/>
      <c r="BK48" s="253"/>
      <c r="BL48" s="253"/>
      <c r="BM48" s="253"/>
    </row>
    <row r="49" s="42" customFormat="1">
      <c r="B49" s="615"/>
      <c r="C49" s="279">
        <v>1</v>
      </c>
      <c r="D49" s="280">
        <v>2</v>
      </c>
      <c r="E49" s="280">
        <v>3</v>
      </c>
      <c r="F49" s="280">
        <v>4</v>
      </c>
      <c r="G49" s="280">
        <v>5</v>
      </c>
      <c r="H49" s="280">
        <v>6</v>
      </c>
      <c r="I49" s="280">
        <v>7</v>
      </c>
      <c r="J49" s="280">
        <v>8</v>
      </c>
      <c r="K49" s="280">
        <v>9</v>
      </c>
      <c r="L49" s="280">
        <v>10</v>
      </c>
      <c r="M49" s="280">
        <v>11</v>
      </c>
      <c r="N49" s="280">
        <v>12</v>
      </c>
      <c r="O49" s="280">
        <v>13</v>
      </c>
      <c r="P49" s="280">
        <v>14</v>
      </c>
      <c r="Q49" s="280">
        <v>15</v>
      </c>
      <c r="R49" s="280">
        <v>16</v>
      </c>
      <c r="S49" s="280">
        <v>17</v>
      </c>
      <c r="T49" s="280">
        <v>18</v>
      </c>
      <c r="U49" s="280">
        <v>19</v>
      </c>
      <c r="V49" s="280">
        <v>20</v>
      </c>
      <c r="W49" s="280">
        <v>21</v>
      </c>
      <c r="X49" s="280">
        <v>22</v>
      </c>
      <c r="Y49" s="280">
        <v>23</v>
      </c>
      <c r="Z49" s="280">
        <v>24</v>
      </c>
      <c r="AA49" s="280">
        <v>25</v>
      </c>
      <c r="AB49" s="280">
        <v>26</v>
      </c>
      <c r="AC49" s="280">
        <v>27</v>
      </c>
      <c r="AD49" s="280">
        <v>28</v>
      </c>
      <c r="AE49" s="280">
        <v>29</v>
      </c>
      <c r="AF49" s="280">
        <v>30</v>
      </c>
      <c r="AG49" s="281">
        <v>31</v>
      </c>
      <c r="AH49" s="25"/>
      <c r="AI49" s="308" t="s">
        <v>31</v>
      </c>
      <c r="AJ49" s="308" t="s">
        <v>88</v>
      </c>
      <c r="AK49" s="308" t="s">
        <v>89</v>
      </c>
      <c r="AL49" s="25"/>
      <c r="AM49" s="248"/>
      <c r="AN49" s="248"/>
      <c r="AO49" s="254"/>
      <c r="AP49" s="254"/>
      <c r="AQ49" s="254"/>
      <c r="AR49" s="254"/>
      <c r="AS49" s="254"/>
      <c r="AT49" s="254"/>
      <c r="AU49" s="254"/>
      <c r="AV49" s="254"/>
      <c r="AW49" s="254"/>
      <c r="AX49" s="254"/>
      <c r="AY49" s="254"/>
      <c r="AZ49" s="254"/>
      <c r="BA49" s="254"/>
      <c r="BB49" s="254"/>
      <c r="BC49" s="254"/>
      <c r="BD49" s="254"/>
      <c r="BE49" s="254"/>
      <c r="BF49" s="254"/>
      <c r="BG49" s="254"/>
      <c r="BH49" s="254"/>
      <c r="BI49" s="254"/>
      <c r="BJ49" s="254"/>
      <c r="BK49" s="254"/>
      <c r="BL49" s="254"/>
      <c r="BM49" s="254"/>
    </row>
    <row r="50" ht="14.25">
      <c r="B50" s="404" t="s">
        <v>32</v>
      </c>
      <c r="C50" s="294">
        <v>37.05376344086021505376344086</v>
      </c>
      <c r="D50" s="295">
        <v>44.94623655913978494623655914</v>
      </c>
      <c r="E50" s="295">
        <v>13.177419354838709677419354839</v>
      </c>
      <c r="F50" s="295">
        <v>18.994623655913978494623655914</v>
      </c>
      <c r="G50" s="295">
        <v>30.870967741935483870967741935</v>
      </c>
      <c r="H50" s="295">
        <v>38.532258064516129032258064516</v>
      </c>
      <c r="I50" s="295">
        <v>32.483870967741935483870967742</v>
      </c>
      <c r="J50" s="295">
        <v>74.913978494623655913978494624</v>
      </c>
      <c r="K50" s="295">
        <v>70.241935483870967741935483871</v>
      </c>
      <c r="L50" s="295"/>
      <c r="M50" s="295"/>
      <c r="N50" s="295"/>
      <c r="O50" s="295"/>
      <c r="P50" s="295"/>
      <c r="Q50" s="295"/>
      <c r="R50" s="295"/>
      <c r="S50" s="295"/>
      <c r="T50" s="295"/>
      <c r="U50" s="295"/>
      <c r="V50" s="295"/>
      <c r="W50" s="295"/>
      <c r="X50" s="295"/>
      <c r="Y50" s="295"/>
      <c r="Z50" s="295"/>
      <c r="AA50" s="295"/>
      <c r="AB50" s="295"/>
      <c r="AC50" s="295"/>
      <c r="AD50" s="295"/>
      <c r="AE50" s="295"/>
      <c r="AF50" s="295"/>
      <c r="AG50" s="296"/>
      <c r="AH50" s="218"/>
      <c r="AI50" s="305">
        <v>40.135005973715651135005973716</v>
      </c>
      <c r="AJ50" s="305">
        <v>26.811827956989247311827956989</v>
      </c>
      <c r="AK50" s="305">
        <v>56.788978494623655913978494624</v>
      </c>
      <c r="AM50" s="244"/>
      <c r="AN50" s="244"/>
      <c r="AO50" s="244"/>
      <c r="AP50" s="244"/>
      <c r="AQ50" s="244"/>
      <c r="AR50" s="244"/>
      <c r="AS50" s="244"/>
      <c r="AT50" s="244"/>
      <c r="AU50" s="244"/>
      <c r="AV50" s="244"/>
      <c r="AW50" s="244"/>
      <c r="AX50" s="244"/>
      <c r="AY50" s="244"/>
      <c r="AZ50" s="244"/>
      <c r="BA50" s="244"/>
      <c r="BB50" s="244"/>
      <c r="BC50" s="244"/>
      <c r="BD50" s="244"/>
      <c r="BE50" s="244"/>
      <c r="BF50" s="244"/>
      <c r="BG50" s="244"/>
      <c r="BH50" s="244"/>
      <c r="BI50" s="244"/>
      <c r="BJ50" s="244"/>
      <c r="BK50" s="244"/>
      <c r="BL50" s="244"/>
      <c r="BM50" s="244"/>
    </row>
    <row r="51" ht="14.25">
      <c r="B51" s="201" t="s">
        <v>26</v>
      </c>
      <c r="C51" s="297">
        <v>85.1956721915285451197053407</v>
      </c>
      <c r="D51" s="207">
        <v>87.78695211786372007366482505</v>
      </c>
      <c r="E51" s="207">
        <v>52.31149171270718232044198895</v>
      </c>
      <c r="F51" s="207">
        <v>71.818480662983425414364640884</v>
      </c>
      <c r="G51" s="207">
        <v>72.087909760589318600368324125</v>
      </c>
      <c r="H51" s="207">
        <v>69.75759668508287292817679558</v>
      </c>
      <c r="I51" s="207">
        <v>52.463406998158379373848987109</v>
      </c>
      <c r="J51" s="207">
        <v>50.55543278084714548802946593</v>
      </c>
      <c r="K51" s="207">
        <v>67.222283609576427255985267035</v>
      </c>
      <c r="L51" s="207"/>
      <c r="M51" s="207"/>
      <c r="N51" s="207"/>
      <c r="O51" s="207"/>
      <c r="P51" s="207"/>
      <c r="Q51" s="207"/>
      <c r="R51" s="207"/>
      <c r="S51" s="207"/>
      <c r="T51" s="207"/>
      <c r="U51" s="207"/>
      <c r="V51" s="207"/>
      <c r="W51" s="207"/>
      <c r="X51" s="207"/>
      <c r="Y51" s="207"/>
      <c r="Z51" s="207"/>
      <c r="AA51" s="207"/>
      <c r="AB51" s="207"/>
      <c r="AC51" s="207"/>
      <c r="AD51" s="207"/>
      <c r="AE51" s="207"/>
      <c r="AF51" s="207"/>
      <c r="AG51" s="298"/>
      <c r="AH51" s="218"/>
      <c r="AI51" s="306">
        <v>67.688802946593001841620626151</v>
      </c>
      <c r="AJ51" s="306">
        <v>63.68777716390423572744014733</v>
      </c>
      <c r="AK51" s="306">
        <v>72.690085174953959484346224678</v>
      </c>
      <c r="AM51" s="244"/>
      <c r="AN51" s="244"/>
      <c r="AO51" s="244"/>
      <c r="AP51" s="244"/>
      <c r="AQ51" s="244"/>
      <c r="AR51" s="244"/>
      <c r="AS51" s="244"/>
      <c r="AT51" s="244"/>
      <c r="AU51" s="244"/>
      <c r="AV51" s="244"/>
      <c r="AW51" s="244"/>
      <c r="AX51" s="244"/>
      <c r="AY51" s="244"/>
      <c r="AZ51" s="244"/>
      <c r="BA51" s="244"/>
      <c r="BB51" s="244"/>
      <c r="BC51" s="244"/>
      <c r="BD51" s="244"/>
      <c r="BE51" s="244"/>
      <c r="BF51" s="244"/>
      <c r="BG51" s="244"/>
      <c r="BH51" s="244"/>
      <c r="BI51" s="244"/>
      <c r="BJ51" s="244"/>
      <c r="BK51" s="244"/>
      <c r="BL51" s="244"/>
      <c r="BM51" s="244"/>
    </row>
    <row r="52" ht="14.25">
      <c r="A52" s="24"/>
      <c r="B52" s="49" t="s">
        <v>93</v>
      </c>
      <c r="C52" s="291">
        <v>43.492541918763194073205883290</v>
      </c>
      <c r="D52" s="292">
        <v>51.199222065228898858832332380</v>
      </c>
      <c r="E52" s="292">
        <v>25.190295522846927620719703220</v>
      </c>
      <c r="F52" s="292">
        <v>26.448100099811461942488428100</v>
      </c>
      <c r="G52" s="292">
        <v>42.824057244073627482444706930</v>
      </c>
      <c r="H52" s="292">
        <v>55.237364667906479593176881870</v>
      </c>
      <c r="I52" s="292">
        <v>61.917196816547665359531121790</v>
      </c>
      <c r="J52" s="292">
        <v>148.18185578479425503931002167</v>
      </c>
      <c r="K52" s="292">
        <v>104.49204000835183156606376883</v>
      </c>
      <c r="L52" s="292"/>
      <c r="M52" s="292"/>
      <c r="N52" s="292"/>
      <c r="O52" s="292"/>
      <c r="P52" s="292"/>
      <c r="Q52" s="292"/>
      <c r="R52" s="292"/>
      <c r="S52" s="292"/>
      <c r="T52" s="292"/>
      <c r="U52" s="292"/>
      <c r="V52" s="292"/>
      <c r="W52" s="292"/>
      <c r="X52" s="292"/>
      <c r="Y52" s="292"/>
      <c r="Z52" s="292"/>
      <c r="AA52" s="292"/>
      <c r="AB52" s="292"/>
      <c r="AC52" s="292"/>
      <c r="AD52" s="292"/>
      <c r="AE52" s="292"/>
      <c r="AF52" s="292"/>
      <c r="AG52" s="293"/>
      <c r="AH52" s="218"/>
      <c r="AI52" s="304">
        <v>59.293419630095005842364662340</v>
      </c>
      <c r="AJ52" s="304">
        <v>42.098859704255678851144230320</v>
      </c>
      <c r="AK52" s="304">
        <v>78.124792890124242331345561840</v>
      </c>
      <c r="AM52" s="244"/>
      <c r="AN52" s="244"/>
      <c r="AO52" s="244"/>
      <c r="AP52" s="244"/>
      <c r="AQ52" s="244"/>
      <c r="AR52" s="244"/>
      <c r="AS52" s="244"/>
      <c r="AT52" s="244"/>
      <c r="AU52" s="244"/>
      <c r="AV52" s="244"/>
      <c r="AW52" s="244"/>
      <c r="AX52" s="244"/>
      <c r="AY52" s="244"/>
      <c r="AZ52" s="244"/>
      <c r="BA52" s="244"/>
      <c r="BB52" s="244"/>
      <c r="BC52" s="244"/>
      <c r="BD52" s="244"/>
      <c r="BE52" s="244"/>
      <c r="BF52" s="244"/>
      <c r="BG52" s="244"/>
      <c r="BH52" s="244"/>
      <c r="BI52" s="244"/>
      <c r="BJ52" s="244"/>
      <c r="BK52" s="244"/>
      <c r="BL52" s="244"/>
      <c r="BM52" s="244"/>
    </row>
    <row r="53" ht="12" customHeight="1">
      <c r="B53" s="0"/>
      <c r="AI53" s="22"/>
      <c r="AJ53" s="22"/>
      <c r="AK53" s="22"/>
      <c r="AM53" s="244"/>
      <c r="AN53" s="244"/>
      <c r="AO53" s="244"/>
      <c r="AP53" s="244"/>
      <c r="AQ53" s="244"/>
      <c r="AR53" s="244"/>
      <c r="AS53" s="244"/>
      <c r="AT53" s="244"/>
      <c r="AU53" s="244"/>
      <c r="AV53" s="244"/>
      <c r="AW53" s="244"/>
      <c r="AX53" s="244"/>
      <c r="AY53" s="244"/>
      <c r="AZ53" s="244"/>
      <c r="BA53" s="244"/>
      <c r="BB53" s="244"/>
      <c r="BC53" s="244"/>
      <c r="BD53" s="244"/>
      <c r="BE53" s="244"/>
      <c r="BF53" s="244"/>
      <c r="BG53" s="244"/>
      <c r="BH53" s="244"/>
      <c r="BI53" s="244"/>
      <c r="BJ53" s="244"/>
      <c r="BK53" s="244"/>
      <c r="BL53" s="244"/>
      <c r="BM53" s="244"/>
    </row>
    <row r="54" ht="18">
      <c r="B54" s="29" t="s">
        <v>87</v>
      </c>
      <c r="AI54" s="22"/>
      <c r="AJ54" s="22"/>
      <c r="AK54" s="22"/>
      <c r="AM54" s="244"/>
      <c r="AN54" s="244"/>
      <c r="AO54" s="244"/>
      <c r="AP54" s="244"/>
      <c r="AQ54" s="244"/>
      <c r="AR54" s="244"/>
      <c r="AS54" s="244"/>
      <c r="AT54" s="244"/>
      <c r="AU54" s="244"/>
      <c r="AV54" s="244"/>
      <c r="AW54" s="244"/>
      <c r="AX54" s="244"/>
      <c r="AY54" s="244"/>
      <c r="AZ54" s="244"/>
      <c r="BA54" s="244"/>
      <c r="BB54" s="244"/>
      <c r="BC54" s="244"/>
      <c r="BD54" s="244"/>
      <c r="BE54" s="244"/>
      <c r="BF54" s="244"/>
      <c r="BG54" s="244"/>
      <c r="BH54" s="244"/>
      <c r="BI54" s="244"/>
      <c r="BJ54" s="244"/>
      <c r="BK54" s="244"/>
      <c r="BL54" s="244"/>
      <c r="BM54" s="244"/>
    </row>
    <row r="55" ht="14.25">
      <c r="B55" s="46" t="s">
        <v>32</v>
      </c>
      <c r="C55" s="286">
        <v>24.090745408562510430540470820</v>
      </c>
      <c r="D55" s="287">
        <v>72.122709491498156732837100640</v>
      </c>
      <c r="E55" s="287">
        <v>-33.487109905056452043470797040</v>
      </c>
      <c r="F55" s="287">
        <v>26.133523741908157195351806550</v>
      </c>
      <c r="G55" s="287">
        <v>13.590504451200366297141175590</v>
      </c>
      <c r="H55" s="287">
        <v>18.111404086935984572124630200</v>
      </c>
      <c r="I55" s="287">
        <v>18.493822318203838560149067840</v>
      </c>
      <c r="J55" s="287">
        <v>72.942782673352918356671537370</v>
      </c>
      <c r="K55" s="287">
        <v>22.262773722682655934294298780</v>
      </c>
      <c r="L55" s="287"/>
      <c r="M55" s="287"/>
      <c r="N55" s="287"/>
      <c r="O55" s="287"/>
      <c r="P55" s="287"/>
      <c r="Q55" s="287"/>
      <c r="R55" s="287"/>
      <c r="S55" s="287"/>
      <c r="T55" s="287"/>
      <c r="U55" s="287"/>
      <c r="V55" s="287"/>
      <c r="W55" s="287"/>
      <c r="X55" s="287"/>
      <c r="Y55" s="287"/>
      <c r="Z55" s="287"/>
      <c r="AA55" s="287"/>
      <c r="AB55" s="287"/>
      <c r="AC55" s="287"/>
      <c r="AD55" s="287"/>
      <c r="AE55" s="287"/>
      <c r="AF55" s="287"/>
      <c r="AG55" s="288"/>
      <c r="AH55" s="218"/>
      <c r="AI55" s="302">
        <v>48.267643553612036384900843370</v>
      </c>
      <c r="AJ55" s="302">
        <v>11.457945317532283614402532920</v>
      </c>
      <c r="AK55" s="302">
        <v>71.584632878743382341765544260</v>
      </c>
      <c r="AM55" s="244"/>
      <c r="AN55" s="244"/>
      <c r="AO55" s="244"/>
      <c r="AP55" s="244"/>
      <c r="AQ55" s="244"/>
      <c r="AR55" s="244"/>
      <c r="AS55" s="244"/>
      <c r="AT55" s="244"/>
      <c r="AU55" s="244"/>
      <c r="AV55" s="244"/>
      <c r="AW55" s="244"/>
      <c r="AX55" s="244"/>
      <c r="AY55" s="244"/>
      <c r="AZ55" s="244"/>
      <c r="BA55" s="244"/>
      <c r="BB55" s="244"/>
      <c r="BC55" s="244"/>
      <c r="BD55" s="244"/>
      <c r="BE55" s="244"/>
      <c r="BF55" s="244"/>
      <c r="BG55" s="244"/>
      <c r="BH55" s="244"/>
      <c r="BI55" s="244"/>
      <c r="BJ55" s="244"/>
      <c r="BK55" s="244"/>
      <c r="BL55" s="244"/>
      <c r="BM55" s="244"/>
    </row>
    <row r="56" ht="14.25">
      <c r="B56" s="201" t="s">
        <v>26</v>
      </c>
      <c r="C56" s="289">
        <v>8.591998187895315315131945200</v>
      </c>
      <c r="D56" s="202">
        <v>33.576476146546167974453056390</v>
      </c>
      <c r="E56" s="202">
        <v>11.134329461810918092001660260</v>
      </c>
      <c r="F56" s="202">
        <v>20.770894158216889353920895060</v>
      </c>
      <c r="G56" s="202">
        <v>5.643279600493629408482521400</v>
      </c>
      <c r="H56" s="202">
        <v>-19.433339820670079407806132370</v>
      </c>
      <c r="I56" s="202">
        <v>-25.960318550469222237094507010</v>
      </c>
      <c r="J56" s="202">
        <v>-18.850133505170411309103828110</v>
      </c>
      <c r="K56" s="202">
        <v>9.551451218956512532098947590</v>
      </c>
      <c r="L56" s="202"/>
      <c r="M56" s="202"/>
      <c r="N56" s="202"/>
      <c r="O56" s="202"/>
      <c r="P56" s="202"/>
      <c r="Q56" s="202"/>
      <c r="R56" s="202"/>
      <c r="S56" s="202"/>
      <c r="T56" s="202"/>
      <c r="U56" s="202"/>
      <c r="V56" s="202"/>
      <c r="W56" s="202"/>
      <c r="X56" s="202"/>
      <c r="Y56" s="202"/>
      <c r="Z56" s="202"/>
      <c r="AA56" s="202"/>
      <c r="AB56" s="202"/>
      <c r="AC56" s="202"/>
      <c r="AD56" s="202"/>
      <c r="AE56" s="202"/>
      <c r="AF56" s="202"/>
      <c r="AG56" s="290"/>
      <c r="AH56" s="218"/>
      <c r="AI56" s="303">
        <v>1.3119305188918356773091413900</v>
      </c>
      <c r="AJ56" s="303">
        <v>-3.2189880822099734862480354900</v>
      </c>
      <c r="AK56" s="303">
        <v>5.6163008725067004283062652300</v>
      </c>
      <c r="AM56" s="244"/>
      <c r="AN56" s="244"/>
      <c r="AO56" s="244"/>
      <c r="AP56" s="244"/>
      <c r="AQ56" s="244"/>
      <c r="AR56" s="244"/>
      <c r="AS56" s="244"/>
      <c r="AT56" s="244"/>
      <c r="AU56" s="244"/>
      <c r="AV56" s="244"/>
      <c r="AW56" s="244"/>
      <c r="AX56" s="244"/>
      <c r="AY56" s="244"/>
      <c r="AZ56" s="244"/>
      <c r="BA56" s="244"/>
      <c r="BB56" s="244"/>
      <c r="BC56" s="244"/>
      <c r="BD56" s="244"/>
      <c r="BE56" s="244"/>
      <c r="BF56" s="244"/>
      <c r="BG56" s="244"/>
      <c r="BH56" s="244"/>
      <c r="BI56" s="244"/>
      <c r="BJ56" s="244"/>
      <c r="BK56" s="244"/>
      <c r="BL56" s="244"/>
      <c r="BM56" s="244"/>
    </row>
    <row r="57" ht="14.25">
      <c r="A57" s="24"/>
      <c r="B57" s="49" t="s">
        <v>93</v>
      </c>
      <c r="C57" s="291">
        <v>14.272457896949012586441695950</v>
      </c>
      <c r="D57" s="292">
        <v>28.857052122485491692000779230</v>
      </c>
      <c r="E57" s="292">
        <v>-40.150905289933154292350128430</v>
      </c>
      <c r="F57" s="292">
        <v>4.440332764346110876752470300</v>
      </c>
      <c r="G57" s="292">
        <v>7.5226979705974052024817460600</v>
      </c>
      <c r="H57" s="292">
        <v>46.600844349427409781186719170</v>
      </c>
      <c r="I57" s="292">
        <v>60.040967219447011853810222650</v>
      </c>
      <c r="J57" s="292">
        <v>113.11530153227423816756656212</v>
      </c>
      <c r="K57" s="292">
        <v>11.603061723184723511789522180</v>
      </c>
      <c r="L57" s="292"/>
      <c r="M57" s="292"/>
      <c r="N57" s="292"/>
      <c r="O57" s="292"/>
      <c r="P57" s="292"/>
      <c r="Q57" s="292"/>
      <c r="R57" s="292"/>
      <c r="S57" s="292"/>
      <c r="T57" s="292"/>
      <c r="U57" s="292"/>
      <c r="V57" s="292"/>
      <c r="W57" s="292"/>
      <c r="X57" s="292"/>
      <c r="Y57" s="292"/>
      <c r="Z57" s="292"/>
      <c r="AA57" s="292"/>
      <c r="AB57" s="292"/>
      <c r="AC57" s="292"/>
      <c r="AD57" s="292"/>
      <c r="AE57" s="292"/>
      <c r="AF57" s="292"/>
      <c r="AG57" s="293"/>
      <c r="AH57" s="218"/>
      <c r="AI57" s="304">
        <v>46.347663887638746643804966270</v>
      </c>
      <c r="AJ57" s="304">
        <v>15.165096033798536245031369770</v>
      </c>
      <c r="AK57" s="304">
        <v>62.460369716525045999120117670</v>
      </c>
      <c r="AM57" s="244"/>
      <c r="AN57" s="244"/>
      <c r="AO57" s="244"/>
      <c r="AP57" s="244"/>
      <c r="AQ57" s="244"/>
      <c r="AR57" s="244"/>
      <c r="AS57" s="244"/>
      <c r="AT57" s="244"/>
      <c r="AU57" s="244"/>
      <c r="AV57" s="244"/>
      <c r="AW57" s="244"/>
      <c r="AX57" s="244"/>
      <c r="AY57" s="244"/>
      <c r="AZ57" s="244"/>
      <c r="BA57" s="244"/>
      <c r="BB57" s="244"/>
      <c r="BC57" s="244"/>
      <c r="BD57" s="244"/>
      <c r="BE57" s="244"/>
      <c r="BF57" s="244"/>
      <c r="BG57" s="244"/>
      <c r="BH57" s="244"/>
      <c r="BI57" s="244"/>
      <c r="BJ57" s="244"/>
      <c r="BK57" s="244"/>
      <c r="BL57" s="244"/>
      <c r="BM57" s="244"/>
    </row>
    <row r="58" ht="13.5" customHeight="1">
      <c r="A58" s="0"/>
      <c r="B58" s="176"/>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0"/>
      <c r="AI58" s="43"/>
      <c r="AJ58" s="4"/>
      <c r="AM58" s="244"/>
      <c r="AN58" s="244"/>
      <c r="AO58" s="244"/>
      <c r="AP58" s="244"/>
      <c r="AQ58" s="244"/>
      <c r="AR58" s="244"/>
      <c r="AS58" s="244"/>
      <c r="AT58" s="244"/>
      <c r="AU58" s="244"/>
      <c r="AV58" s="244"/>
      <c r="AW58" s="244"/>
      <c r="AX58" s="244"/>
      <c r="AY58" s="244"/>
      <c r="AZ58" s="244"/>
      <c r="BA58" s="244"/>
      <c r="BB58" s="244"/>
      <c r="BC58" s="244"/>
      <c r="BD58" s="244"/>
      <c r="BE58" s="244"/>
      <c r="BF58" s="244"/>
      <c r="BG58" s="244"/>
      <c r="BH58" s="244"/>
      <c r="BI58" s="244"/>
      <c r="BJ58" s="244"/>
      <c r="BK58" s="244"/>
      <c r="BL58" s="244"/>
      <c r="BM58" s="244"/>
    </row>
    <row r="59">
      <c r="A59" s="4"/>
      <c r="U59" s="4"/>
      <c r="V59" s="4"/>
      <c r="W59" s="4"/>
      <c r="X59" s="4"/>
      <c r="Y59" s="4"/>
      <c r="Z59" s="4"/>
      <c r="AA59" s="4"/>
      <c r="AB59" s="4"/>
      <c r="AC59" s="4"/>
      <c r="AD59" s="4"/>
      <c r="AE59" s="4"/>
      <c r="AF59" s="4"/>
      <c r="AG59" s="4"/>
      <c r="AH59" s="4"/>
      <c r="AI59" s="4"/>
      <c r="AJ59" s="4"/>
      <c r="AM59" s="244"/>
      <c r="AN59" s="244"/>
      <c r="AO59" s="244"/>
      <c r="AP59" s="244"/>
      <c r="AQ59" s="244"/>
      <c r="AR59" s="244"/>
      <c r="AS59" s="244"/>
      <c r="AT59" s="244"/>
      <c r="AU59" s="244"/>
      <c r="AV59" s="244"/>
      <c r="AW59" s="244"/>
      <c r="AX59" s="244"/>
      <c r="AY59" s="244"/>
      <c r="AZ59" s="244"/>
      <c r="BA59" s="244"/>
      <c r="BB59" s="244"/>
      <c r="BC59" s="244"/>
      <c r="BD59" s="244"/>
      <c r="BE59" s="244"/>
      <c r="BF59" s="244"/>
      <c r="BG59" s="244"/>
      <c r="BH59" s="244"/>
      <c r="BI59" s="244"/>
      <c r="BJ59" s="244"/>
      <c r="BK59" s="244"/>
      <c r="BL59" s="244"/>
      <c r="BM59" s="244"/>
    </row>
    <row r="60" ht="15">
      <c r="A60" s="9"/>
      <c r="B60" s="654" t="s">
        <v>82</v>
      </c>
      <c r="C60" s="654"/>
      <c r="D60" s="654"/>
      <c r="E60" s="654"/>
      <c r="F60" s="654"/>
      <c r="G60" s="654"/>
      <c r="H60" s="654"/>
      <c r="I60" s="654"/>
      <c r="J60" s="654"/>
      <c r="K60" s="654"/>
      <c r="L60" s="654"/>
      <c r="M60" s="654"/>
      <c r="N60" s="654"/>
      <c r="O60" s="654"/>
      <c r="P60" s="654"/>
      <c r="Q60" s="654"/>
      <c r="R60" s="654"/>
      <c r="S60" s="654"/>
      <c r="T60" s="654"/>
      <c r="U60" s="654"/>
      <c r="V60" s="654"/>
      <c r="W60" s="654"/>
      <c r="X60" s="654"/>
      <c r="Y60" s="654"/>
      <c r="Z60" s="654"/>
      <c r="AA60" s="654"/>
      <c r="AB60" s="654"/>
      <c r="AC60" s="654"/>
      <c r="AD60" s="654"/>
      <c r="AE60" s="654"/>
      <c r="AF60" s="654"/>
      <c r="AG60" s="654"/>
      <c r="AH60" s="654"/>
      <c r="AI60" s="4"/>
      <c r="AJ60" s="4"/>
      <c r="AM60" s="244"/>
      <c r="AN60" s="244"/>
      <c r="AO60" s="244"/>
      <c r="AP60" s="244"/>
      <c r="AQ60" s="244"/>
      <c r="AR60" s="244"/>
      <c r="AS60" s="244"/>
      <c r="AT60" s="244"/>
      <c r="AU60" s="244"/>
      <c r="AV60" s="244"/>
      <c r="AW60" s="244"/>
      <c r="AX60" s="244"/>
      <c r="AY60" s="244"/>
      <c r="AZ60" s="244"/>
      <c r="BA60" s="244"/>
      <c r="BB60" s="244"/>
      <c r="BC60" s="244"/>
      <c r="BD60" s="244"/>
      <c r="BE60" s="244"/>
      <c r="BF60" s="244"/>
      <c r="BG60" s="244"/>
      <c r="BH60" s="244"/>
      <c r="BI60" s="244"/>
      <c r="BJ60" s="244"/>
      <c r="BK60" s="244"/>
      <c r="BL60" s="244"/>
      <c r="BM60" s="244"/>
    </row>
    <row r="61" ht="14.25">
      <c r="A61" s="4"/>
      <c r="B61" s="53"/>
      <c r="C61" s="84">
        <v>100</v>
      </c>
      <c r="D61" s="84">
        <v>100</v>
      </c>
      <c r="E61" s="84">
        <v>100</v>
      </c>
      <c r="F61" s="84">
        <v>100</v>
      </c>
      <c r="G61" s="84">
        <v>100</v>
      </c>
      <c r="H61" s="84">
        <v>100</v>
      </c>
      <c r="I61" s="84">
        <v>100</v>
      </c>
      <c r="J61" s="84">
        <v>100</v>
      </c>
      <c r="K61" s="84">
        <v>100</v>
      </c>
      <c r="L61" s="84">
        <v>100</v>
      </c>
      <c r="M61" s="84">
        <v>100</v>
      </c>
      <c r="N61" s="84">
        <v>100</v>
      </c>
      <c r="O61" s="84">
        <v>100</v>
      </c>
      <c r="P61" s="84">
        <v>100</v>
      </c>
      <c r="Q61" s="84">
        <v>100</v>
      </c>
      <c r="R61" s="84">
        <v>100</v>
      </c>
      <c r="S61" s="84">
        <v>100</v>
      </c>
      <c r="T61" s="84">
        <v>100</v>
      </c>
      <c r="U61" s="84">
        <v>100</v>
      </c>
      <c r="V61" s="84">
        <v>100</v>
      </c>
      <c r="W61" s="84">
        <v>100</v>
      </c>
      <c r="X61" s="84">
        <v>100</v>
      </c>
      <c r="Y61" s="84">
        <v>100</v>
      </c>
      <c r="Z61" s="84">
        <v>100</v>
      </c>
      <c r="AA61" s="84">
        <v>100</v>
      </c>
      <c r="AB61" s="84">
        <v>100</v>
      </c>
      <c r="AC61" s="84">
        <v>100</v>
      </c>
      <c r="AD61" s="84">
        <v>100</v>
      </c>
      <c r="AE61" s="84">
        <v>100</v>
      </c>
      <c r="AF61" s="84">
        <v>100</v>
      </c>
      <c r="AG61" s="84">
        <v>100</v>
      </c>
      <c r="AH61" s="4"/>
      <c r="AI61" s="4"/>
      <c r="AJ61" s="4"/>
      <c r="AM61" s="244"/>
      <c r="AN61" s="244"/>
      <c r="AO61" s="244"/>
      <c r="AP61" s="244"/>
      <c r="AQ61" s="244"/>
      <c r="AR61" s="244"/>
      <c r="AS61" s="244"/>
      <c r="AT61" s="244"/>
      <c r="AU61" s="244"/>
      <c r="AV61" s="244"/>
      <c r="AW61" s="244"/>
      <c r="AX61" s="244"/>
      <c r="AY61" s="244"/>
      <c r="AZ61" s="244"/>
      <c r="BA61" s="244"/>
      <c r="BB61" s="244"/>
      <c r="BC61" s="244"/>
      <c r="BD61" s="244"/>
      <c r="BE61" s="244"/>
      <c r="BF61" s="244"/>
      <c r="BG61" s="244"/>
      <c r="BH61" s="244"/>
      <c r="BI61" s="244"/>
      <c r="BJ61" s="244"/>
      <c r="BK61" s="244"/>
      <c r="BL61" s="244"/>
      <c r="BM61" s="244"/>
    </row>
    <row r="62" ht="26.1" customHeight="1">
      <c r="A62" s="4"/>
      <c r="B62" s="655" t="s">
        <v>114</v>
      </c>
      <c r="C62" s="655"/>
      <c r="D62" s="655"/>
      <c r="E62" s="655"/>
      <c r="F62" s="655"/>
      <c r="G62" s="655"/>
      <c r="H62" s="655"/>
      <c r="I62" s="655"/>
      <c r="J62" s="655"/>
      <c r="K62" s="655"/>
      <c r="L62" s="655"/>
      <c r="M62" s="655"/>
      <c r="N62" s="655"/>
      <c r="O62" s="655"/>
      <c r="P62" s="655"/>
      <c r="Q62" s="655"/>
      <c r="R62" s="655"/>
      <c r="S62" s="655"/>
      <c r="T62" s="655"/>
      <c r="U62" s="655"/>
      <c r="V62" s="655"/>
      <c r="W62" s="655"/>
      <c r="X62" s="655"/>
      <c r="Y62" s="655"/>
      <c r="Z62" s="655"/>
      <c r="AA62" s="655"/>
      <c r="AB62" s="655"/>
      <c r="AC62" s="655"/>
      <c r="AD62" s="655"/>
      <c r="AE62" s="655"/>
      <c r="AF62" s="655"/>
      <c r="AG62" s="655"/>
      <c r="AH62" s="655"/>
      <c r="AI62" s="655"/>
      <c r="AJ62" s="655"/>
      <c r="AK62" s="655"/>
      <c r="AM62" s="244"/>
      <c r="AN62" s="244"/>
      <c r="AO62" s="244"/>
      <c r="AP62" s="244"/>
      <c r="AQ62" s="244"/>
      <c r="AR62" s="244"/>
      <c r="AS62" s="244"/>
      <c r="AT62" s="244"/>
      <c r="AU62" s="244"/>
      <c r="AV62" s="244"/>
      <c r="AW62" s="244"/>
      <c r="AX62" s="244"/>
      <c r="AY62" s="244"/>
      <c r="AZ62" s="244"/>
      <c r="BA62" s="244"/>
      <c r="BB62" s="244"/>
      <c r="BC62" s="244"/>
      <c r="BD62" s="244"/>
      <c r="BE62" s="244"/>
      <c r="BF62" s="244"/>
      <c r="BG62" s="244"/>
      <c r="BH62" s="244"/>
      <c r="BI62" s="244"/>
      <c r="BJ62" s="244"/>
      <c r="BK62" s="244"/>
      <c r="BL62" s="244"/>
      <c r="BM62" s="24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M63" s="244"/>
      <c r="AN63" s="244"/>
      <c r="AO63" s="244"/>
      <c r="AP63" s="244"/>
      <c r="AQ63" s="244"/>
      <c r="AR63" s="244"/>
      <c r="AS63" s="244"/>
      <c r="AT63" s="244"/>
      <c r="AU63" s="244"/>
      <c r="AV63" s="244"/>
      <c r="AW63" s="244"/>
      <c r="AX63" s="244"/>
      <c r="AY63" s="244"/>
      <c r="AZ63" s="244"/>
      <c r="BA63" s="244"/>
      <c r="BB63" s="244"/>
      <c r="BC63" s="244"/>
      <c r="BD63" s="244"/>
      <c r="BE63" s="244"/>
      <c r="BF63" s="244"/>
      <c r="BG63" s="244"/>
      <c r="BH63" s="244"/>
      <c r="BI63" s="244"/>
      <c r="BJ63" s="244"/>
      <c r="BK63" s="244"/>
      <c r="BL63" s="244"/>
      <c r="BM63" s="244"/>
    </row>
    <row r="64">
      <c r="A64" s="244"/>
      <c r="B64" s="244"/>
      <c r="C64" s="244"/>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c r="BH64" s="244"/>
      <c r="BI64" s="244"/>
      <c r="BJ64" s="244"/>
      <c r="BK64" s="244"/>
      <c r="BL64" s="244"/>
      <c r="BM64" s="244"/>
    </row>
    <row r="65">
      <c r="A65" s="244"/>
      <c r="B65" s="244"/>
      <c r="C65" s="244"/>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c r="BH65" s="244"/>
      <c r="BI65" s="244"/>
      <c r="BJ65" s="244"/>
      <c r="BK65" s="244"/>
      <c r="BL65" s="244"/>
      <c r="BM65" s="244"/>
    </row>
    <row r="66">
      <c r="A66" s="244"/>
      <c r="B66" s="244"/>
      <c r="C66" s="244"/>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c r="BH66" s="244"/>
      <c r="BI66" s="244"/>
      <c r="BJ66" s="244"/>
      <c r="BK66" s="244"/>
      <c r="BL66" s="244"/>
      <c r="BM66" s="244"/>
    </row>
    <row r="67">
      <c r="A67" s="244"/>
      <c r="B67" s="244"/>
      <c r="C67" s="244"/>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c r="BH67" s="244"/>
      <c r="BI67" s="244"/>
      <c r="BJ67" s="244"/>
      <c r="BK67" s="244"/>
      <c r="BL67" s="244"/>
      <c r="BM67" s="244"/>
    </row>
    <row r="68">
      <c r="A68" s="244"/>
      <c r="B68" s="244"/>
      <c r="C68" s="244"/>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c r="BH68" s="244"/>
      <c r="BI68" s="244"/>
      <c r="BJ68" s="244"/>
      <c r="BK68" s="244"/>
      <c r="BL68" s="244"/>
      <c r="BM68" s="244"/>
    </row>
    <row r="69">
      <c r="A69" s="244"/>
      <c r="B69" s="244"/>
      <c r="C69" s="244"/>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c r="BH69" s="244"/>
      <c r="BI69" s="244"/>
      <c r="BJ69" s="244"/>
      <c r="BK69" s="244"/>
      <c r="BL69" s="244"/>
      <c r="BM69" s="244"/>
    </row>
    <row r="70" s="25" customFormat="1">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c r="Z70" s="248"/>
      <c r="AA70" s="248"/>
      <c r="AB70" s="248"/>
      <c r="AC70" s="248"/>
      <c r="AD70" s="248"/>
      <c r="AE70" s="248"/>
      <c r="AF70" s="248"/>
      <c r="AG70" s="248"/>
      <c r="AH70" s="248"/>
      <c r="AI70" s="248"/>
      <c r="AJ70" s="248"/>
      <c r="AK70" s="248"/>
      <c r="AL70" s="248"/>
      <c r="AM70" s="248"/>
      <c r="AN70" s="248"/>
      <c r="AO70" s="248"/>
      <c r="AP70" s="248"/>
      <c r="AQ70" s="248"/>
      <c r="AR70" s="248"/>
      <c r="AS70" s="248"/>
      <c r="AT70" s="248"/>
      <c r="AU70" s="248"/>
      <c r="AV70" s="248"/>
      <c r="AW70" s="248"/>
      <c r="AX70" s="248"/>
      <c r="AY70" s="248"/>
      <c r="AZ70" s="248"/>
      <c r="BA70" s="248"/>
      <c r="BB70" s="248"/>
      <c r="BC70" s="248"/>
      <c r="BD70" s="248"/>
      <c r="BE70" s="248"/>
      <c r="BF70" s="248"/>
      <c r="BG70" s="248"/>
      <c r="BH70" s="248"/>
      <c r="BI70" s="248"/>
      <c r="BJ70" s="248"/>
      <c r="BK70" s="248"/>
      <c r="BL70" s="248"/>
      <c r="BM70" s="248"/>
    </row>
    <row r="71" s="25" customFormat="1" ht="10.5" customHeight="1">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c r="Z71" s="248"/>
      <c r="AA71" s="248"/>
      <c r="AB71" s="248"/>
      <c r="AC71" s="248"/>
      <c r="AD71" s="248"/>
      <c r="AE71" s="248"/>
      <c r="AF71" s="248"/>
      <c r="AG71" s="248"/>
      <c r="AH71" s="248"/>
      <c r="AI71" s="248"/>
      <c r="AJ71" s="248"/>
      <c r="AK71" s="248"/>
      <c r="AL71" s="248"/>
      <c r="AM71" s="248"/>
      <c r="AN71" s="248"/>
      <c r="AO71" s="248"/>
      <c r="AP71" s="248"/>
      <c r="AQ71" s="248"/>
      <c r="AR71" s="248"/>
      <c r="AS71" s="248"/>
      <c r="AT71" s="248"/>
      <c r="AU71" s="248"/>
      <c r="AV71" s="248"/>
      <c r="AW71" s="248"/>
      <c r="AX71" s="248"/>
      <c r="AY71" s="248"/>
      <c r="AZ71" s="248"/>
      <c r="BA71" s="248"/>
      <c r="BB71" s="248"/>
      <c r="BC71" s="248"/>
      <c r="BD71" s="248"/>
      <c r="BE71" s="248"/>
      <c r="BF71" s="248"/>
      <c r="BG71" s="248"/>
      <c r="BH71" s="248"/>
      <c r="BI71" s="248"/>
      <c r="BJ71" s="248"/>
      <c r="BK71" s="248"/>
      <c r="BL71" s="248"/>
      <c r="BM71" s="248"/>
    </row>
    <row r="72" s="25" customFormat="1">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c r="Z72" s="248"/>
      <c r="AA72" s="248"/>
      <c r="AB72" s="248"/>
      <c r="AC72" s="248"/>
      <c r="AD72" s="248"/>
      <c r="AE72" s="248"/>
      <c r="AF72" s="248"/>
      <c r="AG72" s="248"/>
      <c r="AH72" s="248"/>
      <c r="AI72" s="248"/>
      <c r="AJ72" s="248"/>
      <c r="AK72" s="248"/>
      <c r="AL72" s="248"/>
      <c r="AM72" s="248"/>
      <c r="AN72" s="248"/>
      <c r="AO72" s="248"/>
      <c r="AP72" s="248"/>
      <c r="AQ72" s="248"/>
      <c r="AR72" s="248"/>
      <c r="AS72" s="248"/>
      <c r="AT72" s="248"/>
      <c r="AU72" s="248"/>
      <c r="AV72" s="248"/>
      <c r="AW72" s="248"/>
      <c r="AX72" s="248"/>
      <c r="AY72" s="248"/>
      <c r="AZ72" s="248"/>
      <c r="BA72" s="248"/>
      <c r="BB72" s="248"/>
      <c r="BC72" s="248"/>
      <c r="BD72" s="248"/>
      <c r="BE72" s="248"/>
      <c r="BF72" s="248"/>
      <c r="BG72" s="248"/>
      <c r="BH72" s="248"/>
      <c r="BI72" s="248"/>
      <c r="BJ72" s="248"/>
      <c r="BK72" s="248"/>
      <c r="BL72" s="248"/>
      <c r="BM72" s="248"/>
    </row>
    <row r="73" s="84" customFormat="1">
      <c r="A73" s="249"/>
      <c r="B73" s="249"/>
      <c r="C73" s="249"/>
      <c r="D73" s="249"/>
      <c r="E73" s="249"/>
      <c r="F73" s="249"/>
      <c r="G73" s="249"/>
      <c r="H73" s="249"/>
      <c r="I73" s="249"/>
      <c r="J73" s="249"/>
      <c r="K73" s="249"/>
      <c r="L73" s="249"/>
      <c r="M73" s="249"/>
      <c r="N73" s="249"/>
      <c r="O73" s="249"/>
      <c r="P73" s="249"/>
      <c r="Q73" s="249"/>
      <c r="R73" s="249"/>
      <c r="S73" s="249"/>
      <c r="T73" s="249"/>
      <c r="U73" s="249"/>
      <c r="V73" s="249"/>
      <c r="W73" s="249"/>
      <c r="X73" s="249"/>
      <c r="Y73" s="249"/>
      <c r="Z73" s="249"/>
      <c r="AA73" s="249"/>
      <c r="AB73" s="249"/>
      <c r="AC73" s="24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row>
    <row r="74" s="84" customFormat="1">
      <c r="A74" s="249"/>
      <c r="B74" s="249"/>
      <c r="C74" s="249"/>
      <c r="D74" s="249"/>
      <c r="E74" s="249"/>
      <c r="F74" s="249"/>
      <c r="G74" s="249"/>
      <c r="H74" s="249"/>
      <c r="I74" s="249"/>
      <c r="J74" s="249"/>
      <c r="K74" s="249"/>
      <c r="L74" s="249"/>
      <c r="M74" s="249"/>
      <c r="N74" s="249"/>
      <c r="O74" s="249"/>
      <c r="P74" s="249"/>
      <c r="Q74" s="249"/>
      <c r="R74" s="249"/>
      <c r="S74" s="249"/>
      <c r="T74" s="249"/>
      <c r="U74" s="249"/>
      <c r="V74" s="249"/>
      <c r="W74" s="249"/>
      <c r="X74" s="249"/>
      <c r="Y74" s="249"/>
      <c r="Z74" s="249"/>
      <c r="AA74" s="249"/>
      <c r="AB74" s="249"/>
      <c r="AC74" s="249"/>
      <c r="AD74" s="249"/>
      <c r="AE74" s="249"/>
      <c r="AF74" s="249"/>
      <c r="AG74" s="249"/>
      <c r="AH74" s="249"/>
      <c r="AI74" s="249"/>
      <c r="AJ74" s="249"/>
      <c r="AK74" s="249"/>
      <c r="AL74" s="249"/>
      <c r="AM74" s="249"/>
      <c r="AN74" s="249"/>
      <c r="AO74" s="249"/>
      <c r="AP74" s="249"/>
      <c r="AQ74" s="249"/>
      <c r="AR74" s="249"/>
      <c r="AS74" s="249"/>
      <c r="AT74" s="249"/>
      <c r="AU74" s="249"/>
      <c r="AV74" s="249"/>
      <c r="AW74" s="249"/>
      <c r="AX74" s="249"/>
      <c r="AY74" s="249"/>
      <c r="AZ74" s="249"/>
      <c r="BA74" s="249"/>
      <c r="BB74" s="249"/>
      <c r="BC74" s="249"/>
      <c r="BD74" s="249"/>
      <c r="BE74" s="249"/>
      <c r="BF74" s="249"/>
      <c r="BG74" s="249"/>
      <c r="BH74" s="249"/>
      <c r="BI74" s="249"/>
      <c r="BJ74" s="249"/>
      <c r="BK74" s="249"/>
      <c r="BL74" s="249"/>
      <c r="BM74" s="249"/>
    </row>
    <row r="75" s="84" customFormat="1">
      <c r="A75" s="249"/>
      <c r="B75" s="249"/>
      <c r="C75" s="249"/>
      <c r="D75" s="249"/>
      <c r="E75" s="249"/>
      <c r="F75" s="249"/>
      <c r="G75" s="249"/>
      <c r="H75" s="249"/>
      <c r="I75" s="249"/>
      <c r="J75" s="249"/>
      <c r="K75" s="249"/>
      <c r="L75" s="249"/>
      <c r="M75" s="249"/>
      <c r="N75" s="249"/>
      <c r="O75" s="249"/>
      <c r="P75" s="249"/>
      <c r="Q75" s="249"/>
      <c r="R75" s="249"/>
      <c r="S75" s="249"/>
      <c r="T75" s="249"/>
      <c r="U75" s="249"/>
      <c r="V75" s="249"/>
      <c r="W75" s="249"/>
      <c r="X75" s="249"/>
      <c r="Y75" s="249"/>
      <c r="Z75" s="249"/>
      <c r="AA75" s="249"/>
      <c r="AB75" s="249"/>
      <c r="AC75" s="249"/>
      <c r="AD75" s="249"/>
      <c r="AE75" s="249"/>
      <c r="AF75" s="249"/>
      <c r="AG75" s="249"/>
      <c r="AH75" s="249"/>
      <c r="AI75" s="249"/>
      <c r="AJ75" s="249"/>
      <c r="AK75" s="249"/>
      <c r="AL75" s="249"/>
      <c r="AM75" s="249"/>
      <c r="AN75" s="249"/>
      <c r="AO75" s="249"/>
      <c r="AP75" s="249"/>
      <c r="AQ75" s="249"/>
      <c r="AR75" s="249"/>
      <c r="AS75" s="249"/>
      <c r="AT75" s="249"/>
      <c r="AU75" s="249"/>
      <c r="AV75" s="249"/>
      <c r="AW75" s="249"/>
      <c r="AX75" s="249"/>
      <c r="AY75" s="249"/>
      <c r="AZ75" s="249"/>
      <c r="BA75" s="249"/>
      <c r="BB75" s="249"/>
      <c r="BC75" s="249"/>
      <c r="BD75" s="249"/>
      <c r="BE75" s="249"/>
      <c r="BF75" s="249"/>
      <c r="BG75" s="249"/>
      <c r="BH75" s="249"/>
      <c r="BI75" s="249"/>
      <c r="BJ75" s="249"/>
      <c r="BK75" s="249"/>
      <c r="BL75" s="249"/>
      <c r="BM75" s="249"/>
    </row>
    <row r="76" s="84" customFormat="1">
      <c r="A76" s="250"/>
      <c r="B76" s="250"/>
      <c r="C76" s="250"/>
      <c r="D76" s="250"/>
      <c r="E76" s="250"/>
      <c r="F76" s="250"/>
      <c r="G76" s="250"/>
      <c r="H76" s="250"/>
      <c r="I76" s="249"/>
      <c r="J76" s="249"/>
      <c r="K76" s="249"/>
      <c r="L76" s="249"/>
      <c r="M76" s="249"/>
      <c r="N76" s="249"/>
      <c r="O76" s="249"/>
      <c r="P76" s="249"/>
      <c r="Q76" s="249"/>
      <c r="R76" s="249"/>
      <c r="S76" s="249"/>
      <c r="T76" s="249"/>
      <c r="U76" s="249"/>
      <c r="V76" s="249"/>
      <c r="W76" s="249"/>
      <c r="X76" s="249"/>
      <c r="Y76" s="249"/>
      <c r="Z76" s="249"/>
      <c r="AA76" s="249"/>
      <c r="AB76" s="249"/>
      <c r="AC76" s="249"/>
      <c r="AD76" s="249"/>
      <c r="AE76" s="249"/>
      <c r="AF76" s="249"/>
      <c r="AG76" s="249"/>
      <c r="AH76" s="249"/>
      <c r="AI76" s="249"/>
      <c r="AJ76" s="249"/>
      <c r="AK76" s="249"/>
      <c r="AL76" s="249"/>
      <c r="AM76" s="249"/>
      <c r="AN76" s="249"/>
      <c r="AO76" s="249"/>
      <c r="AP76" s="249"/>
      <c r="AQ76" s="249"/>
      <c r="AR76" s="249"/>
      <c r="AS76" s="249"/>
      <c r="AT76" s="249"/>
      <c r="AU76" s="249"/>
      <c r="AV76" s="249"/>
      <c r="AW76" s="249"/>
      <c r="AX76" s="249"/>
      <c r="AY76" s="249"/>
      <c r="AZ76" s="249"/>
      <c r="BA76" s="249"/>
      <c r="BB76" s="249"/>
      <c r="BC76" s="249"/>
      <c r="BD76" s="249"/>
      <c r="BE76" s="249"/>
      <c r="BF76" s="249"/>
      <c r="BG76" s="249"/>
      <c r="BH76" s="249"/>
      <c r="BI76" s="249"/>
      <c r="BJ76" s="249"/>
      <c r="BK76" s="249"/>
      <c r="BL76" s="249"/>
      <c r="BM76" s="249"/>
    </row>
    <row r="77" s="84" customFormat="1">
      <c r="A77" s="250"/>
      <c r="B77" s="250"/>
      <c r="C77" s="250"/>
      <c r="D77" s="250"/>
      <c r="E77" s="250"/>
      <c r="F77" s="250"/>
      <c r="G77" s="250"/>
      <c r="H77" s="250"/>
      <c r="I77" s="249"/>
      <c r="J77" s="249"/>
      <c r="K77" s="249"/>
      <c r="L77" s="249"/>
      <c r="M77" s="249"/>
      <c r="N77" s="249"/>
      <c r="O77" s="249"/>
      <c r="P77" s="249"/>
      <c r="Q77" s="249"/>
      <c r="R77" s="249"/>
      <c r="S77" s="249"/>
      <c r="T77" s="249"/>
      <c r="U77" s="249"/>
      <c r="V77" s="249"/>
      <c r="W77" s="249"/>
      <c r="X77" s="249"/>
      <c r="Y77" s="249"/>
      <c r="Z77" s="249"/>
      <c r="AA77" s="249"/>
      <c r="AB77" s="249"/>
      <c r="AC77" s="249"/>
      <c r="AD77" s="249"/>
      <c r="AE77" s="249"/>
      <c r="AF77" s="249"/>
      <c r="AG77" s="249"/>
      <c r="AH77" s="249"/>
      <c r="AI77" s="249"/>
      <c r="AJ77" s="249"/>
      <c r="AK77" s="249"/>
      <c r="AL77" s="249"/>
      <c r="AM77" s="249"/>
      <c r="AN77" s="249"/>
      <c r="AO77" s="249"/>
      <c r="AP77" s="249"/>
      <c r="AQ77" s="249"/>
      <c r="AR77" s="249"/>
      <c r="AS77" s="249"/>
      <c r="AT77" s="249"/>
      <c r="AU77" s="249"/>
      <c r="AV77" s="249"/>
      <c r="AW77" s="249"/>
      <c r="AX77" s="249"/>
      <c r="AY77" s="249"/>
      <c r="AZ77" s="249"/>
      <c r="BA77" s="249"/>
      <c r="BB77" s="249"/>
      <c r="BC77" s="249"/>
      <c r="BD77" s="249"/>
      <c r="BE77" s="249"/>
      <c r="BF77" s="249"/>
      <c r="BG77" s="249"/>
      <c r="BH77" s="249"/>
      <c r="BI77" s="249"/>
      <c r="BJ77" s="249"/>
      <c r="BK77" s="249"/>
      <c r="BL77" s="249"/>
      <c r="BM77" s="249"/>
    </row>
    <row r="78" s="84" customFormat="1">
      <c r="A78" s="250"/>
      <c r="B78" s="250"/>
      <c r="C78" s="250"/>
      <c r="D78" s="250"/>
      <c r="E78" s="250"/>
      <c r="F78" s="250"/>
      <c r="G78" s="250"/>
      <c r="H78" s="250"/>
      <c r="I78" s="249"/>
      <c r="J78" s="249"/>
      <c r="K78" s="249"/>
      <c r="L78" s="249"/>
      <c r="M78" s="249"/>
      <c r="N78" s="249"/>
      <c r="O78" s="249"/>
      <c r="P78" s="249"/>
      <c r="Q78" s="249"/>
      <c r="R78" s="249"/>
      <c r="S78" s="249"/>
      <c r="T78" s="249"/>
      <c r="U78" s="249"/>
      <c r="V78" s="249"/>
      <c r="W78" s="249"/>
      <c r="X78" s="249"/>
      <c r="Y78" s="249"/>
      <c r="Z78" s="249"/>
      <c r="AA78" s="249"/>
      <c r="AB78" s="249"/>
      <c r="AC78" s="249"/>
      <c r="AD78" s="249"/>
      <c r="AE78" s="249"/>
      <c r="AF78" s="249"/>
      <c r="AG78" s="24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row>
    <row r="79" s="84" customFormat="1">
      <c r="A79" s="249"/>
      <c r="B79" s="249"/>
      <c r="C79" s="249"/>
      <c r="D79" s="249"/>
      <c r="E79" s="249"/>
      <c r="F79" s="249"/>
      <c r="G79" s="249"/>
      <c r="H79" s="249"/>
      <c r="I79" s="249"/>
      <c r="J79" s="249"/>
      <c r="K79" s="249"/>
      <c r="L79" s="249"/>
      <c r="M79" s="249"/>
      <c r="N79" s="249"/>
      <c r="O79" s="249"/>
      <c r="P79" s="249"/>
      <c r="Q79" s="249"/>
      <c r="R79" s="249"/>
      <c r="S79" s="249"/>
      <c r="T79" s="249"/>
      <c r="U79" s="249"/>
      <c r="V79" s="249"/>
      <c r="W79" s="249"/>
      <c r="X79" s="249"/>
      <c r="Y79" s="249"/>
      <c r="Z79" s="249"/>
      <c r="AA79" s="249"/>
      <c r="AB79" s="249"/>
      <c r="AC79" s="249"/>
      <c r="AD79" s="249"/>
      <c r="AE79" s="249"/>
      <c r="AF79" s="249"/>
      <c r="AG79" s="24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row>
    <row r="80">
      <c r="A80" s="244"/>
      <c r="B80" s="244"/>
      <c r="C80" s="244"/>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c r="BH80" s="244"/>
      <c r="BI80" s="244"/>
      <c r="BJ80" s="244"/>
      <c r="BK80" s="244"/>
      <c r="BL80" s="244"/>
      <c r="BM80" s="244"/>
    </row>
    <row r="81">
      <c r="A81" s="244"/>
      <c r="B81" s="244"/>
      <c r="C81" s="244"/>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c r="BH81" s="244"/>
      <c r="BI81" s="244"/>
      <c r="BJ81" s="244"/>
      <c r="BK81" s="244"/>
      <c r="BL81" s="244"/>
      <c r="BM81" s="244"/>
    </row>
    <row r="82">
      <c r="A82" s="244"/>
      <c r="B82" s="244"/>
      <c r="C82" s="244"/>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c r="BH82" s="244"/>
      <c r="BI82" s="244"/>
      <c r="BJ82" s="244"/>
      <c r="BK82" s="244"/>
      <c r="BL82" s="244"/>
      <c r="BM82" s="244"/>
    </row>
    <row r="83">
      <c r="A83" s="244"/>
      <c r="B83" s="244"/>
      <c r="C83" s="244"/>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c r="BH83" s="244"/>
      <c r="BI83" s="244"/>
      <c r="BJ83" s="244"/>
      <c r="BK83" s="244"/>
      <c r="BL83" s="244"/>
      <c r="BM83" s="244"/>
    </row>
    <row r="84">
      <c r="A84" s="244"/>
      <c r="B84" s="244"/>
      <c r="C84" s="244"/>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c r="BH84" s="244"/>
      <c r="BI84" s="244"/>
      <c r="BJ84" s="244"/>
      <c r="BK84" s="244"/>
      <c r="BL84" s="244"/>
      <c r="BM84" s="244"/>
    </row>
    <row r="85">
      <c r="A85" s="244"/>
      <c r="B85" s="244"/>
      <c r="C85" s="244"/>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c r="BH85" s="244"/>
      <c r="BI85" s="244"/>
      <c r="BJ85" s="244"/>
      <c r="BK85" s="244"/>
      <c r="BL85" s="244"/>
      <c r="BM85" s="244"/>
    </row>
    <row r="86">
      <c r="A86" s="244"/>
      <c r="B86" s="244"/>
      <c r="C86" s="244"/>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c r="BH86" s="244"/>
      <c r="BI86" s="244"/>
      <c r="BJ86" s="244"/>
      <c r="BK86" s="244"/>
      <c r="BL86" s="244"/>
      <c r="BM86" s="244"/>
    </row>
    <row r="87">
      <c r="A87" s="244"/>
      <c r="B87" s="244"/>
      <c r="C87" s="244"/>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c r="BH87" s="244"/>
      <c r="BI87" s="244"/>
      <c r="BJ87" s="244"/>
      <c r="BK87" s="244"/>
      <c r="BL87" s="244"/>
      <c r="BM87" s="244"/>
    </row>
    <row r="88">
      <c r="A88" s="244"/>
      <c r="B88" s="244"/>
      <c r="C88" s="244"/>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c r="BH88" s="244"/>
      <c r="BI88" s="244"/>
      <c r="BJ88" s="244"/>
      <c r="BK88" s="244"/>
      <c r="BL88" s="244"/>
      <c r="BM88" s="244"/>
    </row>
    <row r="89">
      <c r="A89" s="244"/>
      <c r="B89" s="244"/>
      <c r="C89" s="244"/>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c r="BH89" s="244"/>
      <c r="BI89" s="244"/>
      <c r="BJ89" s="244"/>
      <c r="BK89" s="244"/>
      <c r="BL89" s="244"/>
      <c r="BM89" s="244"/>
    </row>
    <row r="90">
      <c r="A90" s="244"/>
      <c r="B90" s="244"/>
      <c r="C90" s="244"/>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c r="BH90" s="244"/>
      <c r="BI90" s="244"/>
      <c r="BJ90" s="244"/>
      <c r="BK90" s="244"/>
      <c r="BL90" s="244"/>
      <c r="BM90" s="244"/>
    </row>
    <row r="91">
      <c r="A91" s="244"/>
      <c r="B91" s="244"/>
      <c r="C91" s="244"/>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c r="BH91" s="244"/>
      <c r="BI91" s="244"/>
      <c r="BJ91" s="244"/>
      <c r="BK91" s="244"/>
      <c r="BL91" s="244"/>
      <c r="BM91" s="244"/>
    </row>
    <row r="92">
      <c r="A92" s="244"/>
      <c r="B92" s="244"/>
      <c r="C92" s="244"/>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c r="BH92" s="244"/>
      <c r="BI92" s="244"/>
      <c r="BJ92" s="244"/>
      <c r="BK92" s="244"/>
      <c r="BL92" s="244"/>
      <c r="BM92" s="244"/>
    </row>
    <row r="93">
      <c r="A93" s="244"/>
      <c r="B93" s="244"/>
      <c r="C93" s="244"/>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c r="BH93" s="244"/>
      <c r="BI93" s="244"/>
      <c r="BJ93" s="244"/>
      <c r="BK93" s="244"/>
      <c r="BL93" s="244"/>
      <c r="BM93" s="244"/>
    </row>
    <row r="94">
      <c r="A94" s="244"/>
      <c r="B94" s="244"/>
      <c r="C94" s="244"/>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c r="BH94" s="244"/>
      <c r="BI94" s="244"/>
      <c r="BJ94" s="244"/>
      <c r="BK94" s="244"/>
      <c r="BL94" s="244"/>
      <c r="BM94" s="244"/>
    </row>
    <row r="95">
      <c r="A95" s="244"/>
      <c r="B95" s="244"/>
      <c r="C95" s="244"/>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c r="BH95" s="244"/>
      <c r="BI95" s="244"/>
      <c r="BJ95" s="244"/>
      <c r="BK95" s="244"/>
      <c r="BL95" s="244"/>
      <c r="BM95" s="244"/>
    </row>
    <row r="96">
      <c r="A96" s="244"/>
      <c r="B96" s="244"/>
      <c r="C96" s="244"/>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c r="BH96" s="244"/>
      <c r="BI96" s="244"/>
      <c r="BJ96" s="244"/>
      <c r="BK96" s="244"/>
      <c r="BL96" s="244"/>
      <c r="BM96" s="244"/>
    </row>
    <row r="97">
      <c r="A97" s="244"/>
      <c r="B97" s="244"/>
      <c r="C97" s="244"/>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c r="BH97" s="244"/>
      <c r="BI97" s="244"/>
      <c r="BJ97" s="244"/>
      <c r="BK97" s="244"/>
      <c r="BL97" s="244"/>
      <c r="BM97" s="244"/>
    </row>
    <row r="98">
      <c r="A98" s="244"/>
      <c r="B98" s="244"/>
      <c r="C98" s="244"/>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c r="BH98" s="244"/>
      <c r="BI98" s="244"/>
      <c r="BJ98" s="244"/>
      <c r="BK98" s="244"/>
      <c r="BL98" s="244"/>
      <c r="BM98" s="244"/>
    </row>
    <row r="99">
      <c r="A99" s="244"/>
      <c r="B99" s="244"/>
      <c r="C99" s="244"/>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c r="BH99" s="244"/>
      <c r="BI99" s="244"/>
      <c r="BJ99" s="244"/>
      <c r="BK99" s="244"/>
      <c r="BL99" s="244"/>
      <c r="BM99" s="244"/>
    </row>
    <row r="100">
      <c r="A100" s="244"/>
      <c r="B100" s="244"/>
      <c r="C100" s="244"/>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c r="BH100" s="244"/>
      <c r="BI100" s="244"/>
      <c r="BJ100" s="244"/>
      <c r="BK100" s="244"/>
      <c r="BL100" s="244"/>
      <c r="BM100" s="244"/>
    </row>
    <row r="101">
      <c r="A101" s="244"/>
      <c r="B101" s="244"/>
      <c r="C101" s="244"/>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row>
    <row r="102">
      <c r="A102" s="244"/>
      <c r="B102" s="244"/>
      <c r="C102" s="244"/>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row>
    <row r="103">
      <c r="A103" s="244"/>
      <c r="B103" s="244"/>
      <c r="C103" s="244"/>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row>
  </sheetData>
  <mergeCells count="8">
    <mergeCell ref="B62:AK62"/>
    <mergeCell ref="T4:AI4"/>
    <mergeCell ref="B48:B49"/>
    <mergeCell ref="X22:AD22"/>
    <mergeCell ref="X35:AD35"/>
    <mergeCell ref="X47:AD47"/>
    <mergeCell ref="B24:B25"/>
    <mergeCell ref="B36:B37"/>
  </mergeCells>
  <phoneticPr fontId="0" type="noConversion"/>
  <printOptions horizontalCentered="1" verticalCentered="1"/>
  <pageMargins left="0.25" right="0.25" top="0.25" bottom="0.25" header="0" footer="0"/>
  <pageSetup scale="45" orientation="landscape" r:id="rId1"/>
  <headerFooter alignWithMargins="0">
    <oddHeader/>
    <oddFooter/>
  </headerFooter>
  <drawing r:id="rId30"/>
</worksheet>
</file>

<file path=xl/worksheets/sheet30.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G105"/>
  <sheetViews>
    <sheetView showGridLines="0" zoomScale="75"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123</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c r="BB1" s="244"/>
      <c r="BC1" s="244"/>
      <c r="BD1" s="244"/>
      <c r="BE1" s="244"/>
      <c r="BF1" s="244"/>
      <c r="BG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c r="BB2" s="244"/>
      <c r="BC2" s="244"/>
      <c r="BD2" s="244"/>
      <c r="BE2" s="244"/>
      <c r="BF2" s="244"/>
      <c r="BG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row>
    <row r="4" ht="17.1" customHeight="1">
      <c r="A4" t="s">
        <v>143</v>
      </c>
      <c r="B4" s="442"/>
      <c r="C4" s="211"/>
      <c r="D4" s="212"/>
      <c r="E4" s="212"/>
      <c r="F4" s="212"/>
      <c r="G4" s="212"/>
      <c r="H4" s="212"/>
      <c r="I4" s="212"/>
      <c r="J4" s="212"/>
      <c r="K4" s="212"/>
      <c r="L4" s="212"/>
      <c r="M4" s="212"/>
      <c r="N4" s="212"/>
      <c r="O4" s="212"/>
      <c r="P4" s="212"/>
      <c r="Q4" s="212"/>
      <c r="R4" s="665" t="s">
        <v>146</v>
      </c>
      <c r="S4" s="665"/>
      <c r="T4" s="665"/>
      <c r="U4" s="665"/>
      <c r="V4" s="665"/>
      <c r="W4" s="665"/>
      <c r="X4" s="665"/>
      <c r="Y4" s="665"/>
      <c r="Z4" s="665"/>
      <c r="AA4" s="66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c r="BB4" s="244"/>
      <c r="BC4" s="244"/>
      <c r="BD4" s="244"/>
      <c r="BE4" s="244"/>
      <c r="BF4" s="244"/>
      <c r="BG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c r="BB5" s="244"/>
      <c r="BC5" s="244"/>
      <c r="BD5" s="244"/>
      <c r="BE5" s="244"/>
      <c r="BF5" s="244"/>
      <c r="BG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c r="BB6" s="244"/>
      <c r="BC6" s="244"/>
      <c r="BD6" s="244"/>
      <c r="BE6" s="244"/>
      <c r="BF6" s="244"/>
      <c r="BG6" s="244"/>
    </row>
    <row r="7" ht="15.75">
      <c r="D7" s="621" t="s">
        <v>54</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c r="BB7" s="244"/>
      <c r="BC7" s="244"/>
      <c r="BD7" s="244"/>
      <c r="BE7" s="244"/>
      <c r="BF7" s="244"/>
      <c r="BG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c r="BB8" s="244"/>
      <c r="BC8" s="244"/>
      <c r="BD8" s="244"/>
      <c r="BE8" s="244"/>
      <c r="BF8" s="244"/>
      <c r="BG8" s="244"/>
    </row>
    <row r="9" ht="27" customHeight="1">
      <c r="A9" s="92"/>
      <c r="D9" s="339" t="s">
        <v>63</v>
      </c>
      <c r="E9" s="340" t="s">
        <v>26</v>
      </c>
      <c r="F9" s="341" t="s">
        <v>147</v>
      </c>
      <c r="G9" s="339" t="s">
        <v>63</v>
      </c>
      <c r="H9" s="340" t="s">
        <v>26</v>
      </c>
      <c r="I9" s="341" t="s">
        <v>147</v>
      </c>
      <c r="J9" s="340" t="s">
        <v>63</v>
      </c>
      <c r="K9" s="340" t="s">
        <v>26</v>
      </c>
      <c r="L9" s="341" t="s">
        <v>147</v>
      </c>
      <c r="M9" s="339" t="s">
        <v>63</v>
      </c>
      <c r="N9" s="340" t="s">
        <v>26</v>
      </c>
      <c r="O9" s="341" t="s">
        <v>147</v>
      </c>
      <c r="P9" s="96"/>
      <c r="Q9" s="339" t="s">
        <v>63</v>
      </c>
      <c r="R9" s="340" t="s">
        <v>26</v>
      </c>
      <c r="S9" s="341" t="s">
        <v>147</v>
      </c>
      <c r="T9" s="339" t="s">
        <v>63</v>
      </c>
      <c r="U9" s="340" t="s">
        <v>26</v>
      </c>
      <c r="V9" s="341" t="s">
        <v>147</v>
      </c>
      <c r="W9" s="340"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c r="BB9" s="244"/>
      <c r="BC9" s="244"/>
      <c r="BD9" s="244"/>
      <c r="BE9" s="244"/>
      <c r="BF9" s="244"/>
      <c r="BG9" s="244"/>
    </row>
    <row r="10" ht="15.6" customHeight="1">
      <c r="A10" s="92" t="s">
        <v>148</v>
      </c>
      <c r="B10" s="342">
        <v>13</v>
      </c>
      <c r="C10" s="350" t="s">
        <v>49</v>
      </c>
      <c r="D10" s="354">
        <v>29.569892473118279569892473120</v>
      </c>
      <c r="E10" s="355">
        <v>29.336279926335174953959484340</v>
      </c>
      <c r="F10" s="356">
        <v>47.749260706071337300573180970</v>
      </c>
      <c r="G10" s="354">
        <v>0</v>
      </c>
      <c r="H10" s="355">
        <v>6.2703499079189686924493554300</v>
      </c>
      <c r="I10" s="356">
        <v>5.884252329435053687545381900</v>
      </c>
      <c r="J10" s="355">
        <v>1.6129032258064516129032258100</v>
      </c>
      <c r="K10" s="355">
        <v>6.3823204419889502762430939200</v>
      </c>
      <c r="L10" s="356">
        <v>0.2893894588246747715186253400</v>
      </c>
      <c r="M10" s="354">
        <v>31.182795698924731182795698920</v>
      </c>
      <c r="N10" s="355">
        <v>41.988950276243093922651933700</v>
      </c>
      <c r="O10" s="356">
        <v>53.922902494331065759637188210</v>
      </c>
      <c r="P10" s="4"/>
      <c r="Q10" s="354">
        <v>48.648648648495982468955598730</v>
      </c>
      <c r="R10" s="355">
        <v>14.676028559140083310615695680</v>
      </c>
      <c r="S10" s="356">
        <v>4.843850766790085164920959500</v>
      </c>
      <c r="T10" s="354">
        <v>-100</v>
      </c>
      <c r="U10" s="355">
        <v>-6.7842784276328181729059266500</v>
      </c>
      <c r="V10" s="356">
        <v>32.934001222492234911258163820</v>
      </c>
      <c r="W10" s="355">
        <v>200.00000000120000000000480066</v>
      </c>
      <c r="X10" s="355">
        <v>30.460396039897819208901749980</v>
      </c>
      <c r="Y10" s="356">
        <v>194.19819929389959014941881657</v>
      </c>
      <c r="Z10" s="354">
        <v>41.463414634070434265318303650</v>
      </c>
      <c r="AA10" s="355">
        <v>12.871287128562562493873349850</v>
      </c>
      <c r="AB10" s="356">
        <v>7.6992753622851845561594308100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c r="BB10" s="244"/>
      <c r="BC10" s="244"/>
      <c r="BD10" s="244"/>
      <c r="BE10" s="244"/>
      <c r="BF10" s="244"/>
      <c r="BG10" s="244"/>
    </row>
    <row r="11" ht="15.6" customHeight="1">
      <c r="A11" s="92"/>
      <c r="B11" s="344">
        <v>14</v>
      </c>
      <c r="C11" s="351" t="s">
        <v>47</v>
      </c>
      <c r="D11" s="327">
        <v>27.419354838709677419354838710</v>
      </c>
      <c r="E11" s="171">
        <v>38.801216894071202547744777830</v>
      </c>
      <c r="F11" s="328">
        <v>70.206241226649389914696037150</v>
      </c>
      <c r="G11" s="327">
        <v>0</v>
      </c>
      <c r="H11" s="171">
        <v>3.4787297905029354008322904300</v>
      </c>
      <c r="I11" s="328">
        <v>6.9554170874699085983599789100</v>
      </c>
      <c r="J11" s="171">
        <v>2.1505376344086021505376344100</v>
      </c>
      <c r="K11" s="171">
        <v>6.1546757831975010937802061400</v>
      </c>
      <c r="L11" s="328">
        <v>0.4347135679668692873974986800</v>
      </c>
      <c r="M11" s="327">
        <v>29.569892473118279569892473120</v>
      </c>
      <c r="N11" s="171">
        <v>48.434622467771639042357274400</v>
      </c>
      <c r="O11" s="328">
        <v>77.596371882086167800453514740</v>
      </c>
      <c r="P11" s="4"/>
      <c r="Q11" s="327">
        <v>-7.2727272726699504132231050600</v>
      </c>
      <c r="R11" s="171">
        <v>0.7046935768030794315430845900</v>
      </c>
      <c r="S11" s="328">
        <v>12.063375027668905134418266740</v>
      </c>
      <c r="T11" s="327">
        <v>0</v>
      </c>
      <c r="U11" s="171">
        <v>-34.851757394582579018038023710</v>
      </c>
      <c r="V11" s="328">
        <v>124.06366906700200551924940756</v>
      </c>
      <c r="W11" s="171">
        <v>100.00000000080000000000320013</v>
      </c>
      <c r="X11" s="171">
        <v>22.466167590994806786342652180</v>
      </c>
      <c r="Y11" s="328">
        <v>131.06565869184956860114878061</v>
      </c>
      <c r="Z11" s="327">
        <v>-3.5087719297534626038780639500</v>
      </c>
      <c r="AA11" s="171">
        <v>-0.9416195856683541340823694400</v>
      </c>
      <c r="AB11" s="328">
        <v>17.675378266850473436651536630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c r="BB11" s="244"/>
      <c r="BC11" s="244"/>
      <c r="BD11" s="244"/>
      <c r="BE11" s="244"/>
      <c r="BF11" s="244"/>
      <c r="BG11" s="244"/>
    </row>
    <row r="12" ht="15.6" customHeight="1">
      <c r="A12" s="92"/>
      <c r="B12" s="346">
        <v>15</v>
      </c>
      <c r="C12" s="352" t="s">
        <v>48</v>
      </c>
      <c r="D12" s="359">
        <v>37.096774193548387096774193550</v>
      </c>
      <c r="E12" s="170">
        <v>54.009766450422770698180898350</v>
      </c>
      <c r="F12" s="360">
        <v>75.082143725469764857073390990</v>
      </c>
      <c r="G12" s="359">
        <v>0</v>
      </c>
      <c r="H12" s="170">
        <v>8.084622005052888753158055470</v>
      </c>
      <c r="I12" s="360">
        <v>11.390464281992884681224787510</v>
      </c>
      <c r="J12" s="170">
        <v>1.6129032258064516129032258100</v>
      </c>
      <c r="K12" s="170">
        <v>4.9406023364212097935965894500</v>
      </c>
      <c r="L12" s="360">
        <v>0.2847616070498221170306196900</v>
      </c>
      <c r="M12" s="359">
        <v>38.709677419354838709677419350</v>
      </c>
      <c r="N12" s="170">
        <v>67.034990791896869244935543280</v>
      </c>
      <c r="O12" s="360">
        <v>86.75736961451247165532879819</v>
      </c>
      <c r="P12" s="4"/>
      <c r="Q12" s="359">
        <v>23.214285714369323979591893480</v>
      </c>
      <c r="R12" s="170">
        <v>27.034065000802251257123813490</v>
      </c>
      <c r="S12" s="360">
        <v>7.1814699225478450563283603900</v>
      </c>
      <c r="T12" s="359">
        <v>0</v>
      </c>
      <c r="U12" s="170">
        <v>58.462451143457971966897003650</v>
      </c>
      <c r="V12" s="360">
        <v>74.052279284514986075064022780</v>
      </c>
      <c r="W12" s="170">
        <v>50.000000000600000000002400330</v>
      </c>
      <c r="X12" s="170">
        <v>-8.858198033979363441210794900</v>
      </c>
      <c r="Y12" s="360">
        <v>54.471397850844625389868663120</v>
      </c>
      <c r="Z12" s="359">
        <v>24.137931034581212841855012670</v>
      </c>
      <c r="AA12" s="170">
        <v>26.388888889006061921296404930</v>
      </c>
      <c r="AB12" s="360">
        <v>12.99468399287361373697820300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c r="BB12" s="244"/>
      <c r="BC12" s="244"/>
      <c r="BD12" s="244"/>
      <c r="BE12" s="244"/>
      <c r="BF12" s="244"/>
      <c r="BG12" s="244"/>
    </row>
    <row r="13" ht="15.6" customHeight="1">
      <c r="A13" s="92"/>
      <c r="B13" s="344">
        <v>16</v>
      </c>
      <c r="C13" s="351" t="s">
        <v>50</v>
      </c>
      <c r="D13" s="327">
        <v>41.397849462365591397849462370</v>
      </c>
      <c r="E13" s="171">
        <v>44.977747084100675260896255370</v>
      </c>
      <c r="F13" s="328">
        <v>70.264550264550264550264550260</v>
      </c>
      <c r="G13" s="327">
        <v>0</v>
      </c>
      <c r="H13" s="171">
        <v>6.7635709900903271069016925400</v>
      </c>
      <c r="I13" s="328">
        <v>8.502758077226162332545311270</v>
      </c>
      <c r="J13" s="171">
        <v>1.6129032258064516129032258100</v>
      </c>
      <c r="K13" s="171">
        <v>5.072678242567745330176269400</v>
      </c>
      <c r="L13" s="328">
        <v>0.2803107058426207362377575100</v>
      </c>
      <c r="M13" s="327">
        <v>43.010752688172043010752688170</v>
      </c>
      <c r="N13" s="171">
        <v>56.813996316758747697974217310</v>
      </c>
      <c r="O13" s="328">
        <v>79.047619047619047619047619050</v>
      </c>
      <c r="P13" s="4"/>
      <c r="Q13" s="327">
        <v>42.592592592671810699588521390</v>
      </c>
      <c r="R13" s="171">
        <v>-4.425366810587649416562270400</v>
      </c>
      <c r="S13" s="328">
        <v>3.442080485777192492825210500</v>
      </c>
      <c r="T13" s="327">
        <v>0</v>
      </c>
      <c r="U13" s="171">
        <v>305.11428166485473173713851900</v>
      </c>
      <c r="V13" s="328">
        <v>15.631257822278697538973349060</v>
      </c>
      <c r="W13" s="171">
        <v>0.0000000004000000000016002200</v>
      </c>
      <c r="X13" s="171">
        <v>-4.6789925509012815696071378700</v>
      </c>
      <c r="Y13" s="328">
        <v>1.6538530149072790592187045900</v>
      </c>
      <c r="Z13" s="327">
        <v>40.350877193085872576177361510</v>
      </c>
      <c r="AA13" s="171">
        <v>5.1107325383931665355850725800</v>
      </c>
      <c r="AB13" s="328">
        <v>4.62184873943425605536335800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c r="BB13" s="244"/>
      <c r="BC13" s="244"/>
      <c r="BD13" s="244"/>
      <c r="BE13" s="244"/>
      <c r="BF13" s="244"/>
      <c r="BG13" s="244"/>
    </row>
    <row r="14" ht="15.6" customHeight="1">
      <c r="A14" s="92"/>
      <c r="B14" s="346">
        <v>17</v>
      </c>
      <c r="C14" s="352" t="s">
        <v>51</v>
      </c>
      <c r="D14" s="359">
        <v>33.333333333333333333333333330</v>
      </c>
      <c r="E14" s="170">
        <v>37.879626656628173474019862930</v>
      </c>
      <c r="F14" s="360">
        <v>63.858391841585118896043265790</v>
      </c>
      <c r="G14" s="359">
        <v>1.075268817204301075268817200</v>
      </c>
      <c r="H14" s="170">
        <v>11.967766103108611329472942200</v>
      </c>
      <c r="I14" s="360">
        <v>8.102877514642220524573465750</v>
      </c>
      <c r="J14" s="170">
        <v>1.075268817204301075268817200</v>
      </c>
      <c r="K14" s="170">
        <v>4.9408208682558487140025908200</v>
      </c>
      <c r="L14" s="360">
        <v>0.1929256551105290601088920400</v>
      </c>
      <c r="M14" s="359">
        <v>35.483870967741935483870967740</v>
      </c>
      <c r="N14" s="170">
        <v>54.788213627992633517495395950</v>
      </c>
      <c r="O14" s="360">
        <v>72.154195011337868480725623580</v>
      </c>
      <c r="P14" s="4"/>
      <c r="Q14" s="359">
        <v>29.166666666682812500000002010</v>
      </c>
      <c r="R14" s="170">
        <v>-6.7962338984222371122181099300</v>
      </c>
      <c r="S14" s="360">
        <v>2.7862222070216185408335810600</v>
      </c>
      <c r="T14" s="359">
        <v>0</v>
      </c>
      <c r="U14" s="170">
        <v>46.489441514460592364510415630</v>
      </c>
      <c r="V14" s="360">
        <v>36.524064170159388757624013060</v>
      </c>
      <c r="W14" s="170">
        <v>0.000000000400000000001599600</v>
      </c>
      <c r="X14" s="170">
        <v>-0.4644563098314593318627071400</v>
      </c>
      <c r="Y14" s="360">
        <v>0.7677616646837348787209198200</v>
      </c>
      <c r="Z14" s="359">
        <v>32.000000000036960000000010340</v>
      </c>
      <c r="AA14" s="170">
        <v>1.8835616438537600863201383400</v>
      </c>
      <c r="AB14" s="360">
        <v>5.7142857142365448504983617400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c r="BB14" s="244"/>
      <c r="BC14" s="244"/>
      <c r="BD14" s="244"/>
      <c r="BE14" s="244"/>
      <c r="BF14" s="244"/>
      <c r="BG14" s="244"/>
    </row>
    <row r="15" ht="15.6" customHeight="1">
      <c r="A15" s="92"/>
      <c r="B15" s="344">
        <v>18</v>
      </c>
      <c r="C15" s="351" t="s">
        <v>52</v>
      </c>
      <c r="D15" s="327">
        <v>50.537634408602150537634408600</v>
      </c>
      <c r="E15" s="171">
        <v>44.190974078694627616388443340</v>
      </c>
      <c r="F15" s="328">
        <v>69.194144135463439388975609130</v>
      </c>
      <c r="G15" s="327">
        <v>1.075268817204301075268817200</v>
      </c>
      <c r="H15" s="171">
        <v>23.805256869772998805256869780</v>
      </c>
      <c r="I15" s="328">
        <v>7.4214539451285707861992766900</v>
      </c>
      <c r="J15" s="171">
        <v>2.1505376344086021505376344100</v>
      </c>
      <c r="K15" s="171">
        <v>5.3923510036502372984283517200</v>
      </c>
      <c r="L15" s="328">
        <v>0.4365561144193276933058398100</v>
      </c>
      <c r="M15" s="327">
        <v>53.763440860215053763440860220</v>
      </c>
      <c r="N15" s="171">
        <v>73.388581952117863720073664830</v>
      </c>
      <c r="O15" s="328">
        <v>77.052154195011337868480725620</v>
      </c>
      <c r="P15" s="4"/>
      <c r="Q15" s="327">
        <v>754.54545454887272727274094542</v>
      </c>
      <c r="R15" s="171">
        <v>-9.409816782406931070099229160</v>
      </c>
      <c r="S15" s="328">
        <v>26.961249637767048147429400710</v>
      </c>
      <c r="T15" s="327">
        <v>0</v>
      </c>
      <c r="U15" s="171">
        <v>91.89179649360175050402546604</v>
      </c>
      <c r="V15" s="328">
        <v>-34.613506318830913364592078180</v>
      </c>
      <c r="W15" s="171">
        <v>0</v>
      </c>
      <c r="X15" s="171">
        <v>-3.2239641989393067576142047100</v>
      </c>
      <c r="Y15" s="328">
        <v>0</v>
      </c>
      <c r="Z15" s="327">
        <v>809.0909090945454545454690910</v>
      </c>
      <c r="AA15" s="171">
        <v>9.931034482716164565992882040</v>
      </c>
      <c r="AB15" s="328">
        <v>17.011019283665567441886994560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c r="BB15" s="244"/>
      <c r="BC15" s="244"/>
      <c r="BD15" s="244"/>
      <c r="BE15" s="244"/>
      <c r="BF15" s="244"/>
      <c r="BG15" s="244"/>
    </row>
    <row r="16" ht="15.6" customHeight="1">
      <c r="A16" s="92"/>
      <c r="B16" s="346">
        <v>19</v>
      </c>
      <c r="C16" s="352" t="s">
        <v>53</v>
      </c>
      <c r="D16" s="359">
        <v>50.537634408602150537634408600</v>
      </c>
      <c r="E16" s="170">
        <v>45.638348576762865257107724940</v>
      </c>
      <c r="F16" s="360">
        <v>69.134168518892705597090321280</v>
      </c>
      <c r="G16" s="359">
        <v>1.075268817204301075268817200</v>
      </c>
      <c r="H16" s="170">
        <v>22.380344013604866616466288190</v>
      </c>
      <c r="I16" s="360">
        <v>6.3700859881906558002739049400</v>
      </c>
      <c r="J16" s="170">
        <v>1.075268817204301075268817200</v>
      </c>
      <c r="K16" s="170">
        <v>3.620349766906669599722487800</v>
      </c>
      <c r="L16" s="360">
        <v>0.1873554702409016411845266200</v>
      </c>
      <c r="M16" s="359">
        <v>52.688172043010752688172043010</v>
      </c>
      <c r="N16" s="170">
        <v>71.639042357274401473296500920</v>
      </c>
      <c r="O16" s="360">
        <v>75.691609977324263038548752830</v>
      </c>
      <c r="P16" s="4"/>
      <c r="Q16" s="359">
        <v>623.07692307981538461539618458</v>
      </c>
      <c r="R16" s="170">
        <v>-4.9645981792315794111031236700</v>
      </c>
      <c r="S16" s="360">
        <v>34.838589882631481703536904560</v>
      </c>
      <c r="T16" s="359">
        <v>0</v>
      </c>
      <c r="U16" s="170">
        <v>89.30256307219347989320169193</v>
      </c>
      <c r="V16" s="360">
        <v>-37.879240433718330553897075820</v>
      </c>
      <c r="W16" s="170">
        <v>0.000000000400000000001599600</v>
      </c>
      <c r="X16" s="170">
        <v>-33.455009643849294729134572990</v>
      </c>
      <c r="Y16" s="360">
        <v>-4.991779497981513986498430400</v>
      </c>
      <c r="Z16" s="359">
        <v>553.33333333594666666667711999</v>
      </c>
      <c r="AA16" s="170">
        <v>9.732016925168512834183166050</v>
      </c>
      <c r="AB16" s="360">
        <v>22.630418809639733339955684030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c r="BB16" s="244"/>
      <c r="BC16" s="244"/>
      <c r="BD16" s="244"/>
      <c r="BE16" s="244"/>
      <c r="BF16" s="244"/>
      <c r="BG16" s="244"/>
    </row>
    <row r="17" ht="15.6" customHeight="1">
      <c r="A17" s="92"/>
      <c r="B17" s="344">
        <v>20</v>
      </c>
      <c r="C17" s="351" t="s">
        <v>49</v>
      </c>
      <c r="D17" s="327">
        <v>17.741935483870967741935483870</v>
      </c>
      <c r="E17" s="171">
        <v>31.684821031132989447775653950</v>
      </c>
      <c r="F17" s="328">
        <v>51.834135995741488215742242680</v>
      </c>
      <c r="G17" s="327">
        <v>0</v>
      </c>
      <c r="H17" s="171">
        <v>8.710603719899103628254475310</v>
      </c>
      <c r="I17" s="328">
        <v>3.3804871301570535792875375700</v>
      </c>
      <c r="J17" s="171">
        <v>1.075268817204301075268817200</v>
      </c>
      <c r="K17" s="171">
        <v>5.5530098714356785630122280100</v>
      </c>
      <c r="L17" s="328">
        <v>0.2048780078883062775325780300</v>
      </c>
      <c r="M17" s="327">
        <v>18.817204301075268817204301080</v>
      </c>
      <c r="N17" s="171">
        <v>45.948434622467771639042357270</v>
      </c>
      <c r="O17" s="328">
        <v>55.419501133786848072562358280</v>
      </c>
      <c r="P17" s="4"/>
      <c r="Q17" s="327">
        <v>-23.255813953513358572201181700</v>
      </c>
      <c r="R17" s="171">
        <v>32.871896648843736126226875520</v>
      </c>
      <c r="S17" s="328">
        <v>23.305916325775218821389769050</v>
      </c>
      <c r="T17" s="327">
        <v>-100</v>
      </c>
      <c r="U17" s="171">
        <v>33.188007425773276438734732700</v>
      </c>
      <c r="V17" s="328">
        <v>-61.310534949998986847321406920</v>
      </c>
      <c r="W17" s="171">
        <v>-33.333333333066666666665600270</v>
      </c>
      <c r="X17" s="171">
        <v>2.203297365466145622578448700</v>
      </c>
      <c r="Y17" s="328">
        <v>-29.655518095737778147057003290</v>
      </c>
      <c r="Z17" s="327">
        <v>-57.317073170754610350981546300</v>
      </c>
      <c r="AA17" s="171">
        <v>28.277634961572812762273715710</v>
      </c>
      <c r="AB17" s="328">
        <v>8.525754884522010038836611270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row>
    <row r="18" ht="15.6" customHeight="1">
      <c r="A18" s="92"/>
      <c r="B18" s="346">
        <v>21</v>
      </c>
      <c r="C18" s="352" t="s">
        <v>47</v>
      </c>
      <c r="D18" s="359">
        <v>23.118279569892473118279569890</v>
      </c>
      <c r="E18" s="170">
        <v>47.708362846484393445719412570</v>
      </c>
      <c r="F18" s="360">
        <v>70.119897262754405611548468690</v>
      </c>
      <c r="G18" s="359">
        <v>3.2258064516129032258064516100</v>
      </c>
      <c r="H18" s="170">
        <v>11.328013095968897073869449560</v>
      </c>
      <c r="I18" s="360">
        <v>7.3659373659373659373659373700</v>
      </c>
      <c r="J18" s="170">
        <v>2.1505376344086021505376344100</v>
      </c>
      <c r="K18" s="170">
        <v>4.6836977223717555209267916500</v>
      </c>
      <c r="L18" s="360">
        <v>0.3826460969318112175255032400</v>
      </c>
      <c r="M18" s="359">
        <v>28.494623655913978494623655910</v>
      </c>
      <c r="N18" s="170">
        <v>63.720073664825046040515653780</v>
      </c>
      <c r="O18" s="360">
        <v>77.868480725623582766439909300</v>
      </c>
      <c r="P18" s="4"/>
      <c r="Q18" s="359">
        <v>-35.820895522309512140788498220</v>
      </c>
      <c r="R18" s="170">
        <v>26.518777887315758235535359190</v>
      </c>
      <c r="S18" s="360">
        <v>24.645872349481043215216776670</v>
      </c>
      <c r="T18" s="359">
        <v>-85.71428571429183673469387494</v>
      </c>
      <c r="U18" s="170">
        <v>37.537055126616341320512509120</v>
      </c>
      <c r="V18" s="360">
        <v>-35.164727886447473343286629650</v>
      </c>
      <c r="W18" s="170">
        <v>33.333333333866666666668800090</v>
      </c>
      <c r="X18" s="170">
        <v>-9.232664617214709799664174480</v>
      </c>
      <c r="Y18" s="360">
        <v>39.21339814637709566543654200</v>
      </c>
      <c r="Z18" s="359">
        <v>-52.678571428539317602040794540</v>
      </c>
      <c r="AA18" s="170">
        <v>24.684684684661769661553449560</v>
      </c>
      <c r="AB18" s="360">
        <v>14.696058784209853240214569640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c r="BB18" s="244"/>
      <c r="BC18" s="244"/>
      <c r="BD18" s="244"/>
      <c r="BE18" s="244"/>
      <c r="BF18" s="244"/>
      <c r="BG18" s="244"/>
    </row>
    <row r="19" ht="15.6" customHeight="1">
      <c r="A19" s="92"/>
      <c r="B19" s="344">
        <v>22</v>
      </c>
      <c r="C19" s="351" t="s">
        <v>48</v>
      </c>
      <c r="D19" s="327">
        <v>35.483870967741935483870967740</v>
      </c>
      <c r="E19" s="171">
        <v>61.016916443356381160331271160</v>
      </c>
      <c r="F19" s="328">
        <v>70.311250654107796964939822080</v>
      </c>
      <c r="G19" s="327">
        <v>33.870967741935483870967741940</v>
      </c>
      <c r="H19" s="171">
        <v>7.819857522524012747984693600</v>
      </c>
      <c r="I19" s="328">
        <v>15.634536891679748822605965460</v>
      </c>
      <c r="J19" s="171">
        <v>1.075268817204301075268817200</v>
      </c>
      <c r="K19" s="171">
        <v>4.7359700488525711008921383800</v>
      </c>
      <c r="L19" s="328">
        <v>0.1766614338042909471480900100</v>
      </c>
      <c r="M19" s="327">
        <v>70.430107526881720430107526880</v>
      </c>
      <c r="N19" s="171">
        <v>73.572744014732965009208103130</v>
      </c>
      <c r="O19" s="328">
        <v>86.12244897959183673469387755</v>
      </c>
      <c r="P19" s="4"/>
      <c r="Q19" s="327">
        <v>-16.455696202590866848261454580</v>
      </c>
      <c r="R19" s="171">
        <v>27.828191367694794587418631520</v>
      </c>
      <c r="S19" s="328">
        <v>6.3366696989512222898231426200</v>
      </c>
      <c r="T19" s="327">
        <v>36.956521739124480151228733740</v>
      </c>
      <c r="U19" s="171">
        <v>31.058506673564727154342556200</v>
      </c>
      <c r="V19" s="328">
        <v>11.132506937432535394835434320</v>
      </c>
      <c r="W19" s="171">
        <v>-33.333333333066666666665600270</v>
      </c>
      <c r="X19" s="171">
        <v>-4.4278725405242705259160042700</v>
      </c>
      <c r="Y19" s="328">
        <v>-33.027491101154715701954286570</v>
      </c>
      <c r="Z19" s="327">
        <v>2.3437499999632202148437632200</v>
      </c>
      <c r="AA19" s="171">
        <v>25.431711146017732749421472340</v>
      </c>
      <c r="AB19" s="328">
        <v>7.0462232243903661684687766800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c r="BB19" s="244"/>
      <c r="BC19" s="244"/>
      <c r="BD19" s="244"/>
      <c r="BE19" s="244"/>
      <c r="BF19" s="244"/>
      <c r="BG19" s="244"/>
    </row>
    <row r="20" ht="15.6" customHeight="1">
      <c r="A20" s="92"/>
      <c r="B20" s="346">
        <v>23</v>
      </c>
      <c r="C20" s="352" t="s">
        <v>50</v>
      </c>
      <c r="D20" s="359">
        <v>42.473118279569892473118279570</v>
      </c>
      <c r="E20" s="170">
        <v>53.700681961281626065287372630</v>
      </c>
      <c r="F20" s="360">
        <v>68.775558969107356204130397680</v>
      </c>
      <c r="G20" s="359">
        <v>17.741935483870967741935483870</v>
      </c>
      <c r="H20" s="170">
        <v>10.322830479264770654676918260</v>
      </c>
      <c r="I20" s="360">
        <v>14.041303976787847755589691070</v>
      </c>
      <c r="J20" s="170">
        <v>2.1505376344086021505376344100</v>
      </c>
      <c r="K20" s="170">
        <v>4.3926938209637321934795396800</v>
      </c>
      <c r="L20" s="360">
        <v>0.3577402287079706434545144200</v>
      </c>
      <c r="M20" s="359">
        <v>62.365591397849462365591397850</v>
      </c>
      <c r="N20" s="170">
        <v>68.416206261510128913443830570</v>
      </c>
      <c r="O20" s="360">
        <v>83.17460317460317460317460317</v>
      </c>
      <c r="P20" s="4"/>
      <c r="Q20" s="359">
        <v>-8.139534883750838290968081120</v>
      </c>
      <c r="R20" s="170">
        <v>18.359319233959218937568174490</v>
      </c>
      <c r="S20" s="360">
        <v>2.9383181283961984933648876400</v>
      </c>
      <c r="T20" s="359">
        <v>-29.787234042550203712086917030</v>
      </c>
      <c r="U20" s="170">
        <v>55.817399628746643316480177150</v>
      </c>
      <c r="V20" s="360">
        <v>44.055233755735285567916670200</v>
      </c>
      <c r="W20" s="170">
        <v>33.333333333866666666668800090</v>
      </c>
      <c r="X20" s="170">
        <v>-8.830244897557713698327437520</v>
      </c>
      <c r="Y20" s="360">
        <v>34.573891419517720748592293540</v>
      </c>
      <c r="Z20" s="359">
        <v>-14.705882352949956747404843390</v>
      </c>
      <c r="AA20" s="170">
        <v>20.421393841079499538993835310</v>
      </c>
      <c r="AB20" s="360">
        <v>8.264462809912881633768185410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c r="BB20" s="244"/>
      <c r="BC20" s="244"/>
      <c r="BD20" s="244"/>
      <c r="BE20" s="244"/>
      <c r="BF20" s="244"/>
      <c r="BG20" s="244"/>
    </row>
    <row r="21" ht="15.6" customHeight="1">
      <c r="A21" s="92"/>
      <c r="B21" s="344">
        <v>24</v>
      </c>
      <c r="C21" s="351" t="s">
        <v>51</v>
      </c>
      <c r="D21" s="327">
        <v>11.827956989247311827956989250</v>
      </c>
      <c r="E21" s="171">
        <v>42.523456144365621628690051980</v>
      </c>
      <c r="F21" s="328">
        <v>58.627115671314566342190651580</v>
      </c>
      <c r="G21" s="327">
        <v>0</v>
      </c>
      <c r="H21" s="171">
        <v>8.680498799495824570197710870</v>
      </c>
      <c r="I21" s="328">
        <v>11.434710163991931947733052710</v>
      </c>
      <c r="J21" s="171">
        <v>0.537634408602150537634408600</v>
      </c>
      <c r="K21" s="171">
        <v>4.5050689972066937642798246300</v>
      </c>
      <c r="L21" s="328">
        <v>0.0969043234236604402350258700</v>
      </c>
      <c r="M21" s="327">
        <v>12.365591397849462365591397850</v>
      </c>
      <c r="N21" s="171">
        <v>55.709023941068139963167587480</v>
      </c>
      <c r="O21" s="328">
        <v>70.158730158730158730158730160</v>
      </c>
      <c r="P21" s="4"/>
      <c r="Q21" s="327">
        <v>-73.170731707331469363474114820</v>
      </c>
      <c r="R21" s="171">
        <v>9.058285281812781954430506020</v>
      </c>
      <c r="S21" s="328">
        <v>1.8589846981207468357206139500</v>
      </c>
      <c r="T21" s="327">
        <v>-100</v>
      </c>
      <c r="U21" s="171">
        <v>35.370630596285327189965677040</v>
      </c>
      <c r="V21" s="328">
        <v>31.410015898787790483253658930</v>
      </c>
      <c r="W21" s="171">
        <v>-66.666666666533333333332800130</v>
      </c>
      <c r="X21" s="171">
        <v>-9.253126851736054012203637750</v>
      </c>
      <c r="Y21" s="328">
        <v>-64.363385520201432255253156360</v>
      </c>
      <c r="Z21" s="327">
        <v>-81.88976377953468906937813595</v>
      </c>
      <c r="AA21" s="171">
        <v>10.603290676483140547242936880</v>
      </c>
      <c r="AB21" s="328">
        <v>5.4533060667997645543469625200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c r="BB21" s="244"/>
      <c r="BC21" s="244"/>
      <c r="BD21" s="244"/>
      <c r="BE21" s="244"/>
      <c r="BF21" s="244"/>
      <c r="BG21" s="244"/>
    </row>
    <row r="22" ht="15.6" customHeight="1">
      <c r="A22" s="92"/>
      <c r="B22" s="346">
        <v>25</v>
      </c>
      <c r="C22" s="352" t="s">
        <v>52</v>
      </c>
      <c r="D22" s="359">
        <v>6.9892473118279569892473118300</v>
      </c>
      <c r="E22" s="170">
        <v>44.751503338853310276438491340</v>
      </c>
      <c r="F22" s="360">
        <v>60.571428571428571428571428570</v>
      </c>
      <c r="G22" s="359">
        <v>0</v>
      </c>
      <c r="H22" s="170">
        <v>32.026979497926344944824655250</v>
      </c>
      <c r="I22" s="360">
        <v>14.476190476190476190476190480</v>
      </c>
      <c r="J22" s="170">
        <v>1.075268817204301075268817200</v>
      </c>
      <c r="K22" s="170">
        <v>4.5290678077875639315913653900</v>
      </c>
      <c r="L22" s="360">
        <v>0.1904761904761904761904761900</v>
      </c>
      <c r="M22" s="359">
        <v>8.064516129032258064516129030</v>
      </c>
      <c r="N22" s="170">
        <v>81.30755064456721915285451197</v>
      </c>
      <c r="O22" s="360">
        <v>75.238095238095238095238095240</v>
      </c>
      <c r="P22" s="4"/>
      <c r="Q22" s="359">
        <v>-83.33333333334615384615383629</v>
      </c>
      <c r="R22" s="170">
        <v>-10.301275196705331179146339840</v>
      </c>
      <c r="S22" s="360">
        <v>4.917090642652623535152027300</v>
      </c>
      <c r="T22" s="359">
        <v>-100</v>
      </c>
      <c r="U22" s="170">
        <v>101.50972760508201525719030150</v>
      </c>
      <c r="V22" s="360">
        <v>15.672260426847684057429091740</v>
      </c>
      <c r="W22" s="170">
        <v>-33.333333333066666666665600270</v>
      </c>
      <c r="X22" s="170">
        <v>-6.4577153808713433876523224100</v>
      </c>
      <c r="Y22" s="360">
        <v>-30.495176846003221968223310130</v>
      </c>
      <c r="Z22" s="359">
        <v>-83.14606741573336699911627266</v>
      </c>
      <c r="AA22" s="170">
        <v>15.123859191641692773449785760</v>
      </c>
      <c r="AB22" s="360">
        <v>6.6881028939109151063367869600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c r="BB22" s="244"/>
      <c r="BC22" s="244"/>
      <c r="BD22" s="244"/>
      <c r="BE22" s="244"/>
      <c r="BF22" s="244"/>
      <c r="BG22" s="244"/>
    </row>
    <row r="23" ht="15.6" customHeight="1">
      <c r="A23" s="92"/>
      <c r="B23" s="344">
        <v>26</v>
      </c>
      <c r="C23" s="351" t="s">
        <v>53</v>
      </c>
      <c r="D23" s="327">
        <v>3.2258064516129032258064516100</v>
      </c>
      <c r="E23" s="171">
        <v>43.897493181978282965512383140</v>
      </c>
      <c r="F23" s="328">
        <v>58.728036669213139801375095490</v>
      </c>
      <c r="G23" s="327">
        <v>0</v>
      </c>
      <c r="H23" s="171">
        <v>30.685626301965401684630015400</v>
      </c>
      <c r="I23" s="328">
        <v>12.509549274255156608097784570</v>
      </c>
      <c r="J23" s="171">
        <v>1.075268817204301075268817200</v>
      </c>
      <c r="K23" s="171">
        <v>3.4095140335517112982922239300</v>
      </c>
      <c r="L23" s="328">
        <v>0.1909854851031321619556913700</v>
      </c>
      <c r="M23" s="327">
        <v>4.3010752688172043010752688200</v>
      </c>
      <c r="N23" s="171">
        <v>77.992633517495395948434622470</v>
      </c>
      <c r="O23" s="328">
        <v>71.428571428571428571428571430</v>
      </c>
      <c r="P23" s="4"/>
      <c r="Q23" s="327">
        <v>-89.83050847456765297328353192</v>
      </c>
      <c r="R23" s="171">
        <v>-2.8606157519356982389368000400</v>
      </c>
      <c r="S23" s="328">
        <v>11.138474528538332059150513040</v>
      </c>
      <c r="T23" s="327">
        <v>0</v>
      </c>
      <c r="U23" s="171">
        <v>77.437682461590634058462042760</v>
      </c>
      <c r="V23" s="328">
        <v>8.708246552610508761851954780</v>
      </c>
      <c r="W23" s="171">
        <v>-33.333333333066666666665600270</v>
      </c>
      <c r="X23" s="171">
        <v>-27.996302768829445912737779920</v>
      </c>
      <c r="Y23" s="328">
        <v>-30.84717140258928288913195900</v>
      </c>
      <c r="Z23" s="327">
        <v>-87.09677419353548387096772902</v>
      </c>
      <c r="AA23" s="171">
        <v>16.027397260294635015950463430</v>
      </c>
      <c r="AB23" s="328">
        <v>10.526315789535346260387846040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c r="BB23" s="244"/>
      <c r="BC23" s="244"/>
      <c r="BD23" s="244"/>
      <c r="BE23" s="244"/>
      <c r="BF23" s="244"/>
      <c r="BG23" s="244"/>
    </row>
    <row r="24" ht="15.6" customHeight="1">
      <c r="A24" s="92"/>
      <c r="B24" s="346">
        <v>27</v>
      </c>
      <c r="C24" s="352" t="s">
        <v>49</v>
      </c>
      <c r="D24" s="359">
        <v>5.3763440860215053763440860200</v>
      </c>
      <c r="E24" s="170">
        <v>29.189910965932258830593306540</v>
      </c>
      <c r="F24" s="360">
        <v>46.753015873015873015873015870</v>
      </c>
      <c r="G24" s="359">
        <v>0</v>
      </c>
      <c r="H24" s="170">
        <v>9.765742271690571888176437110</v>
      </c>
      <c r="I24" s="360">
        <v>4.9980952380952380952380952400</v>
      </c>
      <c r="J24" s="170">
        <v>1.6129032258064516129032258100</v>
      </c>
      <c r="K24" s="170">
        <v>5.1511607586939280289282305700</v>
      </c>
      <c r="L24" s="360">
        <v>0.3123809523809523809523809500</v>
      </c>
      <c r="M24" s="359">
        <v>6.9892473118279569892473118300</v>
      </c>
      <c r="N24" s="170">
        <v>44.106813996316758747697974220</v>
      </c>
      <c r="O24" s="360">
        <v>52.063492063492063492063492060</v>
      </c>
      <c r="P24" s="4"/>
      <c r="Q24" s="359">
        <v>-71.428571428608979591836685350</v>
      </c>
      <c r="R24" s="170">
        <v>23.101280691737426666503880110</v>
      </c>
      <c r="S24" s="360">
        <v>2.1675127978611882088125747700</v>
      </c>
      <c r="T24" s="359">
        <v>0</v>
      </c>
      <c r="U24" s="170">
        <v>27.083969184460398610332477230</v>
      </c>
      <c r="V24" s="360">
        <v>600.83728155249139254595272378</v>
      </c>
      <c r="W24" s="170">
        <v>50.000000000600000000002400330</v>
      </c>
      <c r="X24" s="170">
        <v>-0.1631665982984391759887714600</v>
      </c>
      <c r="Y24" s="360">
        <v>31.406990291092136102366134660</v>
      </c>
      <c r="Z24" s="359">
        <v>-64.864864864900949598246858470</v>
      </c>
      <c r="AA24" s="170">
        <v>20.654911838783030156907283740</v>
      </c>
      <c r="AB24" s="360">
        <v>11.456310679586762183052131100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c r="BB24" s="244"/>
      <c r="BC24" s="244"/>
      <c r="BD24" s="244"/>
      <c r="BE24" s="244"/>
      <c r="BF24" s="244"/>
      <c r="BG24" s="244"/>
    </row>
    <row r="25" ht="15.6" customHeight="1">
      <c r="A25" s="92"/>
      <c r="B25" s="344">
        <v>28</v>
      </c>
      <c r="C25" s="351" t="s">
        <v>47</v>
      </c>
      <c r="D25" s="327">
        <v>22.043010752688172043010752690</v>
      </c>
      <c r="E25" s="171">
        <v>43.409313968747587697533110570</v>
      </c>
      <c r="F25" s="328">
        <v>66.302607167268821404159750020</v>
      </c>
      <c r="G25" s="327">
        <v>28.494623655913978494623655910</v>
      </c>
      <c r="H25" s="171">
        <v>22.122054234073289884319758270</v>
      </c>
      <c r="I25" s="328">
        <v>11.376818670051752758519675810</v>
      </c>
      <c r="J25" s="171">
        <v>1.6129032258064516129032258100</v>
      </c>
      <c r="K25" s="171">
        <v>4.1739724969949603555320298600</v>
      </c>
      <c r="L25" s="328">
        <v>0.2797578361488135924226149800</v>
      </c>
      <c r="M25" s="327">
        <v>52.150537634408602150537634410</v>
      </c>
      <c r="N25" s="171">
        <v>69.705340699815837937384898710</v>
      </c>
      <c r="O25" s="328">
        <v>77.959183673469387755102040820</v>
      </c>
      <c r="P25" s="4"/>
      <c r="Q25" s="327">
        <v>-30.508474576212295317437468040</v>
      </c>
      <c r="R25" s="171">
        <v>10.171804089883108103673421150</v>
      </c>
      <c r="S25" s="328">
        <v>14.074468511383123332648276250</v>
      </c>
      <c r="T25" s="327">
        <v>0</v>
      </c>
      <c r="U25" s="171">
        <v>199.18494269229919572432833765</v>
      </c>
      <c r="V25" s="328">
        <v>586.31195268587355882440880906</v>
      </c>
      <c r="W25" s="171">
        <v>0.0000000004000000000016002200</v>
      </c>
      <c r="X25" s="171">
        <v>-14.148974777034386804897159370</v>
      </c>
      <c r="Y25" s="328">
        <v>-9.991875066639990596389871280</v>
      </c>
      <c r="Z25" s="327">
        <v>56.451612903382258064516285490</v>
      </c>
      <c r="AA25" s="171">
        <v>34.937611408293450389392574770</v>
      </c>
      <c r="AB25" s="328">
        <v>29.735849056702666571733788450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row>
    <row r="26" ht="15.6" customHeight="1">
      <c r="A26" s="93"/>
      <c r="B26" s="346">
        <v>29</v>
      </c>
      <c r="C26" s="352" t="s">
        <v>48</v>
      </c>
      <c r="D26" s="359">
        <v>33.333333333333333333333333330</v>
      </c>
      <c r="E26" s="170">
        <v>51.963127000796513604147958740</v>
      </c>
      <c r="F26" s="360">
        <v>73.252508924361823937495790390</v>
      </c>
      <c r="G26" s="359">
        <v>28.494623655913978494623655910</v>
      </c>
      <c r="H26" s="170">
        <v>19.905230101111567711266355160</v>
      </c>
      <c r="I26" s="360">
        <v>9.602388810309602388810309600</v>
      </c>
      <c r="J26" s="170">
        <v>1.6129032258064516129032258100</v>
      </c>
      <c r="K26" s="170">
        <v>4.1905747581287510971087063500</v>
      </c>
      <c r="L26" s="360">
        <v>0.2743539660088457825374374200</v>
      </c>
      <c r="M26" s="359">
        <v>63.440860215053763440860215050</v>
      </c>
      <c r="N26" s="170">
        <v>76.058931860036832412523020260</v>
      </c>
      <c r="O26" s="360">
        <v>83.12925170068027210884353741</v>
      </c>
      <c r="P26" s="4"/>
      <c r="Q26" s="359">
        <v>3.3333333334263333333334170200</v>
      </c>
      <c r="R26" s="170">
        <v>32.617498588659597434262242230</v>
      </c>
      <c r="S26" s="360">
        <v>11.308260135159216031053279990</v>
      </c>
      <c r="T26" s="359">
        <v>0</v>
      </c>
      <c r="U26" s="170">
        <v>14.527828817705920725571844650</v>
      </c>
      <c r="V26" s="360">
        <v>249.66218422081014806792537029</v>
      </c>
      <c r="W26" s="170">
        <v>50.000000000600000000002400330</v>
      </c>
      <c r="X26" s="170">
        <v>-16.841232780308447338250682440</v>
      </c>
      <c r="Y26" s="360">
        <v>39.864873698510161498030390500</v>
      </c>
      <c r="Z26" s="359">
        <v>90.32258064535161290322599676</v>
      </c>
      <c r="AA26" s="170">
        <v>23.467862481217950625724838450</v>
      </c>
      <c r="AB26" s="360">
        <v>20.910290237502509946672617810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c r="BB26" s="244"/>
      <c r="BC26" s="244"/>
      <c r="BD26" s="244"/>
      <c r="BE26" s="244"/>
      <c r="BF26" s="244"/>
      <c r="BG26" s="244"/>
    </row>
    <row r="27" ht="15.6" customHeight="1">
      <c r="A27" s="93"/>
      <c r="B27" s="344">
        <v>30</v>
      </c>
      <c r="C27" s="351" t="s">
        <v>50</v>
      </c>
      <c r="D27" s="327">
        <v>39.247311827956989247311827960</v>
      </c>
      <c r="E27" s="171">
        <v>41.513244646225234097244245640</v>
      </c>
      <c r="F27" s="328">
        <v>68.084635088603342571596539850</v>
      </c>
      <c r="G27" s="327">
        <v>28.494623655913978494623655910</v>
      </c>
      <c r="H27" s="171">
        <v>23.201637985233652139562573370</v>
      </c>
      <c r="I27" s="328">
        <v>7.7509028302679096329889980700</v>
      </c>
      <c r="J27" s="171">
        <v>1.6129032258064516129032258100</v>
      </c>
      <c r="K27" s="171">
        <v>4.1617287865889958994731073300</v>
      </c>
      <c r="L27" s="328">
        <v>0.2642353237591332829428067500</v>
      </c>
      <c r="M27" s="327">
        <v>69.354838709677419354838709680</v>
      </c>
      <c r="N27" s="171">
        <v>68.876611418047882136279926340</v>
      </c>
      <c r="O27" s="328">
        <v>76.099773242630385487528344670</v>
      </c>
      <c r="P27" s="4"/>
      <c r="Q27" s="327">
        <v>82.49999999988137500000007712</v>
      </c>
      <c r="R27" s="171">
        <v>8.753264462312156075304033720</v>
      </c>
      <c r="S27" s="328">
        <v>7.5846313262627459509748946200</v>
      </c>
      <c r="T27" s="327">
        <v>0</v>
      </c>
      <c r="U27" s="171">
        <v>57.947330876525655752667360130</v>
      </c>
      <c r="V27" s="328">
        <v>7701.7646718472016265255638890</v>
      </c>
      <c r="W27" s="171">
        <v>50.000000000600000000002400330</v>
      </c>
      <c r="X27" s="171">
        <v>-16.186393929187791131001666750</v>
      </c>
      <c r="Y27" s="328">
        <v>32.984625155233211891239026360</v>
      </c>
      <c r="Z27" s="327">
        <v>207.14285714272551020408168908</v>
      </c>
      <c r="AA27" s="171">
        <v>19.108280254863177005152401090</v>
      </c>
      <c r="AB27" s="328">
        <v>19.686162624839183782694787470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c r="BB27" s="244"/>
      <c r="BC27" s="244"/>
      <c r="BD27" s="244"/>
      <c r="BE27" s="244"/>
      <c r="BF27" s="244"/>
      <c r="BG27" s="244"/>
    </row>
    <row r="28" ht="15.6" customHeight="1">
      <c r="A28" s="92"/>
      <c r="B28" s="346">
        <v>31</v>
      </c>
      <c r="C28" s="352" t="s">
        <v>51</v>
      </c>
      <c r="D28" s="359">
        <v>23.118279569892473118279569890</v>
      </c>
      <c r="E28" s="170">
        <v>34.505396533790811708924880790</v>
      </c>
      <c r="F28" s="360">
        <v>61.836937155814706835114998380</v>
      </c>
      <c r="G28" s="359">
        <v>0</v>
      </c>
      <c r="H28" s="170">
        <v>6.5884090469050417178853332300</v>
      </c>
      <c r="I28" s="360">
        <v>2.5965743440233236151603498500</v>
      </c>
      <c r="J28" s="170">
        <v>1.075268817204301075268817200</v>
      </c>
      <c r="K28" s="170">
        <v>4.578385947849266278530485800</v>
      </c>
      <c r="L28" s="360">
        <v>0.1923388402980239714933592500</v>
      </c>
      <c r="M28" s="359">
        <v>24.193548387096774193548387100</v>
      </c>
      <c r="N28" s="170">
        <v>45.672191528545119705340699820</v>
      </c>
      <c r="O28" s="360">
        <v>64.625850340136054421768707480</v>
      </c>
      <c r="P28" s="4"/>
      <c r="Q28" s="359">
        <v>-0.0000000000325581395348731300</v>
      </c>
      <c r="R28" s="170">
        <v>8.733988177862679469064617440</v>
      </c>
      <c r="S28" s="360">
        <v>8.508148819155404575248055020</v>
      </c>
      <c r="T28" s="359">
        <v>0</v>
      </c>
      <c r="U28" s="170">
        <v>-19.844819251438032227569672560</v>
      </c>
      <c r="V28" s="360">
        <v>189.07380858955181285695486968</v>
      </c>
      <c r="W28" s="170">
        <v>-33.333333333066666666665600270</v>
      </c>
      <c r="X28" s="170">
        <v>-6.3748177266301547556040228500</v>
      </c>
      <c r="Y28" s="360">
        <v>-35.761375868988486031787806120</v>
      </c>
      <c r="Z28" s="359">
        <v>-2.1739130434825141776937616200</v>
      </c>
      <c r="AA28" s="170">
        <v>1.8480492812623032521113900500</v>
      </c>
      <c r="AB28" s="360">
        <v>11.067809820701925898295908660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c r="BB28" s="244"/>
      <c r="BC28" s="244"/>
      <c r="BD28" s="244"/>
      <c r="BE28" s="244"/>
      <c r="BF28" s="244"/>
      <c r="BG28" s="244"/>
    </row>
    <row r="29" ht="15.6" customHeight="1">
      <c r="A29" s="92" t="s">
        <v>145</v>
      </c>
      <c r="B29" s="666">
        <v>1</v>
      </c>
      <c r="C29" s="667" t="s">
        <v>52</v>
      </c>
      <c r="D29" s="668">
        <v>37.096774193548387096774193550</v>
      </c>
      <c r="E29" s="669">
        <v>47.456110061064262867112532710</v>
      </c>
      <c r="F29" s="670">
        <v>63.852978228328368384390793360</v>
      </c>
      <c r="G29" s="668">
        <v>0</v>
      </c>
      <c r="H29" s="669">
        <v>13.164558495686730638751575070</v>
      </c>
      <c r="I29" s="670">
        <v>6.1644806070576378699627999300</v>
      </c>
      <c r="J29" s="669">
        <v>2.1505376344086021505376344100</v>
      </c>
      <c r="K29" s="669">
        <v>3.9281343898420083357565183700</v>
      </c>
      <c r="L29" s="670">
        <v>0.3680286929586649474604656700</v>
      </c>
      <c r="M29" s="668">
        <v>39.247311827956989247311827960</v>
      </c>
      <c r="N29" s="669">
        <v>64.548802946593001841620626150</v>
      </c>
      <c r="O29" s="670">
        <v>70.385487528344671201814058960</v>
      </c>
      <c r="P29" s="4"/>
      <c r="Q29" s="668">
        <v>43.750000000017968750000002250</v>
      </c>
      <c r="R29" s="669">
        <v>18.967954974271918457348190730</v>
      </c>
      <c r="S29" s="670">
        <v>2.7776954007330563844019948100</v>
      </c>
      <c r="T29" s="668">
        <v>-100</v>
      </c>
      <c r="U29" s="669">
        <v>-17.934290030267314797236204840</v>
      </c>
      <c r="V29" s="670">
        <v>26.923295910222412190529324610</v>
      </c>
      <c r="W29" s="669">
        <v>0</v>
      </c>
      <c r="X29" s="669">
        <v>-21.848886352779084664518162390</v>
      </c>
      <c r="Y29" s="670">
        <v>0</v>
      </c>
      <c r="Z29" s="668">
        <v>48.979591836765097875885054110</v>
      </c>
      <c r="AA29" s="669">
        <v>5.8912386706923047434762370400</v>
      </c>
      <c r="AB29" s="670">
        <v>5.0778605281398248659541253900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c r="BB29" s="244"/>
      <c r="BC29" s="244"/>
      <c r="BD29" s="244"/>
      <c r="BE29" s="244"/>
      <c r="BF29" s="244"/>
      <c r="BG29" s="244"/>
    </row>
    <row r="30" ht="15.6" customHeight="1">
      <c r="A30" s="92"/>
      <c r="B30" s="346">
        <v>2</v>
      </c>
      <c r="C30" s="352" t="s">
        <v>53</v>
      </c>
      <c r="D30" s="359">
        <v>46.236559139784946236559139780</v>
      </c>
      <c r="E30" s="170">
        <v>39.652374564999202693956420190</v>
      </c>
      <c r="F30" s="360">
        <v>68.000924361251931770585091790</v>
      </c>
      <c r="G30" s="359">
        <v>0</v>
      </c>
      <c r="H30" s="170">
        <v>18.986983588002263723825693270</v>
      </c>
      <c r="I30" s="360">
        <v>2.5218885855828530987766656600</v>
      </c>
      <c r="J30" s="170">
        <v>1.075268817204301075268817200</v>
      </c>
      <c r="K30" s="170">
        <v>3.1470138543650160868219381100</v>
      </c>
      <c r="L30" s="360">
        <v>0.1801348989702037927697618300</v>
      </c>
      <c r="M30" s="359">
        <v>47.311827956989247311827956990</v>
      </c>
      <c r="N30" s="170">
        <v>61.786372007366482504604051570</v>
      </c>
      <c r="O30" s="360">
        <v>70.702947845804988662131519270</v>
      </c>
      <c r="P30" s="4"/>
      <c r="Q30" s="359">
        <v>86.95652173912230623818525553</v>
      </c>
      <c r="R30" s="170">
        <v>0.3772543948174889385464979400</v>
      </c>
      <c r="S30" s="360">
        <v>15.316451417102942653050100530</v>
      </c>
      <c r="T30" s="359">
        <v>-100</v>
      </c>
      <c r="U30" s="170">
        <v>144.44099637825224692661842399</v>
      </c>
      <c r="V30" s="360">
        <v>-34.950106317867180614740975180</v>
      </c>
      <c r="W30" s="170">
        <v>100.00000000080000000000319920</v>
      </c>
      <c r="X30" s="170">
        <v>-39.658388104068578595273742030</v>
      </c>
      <c r="Y30" s="360">
        <v>76.563997182760779742140975350</v>
      </c>
      <c r="Z30" s="359">
        <v>83.33333333335625000000000287</v>
      </c>
      <c r="AA30" s="170">
        <v>17.719298245622709141274238880</v>
      </c>
      <c r="AB30" s="360">
        <v>12.319884726204553334883608680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c r="BB30" s="244"/>
      <c r="BC30" s="244"/>
      <c r="BD30" s="244"/>
      <c r="BE30" s="244"/>
      <c r="BF30" s="244"/>
      <c r="BG30" s="244"/>
    </row>
    <row r="31" ht="15.6" customHeight="1">
      <c r="A31" s="92"/>
      <c r="B31" s="344">
        <v>3</v>
      </c>
      <c r="C31" s="351" t="s">
        <v>49</v>
      </c>
      <c r="D31" s="327">
        <v>13.978494623655913978494623660</v>
      </c>
      <c r="E31" s="171">
        <v>24.210898905800335493005432520</v>
      </c>
      <c r="F31" s="328">
        <v>47.927118397393463941822415650</v>
      </c>
      <c r="G31" s="327">
        <v>0</v>
      </c>
      <c r="H31" s="171">
        <v>8.813616706936087043506363590</v>
      </c>
      <c r="I31" s="328">
        <v>1.4367872752965920667784021800</v>
      </c>
      <c r="J31" s="171">
        <v>1.075268817204301075268817200</v>
      </c>
      <c r="K31" s="171">
        <v>5.0970313485895443143169331600</v>
      </c>
      <c r="L31" s="328">
        <v>0.2052553250423702952540574500</v>
      </c>
      <c r="M31" s="327">
        <v>15.053763440860215053763440860</v>
      </c>
      <c r="N31" s="171">
        <v>38.121546961325966850828729280</v>
      </c>
      <c r="O31" s="328">
        <v>49.569160997732426303854875280</v>
      </c>
      <c r="P31" s="4"/>
      <c r="Q31" s="327">
        <v>-29.729729729801899196493716950</v>
      </c>
      <c r="R31" s="171">
        <v>3.0157363886770851772129779600</v>
      </c>
      <c r="S31" s="328">
        <v>3.6071530060416174201991865700</v>
      </c>
      <c r="T31" s="327">
        <v>0</v>
      </c>
      <c r="U31" s="171">
        <v>13.185870491999309315463222160</v>
      </c>
      <c r="V31" s="328">
        <v>0</v>
      </c>
      <c r="W31" s="171">
        <v>0</v>
      </c>
      <c r="X31" s="171">
        <v>12.504027897861315276547761210</v>
      </c>
      <c r="Y31" s="328">
        <v>0</v>
      </c>
      <c r="Z31" s="327">
        <v>-24.324324324402045288531695200</v>
      </c>
      <c r="AA31" s="171">
        <v>6.4267352186195280232090547200</v>
      </c>
      <c r="AB31" s="328">
        <v>7.1568627450066407151096511900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c r="BB31" s="244"/>
      <c r="BC31" s="244"/>
      <c r="BD31" s="244"/>
      <c r="BE31" s="244"/>
      <c r="BF31" s="244"/>
      <c r="BG31" s="244"/>
    </row>
    <row r="32" ht="15.6" customHeight="1">
      <c r="A32" s="92"/>
      <c r="B32" s="346">
        <v>4</v>
      </c>
      <c r="C32" s="352" t="s">
        <v>47</v>
      </c>
      <c r="D32" s="359">
        <v>16.666666666666666666666666670</v>
      </c>
      <c r="E32" s="170">
        <v>35.23319674988823126489395300</v>
      </c>
      <c r="F32" s="360">
        <v>64.513568868407578084997439840</v>
      </c>
      <c r="G32" s="359">
        <v>0</v>
      </c>
      <c r="H32" s="170">
        <v>9.294646995369288002395337290</v>
      </c>
      <c r="I32" s="360">
        <v>5.899470899470899470899470900</v>
      </c>
      <c r="J32" s="170">
        <v>2.1505376344086021505376344100</v>
      </c>
      <c r="K32" s="170">
        <v>3.9988597538216704196352032500</v>
      </c>
      <c r="L32" s="360">
        <v>0.3806110257723160948967400600</v>
      </c>
      <c r="M32" s="359">
        <v>18.817204301075268817204301080</v>
      </c>
      <c r="N32" s="170">
        <v>48.526703499079189686924493550</v>
      </c>
      <c r="O32" s="360">
        <v>70.793650793650793650793650790</v>
      </c>
      <c r="P32" s="4"/>
      <c r="Q32" s="359">
        <v>10.714285713993112244898732510</v>
      </c>
      <c r="R32" s="170">
        <v>11.435152744647208214085251860</v>
      </c>
      <c r="S32" s="360">
        <v>3.4116289165776899339455097500</v>
      </c>
      <c r="T32" s="359">
        <v>0</v>
      </c>
      <c r="U32" s="170">
        <v>40.507711570821869905985674990</v>
      </c>
      <c r="V32" s="360">
        <v>76.058163650025624576644977690</v>
      </c>
      <c r="W32" s="170">
        <v>33.333333333866666666668800090</v>
      </c>
      <c r="X32" s="170">
        <v>-20.742032464335998143577903420</v>
      </c>
      <c r="Y32" s="360">
        <v>28.730700290438823293072392490</v>
      </c>
      <c r="Z32" s="359">
        <v>12.903225806225806451613354870</v>
      </c>
      <c r="AA32" s="170">
        <v>12.127659574594526935264968290</v>
      </c>
      <c r="AB32" s="360">
        <v>7.2115384616132003513314130400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c r="BB32" s="244"/>
      <c r="BC32" s="244"/>
      <c r="BD32" s="244"/>
      <c r="BE32" s="244"/>
      <c r="BF32" s="244"/>
      <c r="BG32" s="244"/>
    </row>
    <row r="33" ht="15.6" customHeight="1">
      <c r="A33" s="92"/>
      <c r="B33" s="344">
        <v>5</v>
      </c>
      <c r="C33" s="351" t="s">
        <v>48</v>
      </c>
      <c r="D33" s="327">
        <v>32.795698924731182795698924730</v>
      </c>
      <c r="E33" s="171">
        <v>42.994406506296969904944922960</v>
      </c>
      <c r="F33" s="328">
        <v>72.640662979820225452291228240</v>
      </c>
      <c r="G33" s="327">
        <v>0</v>
      </c>
      <c r="H33" s="171">
        <v>4.4919529185683401393226038900</v>
      </c>
      <c r="I33" s="328">
        <v>6.9865196278351468485075884900</v>
      </c>
      <c r="J33" s="171">
        <v>1.075268817204301075268817200</v>
      </c>
      <c r="K33" s="171">
        <v>4.171099138670601557942417900</v>
      </c>
      <c r="L33" s="328">
        <v>0.1914114966530177218769202300</v>
      </c>
      <c r="M33" s="327">
        <v>33.870967741935483870967741940</v>
      </c>
      <c r="N33" s="171">
        <v>51.657458563535911602209944750</v>
      </c>
      <c r="O33" s="328">
        <v>79.81859410430839002267573696</v>
      </c>
      <c r="P33" s="4"/>
      <c r="Q33" s="327">
        <v>27.083333333349218750000001980</v>
      </c>
      <c r="R33" s="171">
        <v>17.073547044053556634191663820</v>
      </c>
      <c r="S33" s="328">
        <v>3.4231749848899953164648503500</v>
      </c>
      <c r="T33" s="327">
        <v>0</v>
      </c>
      <c r="U33" s="171">
        <v>-32.114816377733970631986605310</v>
      </c>
      <c r="V33" s="328">
        <v>92.13718057048051517004399594</v>
      </c>
      <c r="W33" s="171">
        <v>100.00000000080000000000319920</v>
      </c>
      <c r="X33" s="171">
        <v>2.2209328673795756841828385800</v>
      </c>
      <c r="Y33" s="328">
        <v>100.03322907607332538716860293</v>
      </c>
      <c r="Z33" s="327">
        <v>28.571428571454810495626827530</v>
      </c>
      <c r="AA33" s="171">
        <v>8.932038834925228013950425770</v>
      </c>
      <c r="AB33" s="328">
        <v>7.9092581237832446983472470900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c r="BB33" s="244"/>
      <c r="BC33" s="244"/>
      <c r="BD33" s="244"/>
      <c r="BE33" s="244"/>
      <c r="BF33" s="244"/>
      <c r="BG33" s="244"/>
    </row>
    <row r="34" ht="15.6" customHeight="1">
      <c r="A34" s="92"/>
      <c r="B34" s="346">
        <v>6</v>
      </c>
      <c r="C34" s="352" t="s">
        <v>50</v>
      </c>
      <c r="D34" s="359">
        <v>38.172043010752688172043010750</v>
      </c>
      <c r="E34" s="170">
        <v>40.351578503553969826060324010</v>
      </c>
      <c r="F34" s="360">
        <v>68.368589823261826045887295240</v>
      </c>
      <c r="G34" s="359">
        <v>0</v>
      </c>
      <c r="H34" s="170">
        <v>4.2971810873914617217362942500</v>
      </c>
      <c r="I34" s="360">
        <v>9.115811976434910139451639360</v>
      </c>
      <c r="J34" s="170">
        <v>2.6881720430107526881720430100</v>
      </c>
      <c r="K34" s="170">
        <v>3.8779439081337581391278752900</v>
      </c>
      <c r="L34" s="360">
        <v>0.4747818737726515697631062200</v>
      </c>
      <c r="M34" s="359">
        <v>40.860215053763440860215053760</v>
      </c>
      <c r="N34" s="170">
        <v>48.526703499079189686924493550</v>
      </c>
      <c r="O34" s="360">
        <v>77.959183673469387755102040820</v>
      </c>
      <c r="P34" s="4"/>
      <c r="Q34" s="359">
        <v>26.785714285800318877551078780</v>
      </c>
      <c r="R34" s="170">
        <v>17.277846020837614863790518400</v>
      </c>
      <c r="S34" s="360">
        <v>3.9822034036094428287392511800</v>
      </c>
      <c r="T34" s="359">
        <v>0</v>
      </c>
      <c r="U34" s="170">
        <v>-80.97690157555168279464739176</v>
      </c>
      <c r="V34" s="360">
        <v>114.26635852974589945427234661</v>
      </c>
      <c r="W34" s="170">
        <v>66.666666667333333333335999950</v>
      </c>
      <c r="X34" s="170">
        <v>0.2192502364057422616822728300</v>
      </c>
      <c r="Y34" s="360">
        <v>63.675690560227020480209073990</v>
      </c>
      <c r="Z34" s="359">
        <v>28.813559322143062338408595800</v>
      </c>
      <c r="AA34" s="170">
        <v>-20.272314674747070065297843860</v>
      </c>
      <c r="AB34" s="360">
        <v>10.903225806449824141519250810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c r="BB34" s="244"/>
      <c r="BC34" s="244"/>
      <c r="BD34" s="244"/>
      <c r="BE34" s="244"/>
      <c r="BF34" s="244"/>
      <c r="BG34" s="244"/>
    </row>
    <row r="35" ht="15.6" customHeight="1">
      <c r="A35" s="92"/>
      <c r="B35" s="344">
        <v>7</v>
      </c>
      <c r="C35" s="351" t="s">
        <v>51</v>
      </c>
      <c r="D35" s="327">
        <v>32.258064516129032258064516130</v>
      </c>
      <c r="E35" s="171">
        <v>32.815536952296414196293292120</v>
      </c>
      <c r="F35" s="328">
        <v>60.965665727570489475251380010</v>
      </c>
      <c r="G35" s="327">
        <v>0</v>
      </c>
      <c r="H35" s="171">
        <v>2.3905358044719242129750080400</v>
      </c>
      <c r="I35" s="328">
        <v>7.0913213770356627499484642300</v>
      </c>
      <c r="J35" s="171">
        <v>1.075268817204301075268817200</v>
      </c>
      <c r="K35" s="171">
        <v>4.0204465802482361763670589700</v>
      </c>
      <c r="L35" s="328">
        <v>0.1969811493621017430541240100</v>
      </c>
      <c r="M35" s="327">
        <v>33.333333333333333333333333330</v>
      </c>
      <c r="N35" s="171">
        <v>39.226519337016574585635359120</v>
      </c>
      <c r="O35" s="328">
        <v>68.253968253968253968253968250</v>
      </c>
      <c r="P35" s="4"/>
      <c r="Q35" s="327">
        <v>25.000000000015625000000001960</v>
      </c>
      <c r="R35" s="171">
        <v>35.792903342639522356723903070</v>
      </c>
      <c r="S35" s="328">
        <v>10.764240562211448793606739170</v>
      </c>
      <c r="T35" s="327">
        <v>0</v>
      </c>
      <c r="U35" s="171">
        <v>-90.19235044628217410994292069</v>
      </c>
      <c r="V35" s="328">
        <v>77.858242303536166202460145310</v>
      </c>
      <c r="W35" s="171">
        <v>-33.333333333066666666665600270</v>
      </c>
      <c r="X35" s="171">
        <v>4.317727072391805586109796900</v>
      </c>
      <c r="Y35" s="328">
        <v>-32.479741353376585033708103010</v>
      </c>
      <c r="Z35" s="327">
        <v>21.568627451023298731257223900</v>
      </c>
      <c r="AA35" s="171">
        <v>-25.131810193326880013343175610</v>
      </c>
      <c r="AB35" s="328">
        <v>15.061162079426254804590023540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c r="BB35" s="244"/>
      <c r="BC35" s="244"/>
      <c r="BD35" s="244"/>
      <c r="BE35" s="244"/>
      <c r="BF35" s="244"/>
      <c r="BG35" s="244"/>
    </row>
    <row r="36" ht="15.6" customHeight="1">
      <c r="A36" s="92"/>
      <c r="B36" s="346">
        <v>8</v>
      </c>
      <c r="C36" s="352" t="s">
        <v>52</v>
      </c>
      <c r="D36" s="359">
        <v>68.817204301075268817204301080</v>
      </c>
      <c r="E36" s="170">
        <v>38.750627825213460572576594680</v>
      </c>
      <c r="F36" s="360">
        <v>64.812539326376274768196982110</v>
      </c>
      <c r="G36" s="359">
        <v>0</v>
      </c>
      <c r="H36" s="170">
        <v>2.4409844299347061778001004500</v>
      </c>
      <c r="I36" s="360">
        <v>6.0616043974308746186083508400</v>
      </c>
      <c r="J36" s="170">
        <v>2.1505376344086021505376344100</v>
      </c>
      <c r="K36" s="170">
        <v>3.5597689603214465092918131600</v>
      </c>
      <c r="L36" s="360">
        <v>0.3730218090726692072989754400</v>
      </c>
      <c r="M36" s="359">
        <v>70.967741935483870967741935480</v>
      </c>
      <c r="N36" s="170">
        <v>44.751381215469613259668508290</v>
      </c>
      <c r="O36" s="360">
        <v>71.247165532879818594104308390</v>
      </c>
      <c r="P36" s="4"/>
      <c r="Q36" s="359">
        <v>77.777777777570370370370612360</v>
      </c>
      <c r="R36" s="170">
        <v>10.062259392372876091070795410</v>
      </c>
      <c r="S36" s="360">
        <v>16.943489518598210163018733250</v>
      </c>
      <c r="T36" s="359">
        <v>0</v>
      </c>
      <c r="U36" s="170">
        <v>-70.899410902471396934930158590</v>
      </c>
      <c r="V36" s="360">
        <v>42.964317350992799799985433890</v>
      </c>
      <c r="W36" s="170">
        <v>100.00000000080000000000320013</v>
      </c>
      <c r="X36" s="170">
        <v>-15.123281797863036258116027300</v>
      </c>
      <c r="Y36" s="360">
        <v>84.75388703384861732629975563</v>
      </c>
      <c r="Z36" s="359">
        <v>78.378378378195178962746718460</v>
      </c>
      <c r="AA36" s="170">
        <v>-6.3583815028533663002438961200</v>
      </c>
      <c r="AB36" s="360">
        <v>19.015151515213727617079922330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row>
    <row r="37" ht="15.6" customHeight="1">
      <c r="A37" s="92"/>
      <c r="B37" s="348">
        <v>9</v>
      </c>
      <c r="C37" s="353" t="s">
        <v>53</v>
      </c>
      <c r="D37" s="329">
        <v>63.978494623655913978494623660</v>
      </c>
      <c r="E37" s="330">
        <v>48.990071048045067863473207630</v>
      </c>
      <c r="F37" s="332">
        <v>64.761767124654616525416438700</v>
      </c>
      <c r="G37" s="329">
        <v>0</v>
      </c>
      <c r="H37" s="330">
        <v>3.7444640291499414927495445300</v>
      </c>
      <c r="I37" s="332">
        <v>7.3543023683929818766150871100</v>
      </c>
      <c r="J37" s="330">
        <v>1.075268817204301075268817200</v>
      </c>
      <c r="K37" s="330">
        <v>5.4606767091769980102597524400</v>
      </c>
      <c r="L37" s="332">
        <v>0.2195314139818800560183608100</v>
      </c>
      <c r="M37" s="329">
        <v>65.053763440860215053763440860</v>
      </c>
      <c r="N37" s="330">
        <v>58.195211786372007366482504600</v>
      </c>
      <c r="O37" s="332">
        <v>72.335600907029478458049886620</v>
      </c>
      <c r="P37" s="4"/>
      <c r="Q37" s="329">
        <v>29.347826086950897920604915190</v>
      </c>
      <c r="R37" s="330">
        <v>28.850620140312905072316946140</v>
      </c>
      <c r="S37" s="332">
        <v>11.907000102375986494894630950</v>
      </c>
      <c r="T37" s="329">
        <v>0</v>
      </c>
      <c r="U37" s="330">
        <v>-34.280501927514152509566711270</v>
      </c>
      <c r="V37" s="332">
        <v>154.58526401501647361143947923</v>
      </c>
      <c r="W37" s="330">
        <v>0.000000000400000000001599600</v>
      </c>
      <c r="X37" s="330">
        <v>31.150752733826867296204105010</v>
      </c>
      <c r="Y37" s="332">
        <v>13.993401770145653534261242920</v>
      </c>
      <c r="Z37" s="329">
        <v>28.723404255324626527840652110</v>
      </c>
      <c r="AA37" s="330">
        <v>21.538461538528384615384652140</v>
      </c>
      <c r="AB37" s="332">
        <v>18.675595238058151971726202060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c r="BB37" s="244"/>
      <c r="BC37" s="244"/>
      <c r="BD37" s="244"/>
      <c r="BE37" s="244"/>
      <c r="BF37" s="244"/>
      <c r="BG37" s="244"/>
    </row>
    <row r="38" ht="21" customHeight="1">
      <c r="B38" s="54"/>
      <c r="C38"/>
      <c r="D38" s="88"/>
      <c r="E38" s="88"/>
      <c r="F38" s="88"/>
      <c r="G38" s="88"/>
      <c r="H38" s="88"/>
      <c r="I38" s="88"/>
      <c r="J38" s="88"/>
      <c r="K38" s="88"/>
      <c r="L38" s="88"/>
      <c r="M38" s="88"/>
      <c r="N38" s="88"/>
      <c r="O38" s="88"/>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c r="BB38" s="244"/>
      <c r="BC38" s="244"/>
      <c r="BD38" s="244"/>
      <c r="BE38" s="244"/>
      <c r="BF38" s="244"/>
      <c r="BG38" s="244"/>
    </row>
    <row r="39" ht="15.6" customHeight="1">
      <c r="A39" s="54"/>
      <c r="B39" s="53"/>
      <c r="C39" s="53" t="s">
        <v>14</v>
      </c>
      <c r="D39" s="354">
        <v>16.666666666666666666666666670</v>
      </c>
      <c r="E39" s="355">
        <v>28.605477707300189681333469340</v>
      </c>
      <c r="F39" s="356">
        <v>48.565882743055540618502713790</v>
      </c>
      <c r="G39" s="354">
        <v>0</v>
      </c>
      <c r="H39" s="355">
        <v>8.390078151611182813096657860</v>
      </c>
      <c r="I39" s="356">
        <v>3.9249054932459843572123542200</v>
      </c>
      <c r="J39" s="355">
        <v>1.3440860215053763440860215100</v>
      </c>
      <c r="K39" s="355">
        <v>5.5458806051770252956251214200</v>
      </c>
      <c r="L39" s="356">
        <v>0.2529759360340759313144104500</v>
      </c>
      <c r="M39" s="354">
        <v>18.010752688172043010752688170</v>
      </c>
      <c r="N39" s="355">
        <v>42.541436464088397790055248620</v>
      </c>
      <c r="O39" s="356">
        <v>52.743764172335600907029478460</v>
      </c>
      <c r="P39" s="4"/>
      <c r="Q39" s="354">
        <v>-18.421052631651939058171679830</v>
      </c>
      <c r="R39" s="355">
        <v>18.397381540888425902393634560</v>
      </c>
      <c r="S39" s="356">
        <v>8.164622559855474051435926260</v>
      </c>
      <c r="T39" s="354">
        <v>-100</v>
      </c>
      <c r="U39" s="355">
        <v>16.779768810951934111930994460</v>
      </c>
      <c r="V39" s="356">
        <v>13.133351520402377861061032120</v>
      </c>
      <c r="W39" s="355">
        <v>66.666666667333333333336000570</v>
      </c>
      <c r="X39" s="355">
        <v>10.831376330929952290624380410</v>
      </c>
      <c r="Y39" s="356">
        <v>61.301910705880367487904317500</v>
      </c>
      <c r="Z39" s="354">
        <v>-31.979695431585333298976852850</v>
      </c>
      <c r="AA39" s="355">
        <v>17.036098796563872325218635120</v>
      </c>
      <c r="AB39" s="356">
        <v>8.691588785059426587474890120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c r="BB39" s="244"/>
      <c r="BC39" s="244"/>
      <c r="BD39" s="244"/>
      <c r="BE39" s="244"/>
      <c r="BF39" s="244"/>
      <c r="BG39" s="244"/>
    </row>
    <row r="40" ht="15.6" customHeight="1">
      <c r="A40" s="54"/>
      <c r="C40" s="53" t="s">
        <v>15</v>
      </c>
      <c r="D40" s="327">
        <v>22.311827956989247311827956990</v>
      </c>
      <c r="E40" s="171">
        <v>41.288022614797853738972813490</v>
      </c>
      <c r="F40" s="328">
        <v>67.785578631270048753850423920</v>
      </c>
      <c r="G40" s="327">
        <v>7.930107526881720430107526880</v>
      </c>
      <c r="H40" s="171">
        <v>11.555861028978602590354208890</v>
      </c>
      <c r="I40" s="328">
        <v>7.8994110057324816912862657500</v>
      </c>
      <c r="J40" s="171">
        <v>2.0161290322580645161290322600</v>
      </c>
      <c r="K40" s="171">
        <v>4.7528014390964718474685577300</v>
      </c>
      <c r="L40" s="328">
        <v>0.3694321317049525480605892400</v>
      </c>
      <c r="M40" s="327">
        <v>32.258064516129032258064516130</v>
      </c>
      <c r="N40" s="171">
        <v>57.596685082872928176795580110</v>
      </c>
      <c r="O40" s="328">
        <v>76.054421768707482993197278910</v>
      </c>
      <c r="P40" s="4"/>
      <c r="Q40" s="327">
        <v>-20.574162679532245140907803690</v>
      </c>
      <c r="R40" s="171">
        <v>12.152006893247345341519370790</v>
      </c>
      <c r="S40" s="328">
        <v>13.253711703968732526958695040</v>
      </c>
      <c r="T40" s="327">
        <v>40.476190476752380952383199970</v>
      </c>
      <c r="U40" s="171">
        <v>67.566100220301277672770258200</v>
      </c>
      <c r="V40" s="328">
        <v>62.257564597306906159495769610</v>
      </c>
      <c r="W40" s="171">
        <v>36.363636359570247934005541830</v>
      </c>
      <c r="X40" s="171">
        <v>-5.3838316456811903478978260900</v>
      </c>
      <c r="Y40" s="328">
        <v>38.173172843063754904709968940</v>
      </c>
      <c r="Z40" s="327">
        <v>-8.396946564779208670823255260</v>
      </c>
      <c r="AA40" s="171">
        <v>18.186112423291795570821647830</v>
      </c>
      <c r="AB40" s="328">
        <v>17.027215631576927122570425810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c r="BB40" s="244"/>
      <c r="BC40" s="244"/>
      <c r="BD40" s="244"/>
      <c r="BE40" s="244"/>
      <c r="BF40" s="244"/>
      <c r="BG40" s="244"/>
    </row>
    <row r="41" ht="15.6" customHeight="1">
      <c r="A41" s="54"/>
      <c r="B41" s="22"/>
      <c r="C41" s="53" t="s">
        <v>16</v>
      </c>
      <c r="D41" s="359">
        <v>34.677419354838709677419354840</v>
      </c>
      <c r="E41" s="170">
        <v>52.496054100218158841901262800</v>
      </c>
      <c r="F41" s="360">
        <v>72.821641570939902802950057930</v>
      </c>
      <c r="G41" s="359">
        <v>15.591397849462365591397849460</v>
      </c>
      <c r="H41" s="170">
        <v>10.075415636814202337932927030</v>
      </c>
      <c r="I41" s="360">
        <v>10.903477402954345685287162760</v>
      </c>
      <c r="J41" s="170">
        <v>1.3440860215053763440860215100</v>
      </c>
      <c r="K41" s="170">
        <v>4.5095615705182833873849630200</v>
      </c>
      <c r="L41" s="360">
        <v>0.2317971258789941421482668400</v>
      </c>
      <c r="M41" s="359">
        <v>51.612903225806451612903225810</v>
      </c>
      <c r="N41" s="170">
        <v>67.081031307550644567219152850</v>
      </c>
      <c r="O41" s="360">
        <v>83.95691609977324263038548753</v>
      </c>
      <c r="P41" s="4"/>
      <c r="Q41" s="359">
        <v>6.1728395061099222679469965900</v>
      </c>
      <c r="R41" s="170">
        <v>26.377381324735555734572037010</v>
      </c>
      <c r="S41" s="360">
        <v>7.0042520570460952140684171300</v>
      </c>
      <c r="T41" s="359">
        <v>152.17391304448695652174316518</v>
      </c>
      <c r="U41" s="170">
        <v>14.931370226677218116175875930</v>
      </c>
      <c r="V41" s="360">
        <v>61.562580773747623687057256900</v>
      </c>
      <c r="W41" s="170">
        <v>25.000000000500000000002000430</v>
      </c>
      <c r="X41" s="170">
        <v>-7.4766959465329663542301523900</v>
      </c>
      <c r="Y41" s="360">
        <v>25.300119198537624905897843680</v>
      </c>
      <c r="Z41" s="359">
        <v>29.292929292960636669727586430</v>
      </c>
      <c r="AA41" s="170">
        <v>21.568627451089940857444453170</v>
      </c>
      <c r="AB41" s="360">
        <v>11.959479891168783053494857420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c r="BB41" s="244"/>
      <c r="BC41" s="244"/>
      <c r="BD41" s="244"/>
      <c r="BE41" s="244"/>
      <c r="BF41" s="244"/>
      <c r="BG41" s="244"/>
    </row>
    <row r="42" ht="15.6" customHeight="1">
      <c r="A42" s="54"/>
      <c r="B42" s="22"/>
      <c r="C42" s="53" t="s">
        <v>17</v>
      </c>
      <c r="D42" s="327">
        <v>40.322580645161290322580645160</v>
      </c>
      <c r="E42" s="171">
        <v>45.135813048790376312372049410</v>
      </c>
      <c r="F42" s="328">
        <v>68.873333536380697342969695760</v>
      </c>
      <c r="G42" s="327">
        <v>11.559139784946236559139784950</v>
      </c>
      <c r="H42" s="171">
        <v>11.146305135495052905719369600</v>
      </c>
      <c r="I42" s="328">
        <v>9.852694215179207465143909940</v>
      </c>
      <c r="J42" s="171">
        <v>2.0161290322580645161290322600</v>
      </c>
      <c r="K42" s="171">
        <v>4.3762611895635578905641979300</v>
      </c>
      <c r="L42" s="328">
        <v>0.3442670330205940580995462300</v>
      </c>
      <c r="M42" s="327">
        <v>53.897849462365591397849462370</v>
      </c>
      <c r="N42" s="171">
        <v>60.658379373848987108655616940</v>
      </c>
      <c r="O42" s="328">
        <v>79.070294784580498866213151930</v>
      </c>
      <c r="P42" s="4"/>
      <c r="Q42" s="327">
        <v>27.118644067904337833955851130</v>
      </c>
      <c r="R42" s="171">
        <v>9.413516444439905545431305360</v>
      </c>
      <c r="S42" s="328">
        <v>4.4429978402816515387036223900</v>
      </c>
      <c r="T42" s="327">
        <v>82.97872340353897691263295385</v>
      </c>
      <c r="U42" s="171">
        <v>-2.1680211170644464775802949400</v>
      </c>
      <c r="V42" s="328">
        <v>83.69654154457650721586420483</v>
      </c>
      <c r="W42" s="171">
        <v>36.363636359570247934005541830</v>
      </c>
      <c r="X42" s="171">
        <v>-7.7455583580680041639362087400</v>
      </c>
      <c r="Y42" s="328">
        <v>33.650139193816723976289878970</v>
      </c>
      <c r="Z42" s="327">
        <v>36.394557822984506455643635500</v>
      </c>
      <c r="AA42" s="171">
        <v>5.695948656294446592456502100</v>
      </c>
      <c r="AB42" s="328">
        <v>10.487959442394031586886260280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c r="BB42" s="244"/>
      <c r="BC42" s="244"/>
      <c r="BD42" s="244"/>
      <c r="BE42" s="244"/>
      <c r="BF42" s="244"/>
      <c r="BG42" s="244"/>
    </row>
    <row r="43" ht="15.6" customHeight="1">
      <c r="A43" s="54"/>
      <c r="B43" s="22"/>
      <c r="C43" s="53" t="s">
        <v>18</v>
      </c>
      <c r="D43" s="359">
        <v>25.134408602150537634408602150</v>
      </c>
      <c r="E43" s="170">
        <v>36.931004071770255251982021960</v>
      </c>
      <c r="F43" s="360">
        <v>61.322027599071220387150073940</v>
      </c>
      <c r="G43" s="359">
        <v>0.268817204301075268817204300</v>
      </c>
      <c r="H43" s="170">
        <v>7.4068024384953504576327485800</v>
      </c>
      <c r="I43" s="360">
        <v>7.3063708499232847093538331400</v>
      </c>
      <c r="J43" s="170">
        <v>0.9408602150537634408602150500</v>
      </c>
      <c r="K43" s="170">
        <v>4.5111805983900112332949900500</v>
      </c>
      <c r="L43" s="360">
        <v>0.1697874920485788037228502900</v>
      </c>
      <c r="M43" s="359">
        <v>26.344086021505376344086021510</v>
      </c>
      <c r="N43" s="170">
        <v>48.848987108655616942909760590</v>
      </c>
      <c r="O43" s="360">
        <v>68.798185941043083900226757370</v>
      </c>
      <c r="P43" s="4"/>
      <c r="Q43" s="359">
        <v>-15.384615384704211625478500560</v>
      </c>
      <c r="R43" s="170">
        <v>8.994972173452225731384429410</v>
      </c>
      <c r="S43" s="360">
        <v>5.858250675592622654926342100</v>
      </c>
      <c r="T43" s="359">
        <v>-95.23809523807619047619040002</v>
      </c>
      <c r="U43" s="170">
        <v>-37.198383150751540433943287610</v>
      </c>
      <c r="V43" s="360">
        <v>49.705513165742551098682704820</v>
      </c>
      <c r="W43" s="170">
        <v>-36.363636365533884297464080800</v>
      </c>
      <c r="X43" s="170">
        <v>-3.3619003906418124141778513200</v>
      </c>
      <c r="Y43" s="360">
        <v>-35.596821996511294535220606240</v>
      </c>
      <c r="Z43" s="359">
        <v>-28.467153284579636634876540250</v>
      </c>
      <c r="AA43" s="170">
        <v>-2.9721079103731266499950131400</v>
      </c>
      <c r="AB43" s="360">
        <v>9.077835700121391274214946960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c r="BB43" s="244"/>
      <c r="BC43" s="244"/>
      <c r="BD43" s="244"/>
      <c r="BE43" s="244"/>
      <c r="BF43" s="244"/>
      <c r="BG43" s="244"/>
    </row>
    <row r="44" ht="15.6" customHeight="1">
      <c r="A44" s="54"/>
      <c r="B44" s="22"/>
      <c r="C44" s="53" t="s">
        <v>19</v>
      </c>
      <c r="D44" s="327">
        <v>40.860215053763440860215053760</v>
      </c>
      <c r="E44" s="171">
        <v>43.787303825956415333129015520</v>
      </c>
      <c r="F44" s="328">
        <v>64.607772565399163492533703290</v>
      </c>
      <c r="G44" s="327">
        <v>0.268817204301075268817204300</v>
      </c>
      <c r="H44" s="171">
        <v>17.859444823330195141658300140</v>
      </c>
      <c r="I44" s="328">
        <v>8.530932356451889866311654490</v>
      </c>
      <c r="J44" s="171">
        <v>1.8817204301075268817204301100</v>
      </c>
      <c r="K44" s="171">
        <v>4.3523305404003140187670121600</v>
      </c>
      <c r="L44" s="328">
        <v>0.3420207017317130810639392800</v>
      </c>
      <c r="M44" s="327">
        <v>43.010752688172043010752688170</v>
      </c>
      <c r="N44" s="171">
        <v>65.999079189686924493554327810</v>
      </c>
      <c r="O44" s="328">
        <v>73.480725623582766439909297050</v>
      </c>
      <c r="P44" s="4"/>
      <c r="Q44" s="327">
        <v>45.454545454350587211831492020</v>
      </c>
      <c r="R44" s="171">
        <v>0.7937947057181654727313395200</v>
      </c>
      <c r="S44" s="328">
        <v>12.467825320641631390097813810</v>
      </c>
      <c r="T44" s="327">
        <v>-77.777777778607407407376434660</v>
      </c>
      <c r="U44" s="171">
        <v>35.481889999926601289442780080</v>
      </c>
      <c r="V44" s="328">
        <v>3.5251935881074703899749002800</v>
      </c>
      <c r="W44" s="171">
        <v>179.99999998028800000138772517</v>
      </c>
      <c r="X44" s="171">
        <v>-11.331200071201171783585578930</v>
      </c>
      <c r="Y44" s="328">
        <v>187.44287913932167754928811856</v>
      </c>
      <c r="Z44" s="327">
        <v>43.497757847389491041444774670</v>
      </c>
      <c r="AA44" s="171">
        <v>7.2577628132673281427989240400</v>
      </c>
      <c r="AB44" s="328">
        <v>11.664369400466992926763145800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c r="BB44" s="244"/>
      <c r="BC44" s="244"/>
      <c r="BD44" s="244"/>
      <c r="BE44" s="244"/>
      <c r="BF44" s="244"/>
      <c r="BG44" s="244"/>
    </row>
    <row r="45" ht="15.6" customHeight="1">
      <c r="A45" s="54"/>
      <c r="B45" s="22"/>
      <c r="C45" s="53" t="s">
        <v>20</v>
      </c>
      <c r="D45" s="364">
        <v>40.994623655913978494623655910</v>
      </c>
      <c r="E45" s="365">
        <v>44.544571842946354695012433970</v>
      </c>
      <c r="F45" s="366">
        <v>65.156224168503098423616736820</v>
      </c>
      <c r="G45" s="364">
        <v>0.268817204301075268817204300</v>
      </c>
      <c r="H45" s="365">
        <v>18.949354483180618379417885350</v>
      </c>
      <c r="I45" s="366">
        <v>7.1889565541054118459408605700</v>
      </c>
      <c r="J45" s="365">
        <v>1.075268817204301075268817200</v>
      </c>
      <c r="K45" s="365">
        <v>3.9093885910000987487741005700</v>
      </c>
      <c r="L45" s="366">
        <v>0.1945018170740294129820851600</v>
      </c>
      <c r="M45" s="364">
        <v>42.338709677419354838709677420</v>
      </c>
      <c r="N45" s="365">
        <v>67.403314917127071823204419890</v>
      </c>
      <c r="O45" s="366">
        <v>72.539682539682539682539682540</v>
      </c>
      <c r="P45" s="4"/>
      <c r="Q45" s="364">
        <v>45.238095238161632653061254830</v>
      </c>
      <c r="R45" s="365">
        <v>4.3584212216643369735373470400</v>
      </c>
      <c r="S45" s="366">
        <v>17.954343776356912727402886740</v>
      </c>
      <c r="T45" s="364">
        <v>99.99999992640000002708479919</v>
      </c>
      <c r="U45" s="365">
        <v>78.005800627380567905228897770</v>
      </c>
      <c r="V45" s="366">
        <v>0.800716410983346143637718100</v>
      </c>
      <c r="W45" s="365">
        <v>0.000000000400000000001599600</v>
      </c>
      <c r="X45" s="365">
        <v>-20.031492420039086621965809570</v>
      </c>
      <c r="Y45" s="366">
        <v>1.3052628211811426206168189400</v>
      </c>
      <c r="Z45" s="364">
        <v>43.835616438198536310752659140</v>
      </c>
      <c r="AA45" s="365">
        <v>15.776986951361978135478977710</v>
      </c>
      <c r="AB45" s="366">
        <v>15.947807176594758516100976380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c r="BB45" s="244"/>
      <c r="BC45" s="244"/>
      <c r="BD45" s="244"/>
      <c r="BE45" s="244"/>
      <c r="BF45" s="244"/>
      <c r="BG45" s="244"/>
    </row>
    <row r="46" ht="20.25" customHeight="1">
      <c r="B46" s="54"/>
      <c r="C46"/>
      <c r="D46" s="88"/>
      <c r="E46" s="88"/>
      <c r="F46" s="88"/>
      <c r="G46" s="88"/>
      <c r="H46" s="88"/>
      <c r="I46" s="88"/>
      <c r="J46" s="88"/>
      <c r="K46" s="88"/>
      <c r="L46" s="88"/>
      <c r="M46" s="88"/>
      <c r="N46" s="88"/>
      <c r="O46" s="88"/>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c r="BB46" s="244"/>
      <c r="BC46" s="244"/>
      <c r="BD46" s="244"/>
      <c r="BE46" s="244"/>
      <c r="BF46" s="244"/>
      <c r="BG46" s="244"/>
    </row>
    <row r="47" ht="15.6" customHeight="1">
      <c r="A47" s="22"/>
      <c r="B47" s="22"/>
      <c r="C47" s="53" t="s">
        <v>72</v>
      </c>
      <c r="D47" s="354">
        <v>38.095238095238095238095238100</v>
      </c>
      <c r="E47" s="355">
        <v>37.620902355870635588749675270</v>
      </c>
      <c r="F47" s="356">
        <v>63.427130321069210613409025680</v>
      </c>
      <c r="G47" s="354">
        <v>0</v>
      </c>
      <c r="H47" s="355">
        <v>5.0676259959745355414978931500</v>
      </c>
      <c r="I47" s="356">
        <v>6.2779739888424382529727147300</v>
      </c>
      <c r="J47" s="355">
        <v>1.6129032258064516129032258100</v>
      </c>
      <c r="K47" s="355">
        <v>4.3122609141374650181344363100</v>
      </c>
      <c r="L47" s="356">
        <v>0.2916562990938580983088977400</v>
      </c>
      <c r="M47" s="354">
        <v>39.708141321044546850998463900</v>
      </c>
      <c r="N47" s="355">
        <v>47.000789265982636148382004730</v>
      </c>
      <c r="O47" s="356">
        <v>69.996760609005506964690638160</v>
      </c>
      <c r="P47" s="4"/>
      <c r="Q47" s="354">
        <v>30.183727033942372951412813880</v>
      </c>
      <c r="R47" s="355">
        <v>17.751667438848051820927000410</v>
      </c>
      <c r="S47" s="356">
        <v>7.5128679817987861643668762900</v>
      </c>
      <c r="T47" s="354">
        <v>0</v>
      </c>
      <c r="U47" s="355">
        <v>-56.775674297251796783506834680</v>
      </c>
      <c r="V47" s="356">
        <v>96.56179381121722099770964667</v>
      </c>
      <c r="W47" s="355">
        <v>50.000000000600000000002400330</v>
      </c>
      <c r="X47" s="355">
        <v>1.5073069315785501236426477500</v>
      </c>
      <c r="Y47" s="356">
        <v>49.277517229018884058928131100</v>
      </c>
      <c r="Z47" s="354">
        <v>30.886075949212676173690295930</v>
      </c>
      <c r="AA47" s="355">
        <v>-1.9214932748592055471862196100</v>
      </c>
      <c r="AB47" s="356">
        <v>12.202720947223157823870927360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c r="BB47" s="244"/>
      <c r="BC47" s="244"/>
      <c r="BD47" s="244"/>
      <c r="BE47" s="244"/>
      <c r="BF47" s="244"/>
      <c r="BG47" s="244"/>
    </row>
    <row r="48" ht="15.6" customHeight="1">
      <c r="A48" s="22"/>
      <c r="B48" s="22"/>
      <c r="C48" s="53" t="s">
        <v>61</v>
      </c>
      <c r="D48" s="327">
        <v>31.566820276497695852534562210</v>
      </c>
      <c r="E48" s="171">
        <v>41.826892458825657693529009500</v>
      </c>
      <c r="F48" s="328">
        <v>64.161780116374238831653343630</v>
      </c>
      <c r="G48" s="327">
        <v>5.1267281105990783410138248800</v>
      </c>
      <c r="H48" s="171">
        <v>12.197608813986457803687442490</v>
      </c>
      <c r="I48" s="328">
        <v>7.943821125370372231505148700</v>
      </c>
      <c r="J48" s="171">
        <v>1.5168970814132104454685099800</v>
      </c>
      <c r="K48" s="171">
        <v>4.5653435048779660602684204100</v>
      </c>
      <c r="L48" s="328">
        <v>0.2721117482132768539130982100</v>
      </c>
      <c r="M48" s="327">
        <v>38.210445468509984639016897080</v>
      </c>
      <c r="N48" s="171">
        <v>58.589844777690081557484872400</v>
      </c>
      <c r="O48" s="328">
        <v>72.377712989957887917071590540</v>
      </c>
      <c r="P48" s="4"/>
      <c r="Q48" s="327">
        <v>11.081081081078679327976625320</v>
      </c>
      <c r="R48" s="171">
        <v>10.998641913957758409263983500</v>
      </c>
      <c r="S48" s="328">
        <v>9.714774122617640443553710340</v>
      </c>
      <c r="T48" s="327">
        <v>18.141592919659769754879167260</v>
      </c>
      <c r="U48" s="171">
        <v>22.216859983606939887483650630</v>
      </c>
      <c r="V48" s="328">
        <v>36.616400483130706513641234450</v>
      </c>
      <c r="W48" s="171">
        <v>31.666666668826000000035412660</v>
      </c>
      <c r="X48" s="171">
        <v>-6.311016405216331985408999500</v>
      </c>
      <c r="Y48" s="328">
        <v>32.148084448108703416037704840</v>
      </c>
      <c r="Z48" s="327">
        <v>12.684031710055283581017564670</v>
      </c>
      <c r="AA48" s="171">
        <v>11.524256651056755767741570290</v>
      </c>
      <c r="AB48" s="328">
        <v>12.211536047091641473266144690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c r="BB48" s="244"/>
      <c r="BC48" s="244"/>
      <c r="BD48" s="244"/>
      <c r="BE48" s="244"/>
      <c r="BF48" s="244"/>
      <c r="BG48" s="244"/>
    </row>
    <row r="49" ht="15.6" customHeight="1">
      <c r="A49" s="54"/>
      <c r="B49" s="22"/>
      <c r="C49" s="53" t="s">
        <v>31</v>
      </c>
      <c r="D49" s="364">
        <v>38.888888888888888888888888890</v>
      </c>
      <c r="E49" s="365">
        <v>38.939422346350879409146297760</v>
      </c>
      <c r="F49" s="366">
        <v>63.982646093007197160982118320</v>
      </c>
      <c r="G49" s="364">
        <v>0</v>
      </c>
      <c r="H49" s="365">
        <v>7.5138804506123047947847244900</v>
      </c>
      <c r="I49" s="366">
        <v>5.8480207905041731932831631900</v>
      </c>
      <c r="J49" s="365">
        <v>1.6129032258064516129032258100</v>
      </c>
      <c r="K49" s="365">
        <v>4.1401082936854755055021678500</v>
      </c>
      <c r="L49" s="366">
        <v>0.2877508539539861587102790800</v>
      </c>
      <c r="M49" s="364">
        <v>40.501792114695340501792114700</v>
      </c>
      <c r="N49" s="365">
        <v>50.593411090648659709433190100</v>
      </c>
      <c r="O49" s="366">
        <v>70.118417737465356512975560590</v>
      </c>
      <c r="P49" s="4"/>
      <c r="Q49" s="364">
        <v>52.816901408661634596310547050</v>
      </c>
      <c r="R49" s="365">
        <v>18.097010619165529885490937750</v>
      </c>
      <c r="S49" s="366">
        <v>8.002189066150970763144349050</v>
      </c>
      <c r="T49" s="364">
        <v>-100</v>
      </c>
      <c r="U49" s="365">
        <v>-37.614817801159546306666501230</v>
      </c>
      <c r="V49" s="366">
        <v>80.86375184591336617044917187</v>
      </c>
      <c r="W49" s="365">
        <v>68.749999996751562500062532790</v>
      </c>
      <c r="X49" s="365">
        <v>-8.462534522726774662069355260</v>
      </c>
      <c r="Y49" s="366">
        <v>64.272292476170167487381494840</v>
      </c>
      <c r="Z49" s="364">
        <v>52.702702702929693206720571180</v>
      </c>
      <c r="AA49" s="365">
        <v>2.1272201568821046174351724600</v>
      </c>
      <c r="AB49" s="366">
        <v>11.919890613619250707964281020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c r="BB49" s="244"/>
      <c r="BC49" s="244"/>
      <c r="BD49" s="244"/>
      <c r="BE49" s="244"/>
      <c r="BF49" s="244"/>
      <c r="BG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c r="BB50" s="244"/>
      <c r="BC50" s="244"/>
      <c r="BD50" s="244"/>
      <c r="BE50" s="244"/>
      <c r="BF50" s="244"/>
      <c r="BG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c r="BB51" s="244"/>
      <c r="BC51" s="244"/>
      <c r="BD51" s="244"/>
      <c r="BE51" s="244"/>
      <c r="BF51" s="244"/>
      <c r="BG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c r="BB52" s="244"/>
      <c r="BC52" s="244"/>
      <c r="BD52" s="244"/>
      <c r="BE52" s="244"/>
      <c r="BF52" s="244"/>
      <c r="BG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c r="BB53" s="244"/>
      <c r="BC53" s="244"/>
      <c r="BD53" s="244"/>
      <c r="BE53" s="244"/>
      <c r="BF53" s="244"/>
      <c r="BG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c r="BB54" s="244"/>
      <c r="BC54" s="244"/>
      <c r="BD54" s="244"/>
      <c r="BE54" s="244"/>
      <c r="BF54" s="244"/>
      <c r="BG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c r="BB55" s="244"/>
      <c r="BC55" s="244"/>
      <c r="BD55" s="244"/>
      <c r="BE55" s="244"/>
      <c r="BF55" s="244"/>
      <c r="BG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c r="BB56" s="244"/>
      <c r="BC56" s="244"/>
      <c r="BD56" s="244"/>
      <c r="BE56" s="244"/>
      <c r="BF56" s="244"/>
      <c r="BG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c r="BB57" s="244"/>
      <c r="BC57" s="244"/>
      <c r="BD57" s="244"/>
      <c r="BE57" s="244"/>
      <c r="BF57" s="244"/>
      <c r="BG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c r="BB58" s="244"/>
      <c r="BC58" s="244"/>
      <c r="BD58" s="244"/>
      <c r="BE58" s="244"/>
      <c r="BF58" s="244"/>
      <c r="BG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c r="BB59" s="244"/>
      <c r="BC59" s="244"/>
      <c r="BD59" s="244"/>
      <c r="BE59" s="244"/>
      <c r="BF59" s="244"/>
      <c r="BG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c r="BB60" s="244"/>
      <c r="BC60" s="244"/>
      <c r="BD60" s="244"/>
      <c r="BE60" s="244"/>
      <c r="BF60" s="244"/>
      <c r="BG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c r="BB61" s="244"/>
      <c r="BC61" s="244"/>
      <c r="BD61" s="244"/>
      <c r="BE61" s="244"/>
      <c r="BF61" s="244"/>
      <c r="BG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c r="BB62" s="244"/>
      <c r="BC62" s="244"/>
      <c r="BD62" s="244"/>
      <c r="BE62" s="244"/>
      <c r="BF62" s="244"/>
      <c r="BG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c r="BB63" s="244"/>
      <c r="BC63" s="244"/>
      <c r="BD63" s="244"/>
      <c r="BE63" s="244"/>
      <c r="BF63" s="244"/>
      <c r="BG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c r="BB64" s="244"/>
      <c r="BC64" s="244"/>
      <c r="BD64" s="244"/>
      <c r="BE64" s="244"/>
      <c r="BF64" s="244"/>
      <c r="BG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c r="BB65" s="244"/>
      <c r="BC65" s="244"/>
      <c r="BD65" s="244"/>
      <c r="BE65" s="244"/>
      <c r="BF65" s="244"/>
      <c r="BG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c r="BB66" s="244"/>
      <c r="BC66" s="244"/>
      <c r="BD66" s="244"/>
      <c r="BE66" s="244"/>
      <c r="BF66" s="244"/>
      <c r="BG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c r="BB67" s="244"/>
      <c r="BC67" s="244"/>
      <c r="BD67" s="244"/>
      <c r="BE67" s="244"/>
      <c r="BF67" s="244"/>
      <c r="BG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c r="BB68" s="244"/>
      <c r="BC68" s="244"/>
      <c r="BD68" s="244"/>
      <c r="BE68" s="244"/>
      <c r="BF68" s="244"/>
      <c r="BG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c r="BB69" s="244"/>
      <c r="BC69" s="244"/>
      <c r="BD69" s="244"/>
      <c r="BE69" s="244"/>
      <c r="BF69" s="244"/>
      <c r="BG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c r="BB70" s="244"/>
      <c r="BC70" s="244"/>
      <c r="BD70" s="244"/>
      <c r="BE70" s="244"/>
      <c r="BF70" s="244"/>
      <c r="BG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c r="BB71" s="244"/>
      <c r="BC71" s="244"/>
      <c r="BD71" s="244"/>
      <c r="BE71" s="244"/>
      <c r="BF71" s="244"/>
      <c r="BG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c r="BB72" s="244"/>
      <c r="BC72" s="244"/>
      <c r="BD72" s="244"/>
      <c r="BE72" s="244"/>
      <c r="BF72" s="244"/>
      <c r="BG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c r="BB73" s="244"/>
      <c r="BC73" s="244"/>
      <c r="BD73" s="244"/>
      <c r="BE73" s="244"/>
      <c r="BF73" s="244"/>
      <c r="BG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c r="BB74" s="244"/>
      <c r="BC74" s="244"/>
      <c r="BD74" s="244"/>
      <c r="BE74" s="244"/>
      <c r="BF74" s="244"/>
      <c r="BG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c r="BB75" s="244"/>
      <c r="BC75" s="244"/>
      <c r="BD75" s="244"/>
      <c r="BE75" s="244"/>
      <c r="BF75" s="244"/>
      <c r="BG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c r="BB76" s="244"/>
      <c r="BC76" s="244"/>
      <c r="BD76" s="244"/>
      <c r="BE76" s="244"/>
      <c r="BF76" s="244"/>
      <c r="BG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c r="BB77" s="244"/>
      <c r="BC77" s="244"/>
      <c r="BD77" s="244"/>
      <c r="BE77" s="244"/>
      <c r="BF77" s="244"/>
      <c r="BG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c r="BB78" s="244"/>
      <c r="BC78" s="244"/>
      <c r="BD78" s="244"/>
      <c r="BE78" s="244"/>
      <c r="BF78" s="244"/>
      <c r="BG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c r="BB79" s="244"/>
      <c r="BC79" s="244"/>
      <c r="BD79" s="244"/>
      <c r="BE79" s="244"/>
      <c r="BF79" s="244"/>
      <c r="BG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c r="BB80" s="244"/>
      <c r="BC80" s="244"/>
      <c r="BD80" s="244"/>
      <c r="BE80" s="244"/>
      <c r="BF80" s="244"/>
      <c r="BG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c r="BB81" s="244"/>
      <c r="BC81" s="244"/>
      <c r="BD81" s="244"/>
      <c r="BE81" s="244"/>
      <c r="BF81" s="244"/>
      <c r="BG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c r="BB82" s="244"/>
      <c r="BC82" s="244"/>
      <c r="BD82" s="244"/>
      <c r="BE82" s="244"/>
      <c r="BF82" s="244"/>
      <c r="BG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c r="BB83" s="244"/>
      <c r="BC83" s="244"/>
      <c r="BD83" s="244"/>
      <c r="BE83" s="244"/>
      <c r="BF83" s="244"/>
      <c r="BG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c r="BB84" s="244"/>
      <c r="BC84" s="244"/>
      <c r="BD84" s="244"/>
      <c r="BE84" s="244"/>
      <c r="BF84" s="244"/>
      <c r="BG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c r="BB85" s="244"/>
      <c r="BC85" s="244"/>
      <c r="BD85" s="244"/>
      <c r="BE85" s="244"/>
      <c r="BF85" s="244"/>
      <c r="BG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c r="BB86" s="244"/>
      <c r="BC86" s="244"/>
      <c r="BD86" s="244"/>
      <c r="BE86" s="244"/>
      <c r="BF86" s="244"/>
      <c r="BG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c r="BB87" s="244"/>
      <c r="BC87" s="244"/>
      <c r="BD87" s="244"/>
      <c r="BE87" s="244"/>
      <c r="BF87" s="244"/>
      <c r="BG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c r="BB88" s="244"/>
      <c r="BC88" s="244"/>
      <c r="BD88" s="244"/>
      <c r="BE88" s="244"/>
      <c r="BF88" s="244"/>
      <c r="BG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c r="BB89" s="244"/>
      <c r="BC89" s="244"/>
      <c r="BD89" s="244"/>
      <c r="BE89" s="244"/>
      <c r="BF89" s="244"/>
      <c r="BG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c r="BB90" s="244"/>
      <c r="BC90" s="244"/>
      <c r="BD90" s="244"/>
      <c r="BE90" s="244"/>
      <c r="BF90" s="244"/>
      <c r="BG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c r="BB91" s="244"/>
      <c r="BC91" s="244"/>
      <c r="BD91" s="244"/>
      <c r="BE91" s="244"/>
      <c r="BF91" s="244"/>
      <c r="BG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c r="BB92" s="244"/>
      <c r="BC92" s="244"/>
      <c r="BD92" s="244"/>
      <c r="BE92" s="244"/>
      <c r="BF92" s="244"/>
      <c r="BG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c r="BB93" s="244"/>
      <c r="BC93" s="244"/>
      <c r="BD93" s="244"/>
      <c r="BE93" s="244"/>
      <c r="BF93" s="244"/>
      <c r="BG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c r="BB94" s="244"/>
      <c r="BC94" s="244"/>
      <c r="BD94" s="244"/>
      <c r="BE94" s="244"/>
      <c r="BF94" s="244"/>
      <c r="BG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c r="BB95" s="244"/>
      <c r="BC95" s="244"/>
      <c r="BD95" s="244"/>
      <c r="BE95" s="244"/>
      <c r="BF95" s="244"/>
      <c r="BG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c r="BB96" s="244"/>
      <c r="BC96" s="244"/>
      <c r="BD96" s="244"/>
      <c r="BE96" s="244"/>
      <c r="BF96" s="244"/>
      <c r="BG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c r="BB97" s="244"/>
      <c r="BC97" s="244"/>
      <c r="BD97" s="244"/>
      <c r="BE97" s="244"/>
      <c r="BF97" s="244"/>
      <c r="BG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c r="BB98" s="244"/>
      <c r="BC98" s="244"/>
      <c r="BD98" s="244"/>
      <c r="BE98" s="244"/>
      <c r="BF98" s="244"/>
      <c r="BG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c r="BB99" s="244"/>
      <c r="BC99" s="244"/>
      <c r="BD99" s="244"/>
      <c r="BE99" s="244"/>
      <c r="BF99" s="244"/>
      <c r="BG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c r="BB100" s="244"/>
      <c r="BC100" s="244"/>
      <c r="BD100" s="244"/>
      <c r="BE100" s="244"/>
      <c r="BF100" s="244"/>
      <c r="BG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c r="BB101" s="244"/>
      <c r="BC101" s="244"/>
      <c r="BD101" s="244"/>
      <c r="BE101" s="244"/>
      <c r="BF101" s="244"/>
      <c r="BG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c r="BB102" s="244"/>
      <c r="BC102" s="244"/>
      <c r="BD102" s="244"/>
      <c r="BE102" s="244"/>
      <c r="BF102" s="244"/>
      <c r="BG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c r="BB103" s="244"/>
      <c r="BC103" s="244"/>
      <c r="BD103" s="244"/>
      <c r="BE103" s="244"/>
      <c r="BF103" s="244"/>
      <c r="BG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c r="BB104" s="244"/>
      <c r="BC104" s="244"/>
      <c r="BD104" s="244"/>
      <c r="BE104" s="244"/>
      <c r="BF104" s="244"/>
      <c r="BG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c r="BB105" s="244"/>
      <c r="BC105" s="244"/>
      <c r="BD105" s="244"/>
      <c r="BE105" s="244"/>
      <c r="BF105" s="244"/>
      <c r="BG105" s="244"/>
    </row>
  </sheetData>
  <mergeCells count="12">
    <mergeCell ref="D8:F8"/>
    <mergeCell ref="M8:O8"/>
    <mergeCell ref="D52:AB52"/>
    <mergeCell ref="R4:AA4"/>
    <mergeCell ref="J8:L8"/>
    <mergeCell ref="G8:I8"/>
    <mergeCell ref="Q7:AB7"/>
    <mergeCell ref="D7:O7"/>
    <mergeCell ref="Q8:S8"/>
    <mergeCell ref="T8:V8"/>
    <mergeCell ref="W8:Y8"/>
    <mergeCell ref="Z8:AB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4"/>
</worksheet>
</file>

<file path=xl/worksheets/sheet3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BA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127</v>
      </c>
      <c r="B1" s="39"/>
      <c r="AD1" s="244"/>
      <c r="AE1" s="244"/>
      <c r="AF1" s="244"/>
      <c r="AG1" s="244"/>
      <c r="AH1" s="244"/>
      <c r="AI1" s="244"/>
      <c r="AJ1" s="244"/>
      <c r="AK1" s="244"/>
      <c r="AL1" s="244"/>
      <c r="AM1" s="244"/>
      <c r="AN1" s="244"/>
      <c r="AO1" s="244"/>
      <c r="AP1" s="244"/>
      <c r="AQ1" s="244"/>
      <c r="AR1" s="244"/>
      <c r="AS1" s="244"/>
      <c r="AT1" s="244"/>
      <c r="AU1" s="244"/>
      <c r="AV1" s="244"/>
      <c r="AW1" s="244"/>
      <c r="AX1" s="244"/>
      <c r="AY1" s="244"/>
      <c r="AZ1" s="244"/>
      <c r="BA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c r="AZ2" s="244"/>
      <c r="BA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c r="AZ4" s="244"/>
      <c r="BA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c r="AZ5" s="244"/>
      <c r="BA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c r="AZ6" s="244"/>
      <c r="BA6" s="244"/>
    </row>
    <row r="7" ht="15.75">
      <c r="D7" s="621" t="s">
        <v>12</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c r="AZ7" s="244"/>
      <c r="BA7" s="244"/>
    </row>
    <row r="8" ht="15.75">
      <c r="D8" s="676" t="s">
        <v>21</v>
      </c>
      <c r="E8" s="676"/>
      <c r="F8" s="676"/>
      <c r="G8" s="676" t="s">
        <v>24</v>
      </c>
      <c r="H8" s="676"/>
      <c r="I8" s="676"/>
      <c r="J8" s="676" t="s">
        <v>25</v>
      </c>
      <c r="K8" s="676"/>
      <c r="L8" s="676"/>
      <c r="M8" s="676" t="s">
        <v>23</v>
      </c>
      <c r="N8" s="676"/>
      <c r="O8" s="676"/>
      <c r="Q8" s="676" t="s">
        <v>21</v>
      </c>
      <c r="R8" s="676"/>
      <c r="S8" s="676"/>
      <c r="T8" s="676" t="s">
        <v>24</v>
      </c>
      <c r="U8" s="676"/>
      <c r="V8" s="676"/>
      <c r="W8" s="676" t="s">
        <v>25</v>
      </c>
      <c r="X8" s="676"/>
      <c r="Y8" s="676"/>
      <c r="Z8" s="676" t="s">
        <v>23</v>
      </c>
      <c r="AA8" s="676"/>
      <c r="AB8" s="676"/>
      <c r="AD8" s="244"/>
      <c r="AE8" s="244"/>
      <c r="AF8" s="244"/>
      <c r="AG8" s="244"/>
      <c r="AH8" s="244"/>
      <c r="AI8" s="244"/>
      <c r="AJ8" s="244"/>
      <c r="AK8" s="244"/>
      <c r="AL8" s="244"/>
      <c r="AM8" s="244"/>
      <c r="AN8" s="244"/>
      <c r="AO8" s="244"/>
      <c r="AP8" s="244"/>
      <c r="AQ8" s="244"/>
      <c r="AR8" s="244"/>
      <c r="AS8" s="244"/>
      <c r="AT8" s="244"/>
      <c r="AU8" s="244"/>
      <c r="AV8" s="244"/>
      <c r="AW8" s="244"/>
      <c r="AX8" s="244"/>
      <c r="AY8" s="244"/>
      <c r="AZ8" s="244"/>
      <c r="BA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c r="AZ9" s="244"/>
      <c r="BA9" s="244"/>
    </row>
    <row r="10" ht="15.6" customHeight="1">
      <c r="A10" s="92" t="s">
        <v>148</v>
      </c>
      <c r="B10" s="342">
        <v>13</v>
      </c>
      <c r="C10" s="343" t="s">
        <v>49</v>
      </c>
      <c r="D10" s="374">
        <v>89.70909090909090909090909091</v>
      </c>
      <c r="E10" s="382">
        <v>119.35878195138110438259188882</v>
      </c>
      <c r="F10" s="375">
        <v>116.18156787574606567913879953</v>
      </c>
      <c r="G10" s="374">
        <v>0</v>
      </c>
      <c r="H10" s="382">
        <v>139.44476928336862295488065089</v>
      </c>
      <c r="I10" s="375">
        <v>104.6289612154106454417115259</v>
      </c>
      <c r="J10" s="374">
        <v>95.33333333333333333333333333</v>
      </c>
      <c r="K10" s="382">
        <v>119.88379979549459608445481535</v>
      </c>
      <c r="L10" s="375">
        <v>90.80022172631219819808482718</v>
      </c>
      <c r="M10" s="374">
        <v>90.000000000</v>
      </c>
      <c r="N10" s="382">
        <v>122.43809210526315789473684211</v>
      </c>
      <c r="O10" s="375">
        <v>114.784693019343986543313709</v>
      </c>
      <c r="P10" s="4"/>
      <c r="Q10" s="354">
        <v>-6.3949136029984741237113822600</v>
      </c>
      <c r="R10" s="355">
        <v>-13.134411004306908783891118900</v>
      </c>
      <c r="S10" s="356">
        <v>3.2713390922312325800664011600</v>
      </c>
      <c r="T10" s="354">
        <v>-100</v>
      </c>
      <c r="U10" s="355">
        <v>13.459761613136779974706824260</v>
      </c>
      <c r="V10" s="356">
        <v>6.9827479561926349232274209400</v>
      </c>
      <c r="W10" s="354">
        <v>20.675105485232067510548523200</v>
      </c>
      <c r="X10" s="355">
        <v>-3.0643437024471105959160096500</v>
      </c>
      <c r="Y10" s="356">
        <v>16.869767228689647892512575210</v>
      </c>
      <c r="Z10" s="354">
        <v>-4.6757943683384006330214867700</v>
      </c>
      <c r="AA10" s="355">
        <v>-7.925861901759311712360355770</v>
      </c>
      <c r="AB10" s="356">
        <v>3.285734971082340424036131900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c r="AZ10" s="244"/>
      <c r="BA10" s="244"/>
    </row>
    <row r="11" ht="15.6" customHeight="1">
      <c r="A11" s="92"/>
      <c r="B11" s="344">
        <v>14</v>
      </c>
      <c r="C11" s="345" t="s">
        <v>47</v>
      </c>
      <c r="D11" s="370">
        <v>95.03921568627450980392156863</v>
      </c>
      <c r="E11" s="172">
        <v>143.06673277256972026542035851</v>
      </c>
      <c r="F11" s="371">
        <v>135.14886005737262699454224927</v>
      </c>
      <c r="G11" s="370">
        <v>0</v>
      </c>
      <c r="H11" s="172">
        <v>144.07507608901187620215467667</v>
      </c>
      <c r="I11" s="371">
        <v>111.51393974374015607006033857</v>
      </c>
      <c r="J11" s="370">
        <v>97.75</v>
      </c>
      <c r="K11" s="172">
        <v>122.75389412625592873913502871</v>
      </c>
      <c r="L11" s="371">
        <v>91.86610574622575933293356309</v>
      </c>
      <c r="M11" s="370">
        <v>95.23636363636363636363636364</v>
      </c>
      <c r="N11" s="172">
        <v>140.55796577946768060836501902</v>
      </c>
      <c r="O11" s="371">
        <v>132.78784336645236703682057276</v>
      </c>
      <c r="P11" s="4"/>
      <c r="Q11" s="327">
        <v>-14.449151182560952643866227990</v>
      </c>
      <c r="R11" s="171">
        <v>-0.6817199289512271885955996600</v>
      </c>
      <c r="S11" s="328">
        <v>6.5464480132500297487123675200</v>
      </c>
      <c r="T11" s="327">
        <v>0</v>
      </c>
      <c r="U11" s="171">
        <v>18.067702864904764209994590210</v>
      </c>
      <c r="V11" s="328">
        <v>24.512599078716399658302069660</v>
      </c>
      <c r="W11" s="327">
        <v>8.611111111111111111111111110</v>
      </c>
      <c r="X11" s="171">
        <v>2.2925701318782163716705864500</v>
      </c>
      <c r="Y11" s="328">
        <v>5.6828272497648295368560527400</v>
      </c>
      <c r="Z11" s="327">
        <v>-13.696776990908358656642578520</v>
      </c>
      <c r="AA11" s="171">
        <v>0.9956357925684357320870401700</v>
      </c>
      <c r="AB11" s="328">
        <v>6.250735632604293223041366200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244"/>
      <c r="BA11" s="244"/>
    </row>
    <row r="12" ht="15.6" customHeight="1">
      <c r="A12" s="92"/>
      <c r="B12" s="346">
        <v>15</v>
      </c>
      <c r="C12" s="347" t="s">
        <v>48</v>
      </c>
      <c r="D12" s="378">
        <v>102.57971014492753623188405797</v>
      </c>
      <c r="E12" s="173">
        <v>145.82718675838057597503264436</v>
      </c>
      <c r="F12" s="379">
        <v>148.63679366316092427646399948</v>
      </c>
      <c r="G12" s="378">
        <v>0</v>
      </c>
      <c r="H12" s="173">
        <v>130.33896996417560933689965948</v>
      </c>
      <c r="I12" s="379">
        <v>114.94553331411679945229788964</v>
      </c>
      <c r="J12" s="378">
        <v>102</v>
      </c>
      <c r="K12" s="173">
        <v>126.8475352007105935618080807</v>
      </c>
      <c r="L12" s="379">
        <v>95.236805507668694597991347</v>
      </c>
      <c r="M12" s="378">
        <v>102.55555555555555555555555556</v>
      </c>
      <c r="N12" s="173">
        <v>142.56042582417582417582417582</v>
      </c>
      <c r="O12" s="379">
        <v>144.03815995818086774699424987</v>
      </c>
      <c r="P12" s="4"/>
      <c r="Q12" s="359">
        <v>-6.5940850712611947378151696400</v>
      </c>
      <c r="R12" s="170">
        <v>-2.2176764767334119409855798400</v>
      </c>
      <c r="S12" s="360">
        <v>8.064711208370654974369850820</v>
      </c>
      <c r="T12" s="359">
        <v>0</v>
      </c>
      <c r="U12" s="170">
        <v>-6.0447342604552884398459366900</v>
      </c>
      <c r="V12" s="360">
        <v>0.3837578599418921380605574100</v>
      </c>
      <c r="W12" s="359">
        <v>54.545454545454545454545454550</v>
      </c>
      <c r="X12" s="170">
        <v>10.019783192820266113573415060</v>
      </c>
      <c r="Y12" s="360">
        <v>49.979048533372915170565924450</v>
      </c>
      <c r="Z12" s="359">
        <v>-5.3132406523167028311454830300</v>
      </c>
      <c r="AA12" s="170">
        <v>-1.4613428808995847373833432700</v>
      </c>
      <c r="AB12" s="360">
        <v>6.377506601972927148957718900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c r="AZ12" s="244"/>
      <c r="BA12" s="244"/>
    </row>
    <row r="13" ht="15.6" customHeight="1">
      <c r="A13" s="92"/>
      <c r="B13" s="344">
        <v>16</v>
      </c>
      <c r="C13" s="345" t="s">
        <v>50</v>
      </c>
      <c r="D13" s="370">
        <v>98.7012987012987012987012987</v>
      </c>
      <c r="E13" s="172">
        <v>140.41292557053393178035175232</v>
      </c>
      <c r="F13" s="371">
        <v>146.4039920943094245730102037</v>
      </c>
      <c r="G13" s="370">
        <v>0</v>
      </c>
      <c r="H13" s="172">
        <v>128.75708560357251133587645929</v>
      </c>
      <c r="I13" s="371">
        <v>108.01336513910449526833317335</v>
      </c>
      <c r="J13" s="370">
        <v>98.33333333333333333333333333</v>
      </c>
      <c r="K13" s="172">
        <v>124.13724023860942563888053436</v>
      </c>
      <c r="L13" s="371">
        <v>93.74777844032525623919832004</v>
      </c>
      <c r="M13" s="370">
        <v>98.687500000</v>
      </c>
      <c r="N13" s="172">
        <v>137.5721393841166936790923825</v>
      </c>
      <c r="O13" s="371">
        <v>142.08777969018932874354561102</v>
      </c>
      <c r="P13" s="4"/>
      <c r="Q13" s="327">
        <v>-7.3871393593599775833031942700</v>
      </c>
      <c r="R13" s="171">
        <v>-4.4059743492205057324648692200</v>
      </c>
      <c r="S13" s="328">
        <v>9.805743509591077071358598540</v>
      </c>
      <c r="T13" s="327">
        <v>0</v>
      </c>
      <c r="U13" s="171">
        <v>-24.397056008869243065835018360</v>
      </c>
      <c r="V13" s="328">
        <v>-11.890724315495811502312722370</v>
      </c>
      <c r="W13" s="327">
        <v>16.141732283418841837683693370</v>
      </c>
      <c r="X13" s="171">
        <v>3.8557238447955899058537387400</v>
      </c>
      <c r="Y13" s="328">
        <v>13.940969989558544512402118840</v>
      </c>
      <c r="Z13" s="327">
        <v>-6.3872940589303270506122954900</v>
      </c>
      <c r="AA13" s="171">
        <v>-5.0668391405997066112962160100</v>
      </c>
      <c r="AB13" s="328">
        <v>7.5620426415267272739598156200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c r="AZ13" s="244"/>
      <c r="BA13" s="244"/>
    </row>
    <row r="14" ht="15.6" customHeight="1">
      <c r="A14" s="92"/>
      <c r="B14" s="346">
        <v>17</v>
      </c>
      <c r="C14" s="347" t="s">
        <v>51</v>
      </c>
      <c r="D14" s="378">
        <v>90.82258064516129032258064516</v>
      </c>
      <c r="E14" s="173">
        <v>135.39496920505156545924209521</v>
      </c>
      <c r="F14" s="379">
        <v>130.63308482183104072864000905</v>
      </c>
      <c r="G14" s="378">
        <v>132</v>
      </c>
      <c r="H14" s="173">
        <v>134.16045018748865815575908441</v>
      </c>
      <c r="I14" s="379">
        <v>109.12588744951455314608547558</v>
      </c>
      <c r="J14" s="378">
        <v>98</v>
      </c>
      <c r="K14" s="173">
        <v>127.17528252188470497338276322</v>
      </c>
      <c r="L14" s="379">
        <v>94.5306014400088184256104004</v>
      </c>
      <c r="M14" s="378">
        <v>92.28787878787878787878787879</v>
      </c>
      <c r="N14" s="173">
        <v>134.3840504201680672268907563</v>
      </c>
      <c r="O14" s="379">
        <v>128.12130735386549340037712131</v>
      </c>
      <c r="P14" s="4"/>
      <c r="Q14" s="359">
        <v>-9.403909580886493443809830260</v>
      </c>
      <c r="R14" s="170">
        <v>-7.987538332718463024046296160</v>
      </c>
      <c r="S14" s="360">
        <v>4.1346719881650097772486190300</v>
      </c>
      <c r="T14" s="359">
        <v>0</v>
      </c>
      <c r="U14" s="170">
        <v>-16.679677710942042412918953120</v>
      </c>
      <c r="V14" s="360">
        <v>-3.4701158647720731427319922200</v>
      </c>
      <c r="W14" s="359">
        <v>-27.137546468401486988847583640</v>
      </c>
      <c r="X14" s="170">
        <v>6.5945757524217695118548529200</v>
      </c>
      <c r="Y14" s="360">
        <v>-28.142972574234914562923871630</v>
      </c>
      <c r="Z14" s="359">
        <v>-9.183350927102157174977485940</v>
      </c>
      <c r="AA14" s="170">
        <v>-8.386347834859406981721782110</v>
      </c>
      <c r="AB14" s="360">
        <v>3.0035083160088662407322263100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c r="AZ14" s="244"/>
      <c r="BA14" s="244"/>
    </row>
    <row r="15" ht="15.6" customHeight="1">
      <c r="A15" s="92"/>
      <c r="B15" s="344">
        <v>18</v>
      </c>
      <c r="C15" s="345" t="s">
        <v>52</v>
      </c>
      <c r="D15" s="370">
        <v>103.52127659574468085106382979</v>
      </c>
      <c r="E15" s="172">
        <v>129.04881279628071097958536497</v>
      </c>
      <c r="F15" s="371">
        <v>124.09837344665909771647557193</v>
      </c>
      <c r="G15" s="370">
        <v>135</v>
      </c>
      <c r="H15" s="172">
        <v>127.56576052311830401714011758</v>
      </c>
      <c r="I15" s="371">
        <v>110.75019018266051194639456424</v>
      </c>
      <c r="J15" s="370">
        <v>100.25</v>
      </c>
      <c r="K15" s="172">
        <v>116.4959460132484212979861674</v>
      </c>
      <c r="L15" s="371">
        <v>97.73256265051090096292190866</v>
      </c>
      <c r="M15" s="370">
        <v>104.020000000</v>
      </c>
      <c r="N15" s="172">
        <v>127.64540777917189460476787953</v>
      </c>
      <c r="O15" s="371">
        <v>122.66333137139493819894055327</v>
      </c>
      <c r="P15" s="4"/>
      <c r="Q15" s="327">
        <v>10.342445983815000433113807920</v>
      </c>
      <c r="R15" s="171">
        <v>-5.2141734268812760783728174300</v>
      </c>
      <c r="S15" s="328">
        <v>-0.1658600761073409005988844200</v>
      </c>
      <c r="T15" s="327">
        <v>0</v>
      </c>
      <c r="U15" s="171">
        <v>-12.179931022900731624659925520</v>
      </c>
      <c r="V15" s="328">
        <v>-15.896853254281192872049217320</v>
      </c>
      <c r="W15" s="327">
        <v>0</v>
      </c>
      <c r="X15" s="171">
        <v>-3.023959893114756252996710900</v>
      </c>
      <c r="Y15" s="328">
        <v>0</v>
      </c>
      <c r="Z15" s="327">
        <v>10.874031007730450769184548360</v>
      </c>
      <c r="AA15" s="171">
        <v>-6.4894131047748430901016124400</v>
      </c>
      <c r="AB15" s="328">
        <v>-2.3197940345329095904035783800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c r="AZ15" s="244"/>
      <c r="BA15" s="244"/>
    </row>
    <row r="16" ht="15.6" customHeight="1">
      <c r="A16" s="92"/>
      <c r="B16" s="346">
        <v>19</v>
      </c>
      <c r="C16" s="347" t="s">
        <v>53</v>
      </c>
      <c r="D16" s="378">
        <v>102.1595744680851063829787234</v>
      </c>
      <c r="E16" s="173">
        <v>128.55922841036640941130498509</v>
      </c>
      <c r="F16" s="379">
        <v>125.85110750848267623421368961</v>
      </c>
      <c r="G16" s="378">
        <v>135.5</v>
      </c>
      <c r="H16" s="173">
        <v>135.60255145476266045362340237</v>
      </c>
      <c r="I16" s="379">
        <v>114.81309114208316414318152539</v>
      </c>
      <c r="J16" s="378">
        <v>100.5</v>
      </c>
      <c r="K16" s="173">
        <v>137.8421561483773841604146899</v>
      </c>
      <c r="L16" s="379">
        <v>99.92774641683600913837271326</v>
      </c>
      <c r="M16" s="378">
        <v>102.80612244897959183673469388</v>
      </c>
      <c r="N16" s="173">
        <v>131.22871465295629820051413882</v>
      </c>
      <c r="O16" s="379">
        <v>124.85799880167765128819652487</v>
      </c>
      <c r="P16" s="4"/>
      <c r="Q16" s="359">
        <v>-58.536544861530149550764897160</v>
      </c>
      <c r="R16" s="170">
        <v>3.1792735902660779944708794900</v>
      </c>
      <c r="S16" s="360">
        <v>0.2633833796178306441886434500</v>
      </c>
      <c r="T16" s="359">
        <v>0</v>
      </c>
      <c r="U16" s="170">
        <v>-3.5353466469066875447509465400</v>
      </c>
      <c r="V16" s="360">
        <v>-9.919622327937803428474123590</v>
      </c>
      <c r="W16" s="359">
        <v>-48.195876288659793814432989690</v>
      </c>
      <c r="X16" s="170">
        <v>12.754643725284566912996231050</v>
      </c>
      <c r="Y16" s="360">
        <v>-46.269884333456925640958334050</v>
      </c>
      <c r="Z16" s="359">
        <v>-57.056757540108775339709818760</v>
      </c>
      <c r="AA16" s="170">
        <v>3.0902178738923472976988808900</v>
      </c>
      <c r="AB16" s="360">
        <v>-0.9340793259490143664755015400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c r="AZ16" s="244"/>
      <c r="BA16" s="244"/>
    </row>
    <row r="17" ht="15.6" customHeight="1">
      <c r="A17" s="92"/>
      <c r="B17" s="344">
        <v>20</v>
      </c>
      <c r="C17" s="345" t="s">
        <v>49</v>
      </c>
      <c r="D17" s="370">
        <v>97.33333333333333333333333333</v>
      </c>
      <c r="E17" s="172">
        <v>125.78284120078320422209912921</v>
      </c>
      <c r="F17" s="371">
        <v>118.67146078288174961274603469</v>
      </c>
      <c r="G17" s="370">
        <v>0</v>
      </c>
      <c r="H17" s="172">
        <v>131.04356392785571142284569138</v>
      </c>
      <c r="I17" s="371">
        <v>89.57288262002747471928530845</v>
      </c>
      <c r="J17" s="370">
        <v>100.5</v>
      </c>
      <c r="K17" s="172">
        <v>119.35596526682666109132805011</v>
      </c>
      <c r="L17" s="371">
        <v>96.41949536167514440328131304</v>
      </c>
      <c r="M17" s="370">
        <v>97.51428571428571428571428571</v>
      </c>
      <c r="N17" s="172">
        <v>126.00342685370741482965931865</v>
      </c>
      <c r="O17" s="371">
        <v>116.81423895253682487725040917</v>
      </c>
      <c r="P17" s="4"/>
      <c r="Q17" s="327">
        <v>-11.308893127065548021451620990</v>
      </c>
      <c r="R17" s="171">
        <v>0.2994127752835355238889719100</v>
      </c>
      <c r="S17" s="328">
        <v>1.7426722270191604185121844100</v>
      </c>
      <c r="T17" s="327">
        <v>-100</v>
      </c>
      <c r="U17" s="171">
        <v>-4.5347699080370286396207381600</v>
      </c>
      <c r="V17" s="328">
        <v>-18.505661979308377754202959740</v>
      </c>
      <c r="W17" s="327">
        <v>11.254612546166514617175707200</v>
      </c>
      <c r="X17" s="171">
        <v>-1.9322450285381159205764738600</v>
      </c>
      <c r="Y17" s="328">
        <v>6.6600708173435362471688694200</v>
      </c>
      <c r="Z17" s="327">
        <v>-9.963163736403693479919447280</v>
      </c>
      <c r="AA17" s="171">
        <v>-0.793920435954872013139470800</v>
      </c>
      <c r="AB17" s="328">
        <v>1.2796028832720032179236633900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row>
    <row r="18" ht="15.6" customHeight="1">
      <c r="A18" s="92"/>
      <c r="B18" s="346">
        <v>21</v>
      </c>
      <c r="C18" s="347" t="s">
        <v>47</v>
      </c>
      <c r="D18" s="378">
        <v>98</v>
      </c>
      <c r="E18" s="173">
        <v>144.66441298749156871183495769</v>
      </c>
      <c r="F18" s="379">
        <v>134.13790089627878995284618005</v>
      </c>
      <c r="G18" s="378">
        <v>120.83333333333333333333333333</v>
      </c>
      <c r="H18" s="173">
        <v>131.57878459733101475603821986</v>
      </c>
      <c r="I18" s="379">
        <v>112.92367949904069251803003916</v>
      </c>
      <c r="J18" s="378">
        <v>99.5</v>
      </c>
      <c r="K18" s="173">
        <v>144.8234477497828007714448533</v>
      </c>
      <c r="L18" s="379">
        <v>93.58191135553274913216734939</v>
      </c>
      <c r="M18" s="378">
        <v>100.71698113207547169811320755</v>
      </c>
      <c r="N18" s="173">
        <v>142.34976878612716763005780346</v>
      </c>
      <c r="O18" s="379">
        <v>131.93185789167152009318578917</v>
      </c>
      <c r="P18" s="4"/>
      <c r="Q18" s="359">
        <v>-19.415807560132512015682384170</v>
      </c>
      <c r="R18" s="170">
        <v>3.1019198270557277726112721600</v>
      </c>
      <c r="S18" s="360">
        <v>11.697468448277104659003828150</v>
      </c>
      <c r="T18" s="359">
        <v>9.872266724389705800673358760</v>
      </c>
      <c r="U18" s="170">
        <v>-4.5565193936216455112843173600</v>
      </c>
      <c r="V18" s="360">
        <v>3.8357267987607125148014036200</v>
      </c>
      <c r="W18" s="359">
        <v>7.7617328520244627194411640700</v>
      </c>
      <c r="X18" s="170">
        <v>17.656935367555858096827892170</v>
      </c>
      <c r="Y18" s="360">
        <v>12.563691644063895947134748370</v>
      </c>
      <c r="Z18" s="359">
        <v>-13.521144688814250471452773120</v>
      </c>
      <c r="AA18" s="170">
        <v>3.0191534905045082923927193200</v>
      </c>
      <c r="AB18" s="360">
        <v>11.765533138174740305030356850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c r="AZ18" s="244"/>
      <c r="BA18" s="244"/>
    </row>
    <row r="19" ht="15.6" customHeight="1">
      <c r="A19" s="92"/>
      <c r="B19" s="344">
        <v>22</v>
      </c>
      <c r="C19" s="345" t="s">
        <v>48</v>
      </c>
      <c r="D19" s="370">
        <v>96.56060606060606060606060606</v>
      </c>
      <c r="E19" s="172">
        <v>148.48734396040838234432193896</v>
      </c>
      <c r="F19" s="371">
        <v>146.50248963927455982798019702</v>
      </c>
      <c r="G19" s="370">
        <v>117.98412698412698412698412698</v>
      </c>
      <c r="H19" s="172">
        <v>122.30540764722500550345623957</v>
      </c>
      <c r="I19" s="371">
        <v>116.89140770199808012389722223</v>
      </c>
      <c r="J19" s="370">
        <v>97</v>
      </c>
      <c r="K19" s="172">
        <v>126.27902886985603666238909083</v>
      </c>
      <c r="L19" s="371">
        <v>92.0642496828113692209363461</v>
      </c>
      <c r="M19" s="370">
        <v>106.87022900763358778625954198</v>
      </c>
      <c r="N19" s="172">
        <v>144.27495619524405506883604507</v>
      </c>
      <c r="O19" s="371">
        <v>141.01527119536598209583991575</v>
      </c>
      <c r="P19" s="4"/>
      <c r="Q19" s="327">
        <v>-26.139737811896902538910892200</v>
      </c>
      <c r="R19" s="171">
        <v>3.4783227352065459132013809700</v>
      </c>
      <c r="S19" s="328">
        <v>18.144915304277199197629491540</v>
      </c>
      <c r="T19" s="327">
        <v>2.3820004012266027888711569200</v>
      </c>
      <c r="U19" s="171">
        <v>-6.1200781144118672302245968400</v>
      </c>
      <c r="V19" s="328">
        <v>-34.517560152447648717249938490</v>
      </c>
      <c r="W19" s="327">
        <v>0</v>
      </c>
      <c r="X19" s="171">
        <v>5.069663689072893920265267100</v>
      </c>
      <c r="Y19" s="328">
        <v>-2.101889997823929680432063700</v>
      </c>
      <c r="Z19" s="327">
        <v>-14.074187732555909317580267750</v>
      </c>
      <c r="AA19" s="171">
        <v>2.9195646711336453724167160800</v>
      </c>
      <c r="AB19" s="328">
        <v>5.6807333324799870501474913900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c r="AZ19" s="244"/>
      <c r="BA19" s="244"/>
    </row>
    <row r="20" ht="15.6" customHeight="1">
      <c r="A20" s="92"/>
      <c r="B20" s="346">
        <v>23</v>
      </c>
      <c r="C20" s="347" t="s">
        <v>50</v>
      </c>
      <c r="D20" s="378">
        <v>98.15189873417721518987341772</v>
      </c>
      <c r="E20" s="173">
        <v>145.84049499338078550907544094</v>
      </c>
      <c r="F20" s="379">
        <v>139.82870736349696718264762343</v>
      </c>
      <c r="G20" s="378">
        <v>132.03030303030303030303030303</v>
      </c>
      <c r="H20" s="173">
        <v>128.80672868501961005433286715</v>
      </c>
      <c r="I20" s="379">
        <v>124.69338989019162141878118325</v>
      </c>
      <c r="J20" s="378">
        <v>97.5</v>
      </c>
      <c r="K20" s="173">
        <v>124.10925271604305982265919108</v>
      </c>
      <c r="L20" s="379">
        <v>94.21709194649825977925825375</v>
      </c>
      <c r="M20" s="378">
        <v>107.7672413793103448275862069</v>
      </c>
      <c r="N20" s="173">
        <v>141.87512786002691790040376851</v>
      </c>
      <c r="O20" s="379">
        <v>137.0774263904034896401308615</v>
      </c>
      <c r="P20" s="4"/>
      <c r="Q20" s="359">
        <v>-28.526136400150360638439393660</v>
      </c>
      <c r="R20" s="170">
        <v>2.2761960601946718262858284500</v>
      </c>
      <c r="S20" s="360">
        <v>3.9724330617062456339503372800</v>
      </c>
      <c r="T20" s="359">
        <v>12.600693928981249066216964680</v>
      </c>
      <c r="U20" s="170">
        <v>-0.0001364970154891011643945900</v>
      </c>
      <c r="V20" s="360">
        <v>12.297317086744561500256601870</v>
      </c>
      <c r="W20" s="359">
        <v>-1.1824324324658167457998426300</v>
      </c>
      <c r="X20" s="170">
        <v>2.7851213870749485736787533200</v>
      </c>
      <c r="Y20" s="360">
        <v>0.0540352178581247847062017100</v>
      </c>
      <c r="Z20" s="359">
        <v>-16.805671637712378766696774500</v>
      </c>
      <c r="AA20" s="170">
        <v>1.970049640923929499300135400</v>
      </c>
      <c r="AB20" s="360">
        <v>4.3430334250419316578235819700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c r="AZ20" s="244"/>
      <c r="BA20" s="244"/>
    </row>
    <row r="21" ht="15.6" customHeight="1">
      <c r="A21" s="92"/>
      <c r="B21" s="344">
        <v>24</v>
      </c>
      <c r="C21" s="345" t="s">
        <v>51</v>
      </c>
      <c r="D21" s="370">
        <v>73.318181818181818181818181818</v>
      </c>
      <c r="E21" s="172">
        <v>140.04105519953109184708075606</v>
      </c>
      <c r="F21" s="371">
        <v>127.02158127253297993779692298</v>
      </c>
      <c r="G21" s="370">
        <v>0</v>
      </c>
      <c r="H21" s="172">
        <v>138.73839271701446900879579524</v>
      </c>
      <c r="I21" s="371">
        <v>113.57561514659705106310370228</v>
      </c>
      <c r="J21" s="370">
        <v>89</v>
      </c>
      <c r="K21" s="172">
        <v>125.80548199750378004871405541</v>
      </c>
      <c r="L21" s="371">
        <v>83.87982491347132420989557534</v>
      </c>
      <c r="M21" s="370">
        <v>74.000000000</v>
      </c>
      <c r="N21" s="172">
        <v>138.68687603305785123966942148</v>
      </c>
      <c r="O21" s="371">
        <v>124.77052359405300581771170006</v>
      </c>
      <c r="P21" s="4"/>
      <c r="Q21" s="327">
        <v>-37.393617524847384289598187800</v>
      </c>
      <c r="R21" s="171">
        <v>4.1420276648886879756658006500</v>
      </c>
      <c r="S21" s="328">
        <v>3.9714703077572103387625469600</v>
      </c>
      <c r="T21" s="327">
        <v>-100</v>
      </c>
      <c r="U21" s="171">
        <v>-8.909909056592844409588959100</v>
      </c>
      <c r="V21" s="328">
        <v>8.055961991035078219538330190</v>
      </c>
      <c r="W21" s="327">
        <v>-0.3731343283210347516150451600</v>
      </c>
      <c r="X21" s="171">
        <v>-1.0725805848991964127177316800</v>
      </c>
      <c r="Y21" s="328">
        <v>-1.4275952613976144396806799600</v>
      </c>
      <c r="Z21" s="327">
        <v>-34.485883583123159904173906220</v>
      </c>
      <c r="AA21" s="171">
        <v>1.9587999429732879452182645700</v>
      </c>
      <c r="AB21" s="328">
        <v>4.1606344571587047822751936700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c r="AZ21" s="244"/>
      <c r="BA21" s="244"/>
    </row>
    <row r="22" ht="15.6" customHeight="1">
      <c r="A22" s="92"/>
      <c r="B22" s="346">
        <v>25</v>
      </c>
      <c r="C22" s="347" t="s">
        <v>52</v>
      </c>
      <c r="D22" s="378">
        <v>38.461538461538461538461538462</v>
      </c>
      <c r="E22" s="173">
        <v>145.74495534176312246703295575</v>
      </c>
      <c r="F22" s="379">
        <v>128.53531619726868981407115851</v>
      </c>
      <c r="G22" s="378">
        <v>0</v>
      </c>
      <c r="H22" s="173">
        <v>123.88012945376149347931099914</v>
      </c>
      <c r="I22" s="379">
        <v>130.10146366795449333469978042</v>
      </c>
      <c r="J22" s="378">
        <v>57.5</v>
      </c>
      <c r="K22" s="173">
        <v>125.40600685997970018673676571</v>
      </c>
      <c r="L22" s="379">
        <v>55.201067646872288545331136505</v>
      </c>
      <c r="M22" s="378">
        <v>41.000000000</v>
      </c>
      <c r="N22" s="173">
        <v>135.99947904869762174405436014</v>
      </c>
      <c r="O22" s="379">
        <v>128.65099457504520795660036166</v>
      </c>
      <c r="P22" s="4"/>
      <c r="Q22" s="359">
        <v>-62.178517397879136045188946980</v>
      </c>
      <c r="R22" s="170">
        <v>10.623339250292175829248093860</v>
      </c>
      <c r="S22" s="360">
        <v>2.8381623700024242073078188900</v>
      </c>
      <c r="T22" s="359">
        <v>-100</v>
      </c>
      <c r="U22" s="170">
        <v>-18.213370488569678747006140800</v>
      </c>
      <c r="V22" s="360">
        <v>1.9144846312266538654427391800</v>
      </c>
      <c r="W22" s="359">
        <v>-33.908045977011494252873563220</v>
      </c>
      <c r="X22" s="170">
        <v>4.3366834651233078159501802900</v>
      </c>
      <c r="Y22" s="360">
        <v>-36.017459822871196680418012380</v>
      </c>
      <c r="Z22" s="359">
        <v>-59.469065866938646797840683510</v>
      </c>
      <c r="AA22" s="170">
        <v>0.4471282012264520084766517300</v>
      </c>
      <c r="AB22" s="360">
        <v>2.6651561201604708427938888800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c r="AZ22" s="244"/>
      <c r="BA22" s="244"/>
    </row>
    <row r="23" ht="15.6" customHeight="1">
      <c r="A23" s="92"/>
      <c r="B23" s="344">
        <v>26</v>
      </c>
      <c r="C23" s="345" t="s">
        <v>53</v>
      </c>
      <c r="D23" s="370">
        <v>91.66666666666666666666666667</v>
      </c>
      <c r="E23" s="172">
        <v>142.21815375814762322193176372</v>
      </c>
      <c r="F23" s="371">
        <v>124.60079228482341373565095575</v>
      </c>
      <c r="G23" s="370">
        <v>0</v>
      </c>
      <c r="H23" s="172">
        <v>125.53308315691799279955340167</v>
      </c>
      <c r="I23" s="371">
        <v>128.22304196811216612893645416</v>
      </c>
      <c r="J23" s="370">
        <v>93.5</v>
      </c>
      <c r="K23" s="172">
        <v>140.13874774851775820653576638</v>
      </c>
      <c r="L23" s="371">
        <v>88.6509330292629186515171686</v>
      </c>
      <c r="M23" s="370">
        <v>92.125000000</v>
      </c>
      <c r="N23" s="172">
        <v>135.56263282172373081463990555</v>
      </c>
      <c r="O23" s="371">
        <v>125.13904761904761904761904762</v>
      </c>
      <c r="P23" s="4"/>
      <c r="Q23" s="327">
        <v>-5.3659959172151049651893389200</v>
      </c>
      <c r="R23" s="171">
        <v>7.8606652426425465203659624900</v>
      </c>
      <c r="S23" s="328">
        <v>4.0834847143708637185935075300</v>
      </c>
      <c r="T23" s="327">
        <v>0</v>
      </c>
      <c r="U23" s="171">
        <v>-16.900236543703206879892901920</v>
      </c>
      <c r="V23" s="328">
        <v>0.0334359598162854733717541100</v>
      </c>
      <c r="W23" s="327">
        <v>4.6641791045166657384718345800</v>
      </c>
      <c r="X23" s="171">
        <v>15.459248637398466509491675030</v>
      </c>
      <c r="Y23" s="328">
        <v>-0.6308620652847295843493172400</v>
      </c>
      <c r="Z23" s="327">
        <v>-4.533678756476683937823834200</v>
      </c>
      <c r="AA23" s="171">
        <v>-0.3637542576289898437246428100</v>
      </c>
      <c r="AB23" s="328">
        <v>3.3439829253319411091104816800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c r="AZ23" s="244"/>
      <c r="BA23" s="244"/>
    </row>
    <row r="24" ht="15.6" customHeight="1">
      <c r="A24" s="92"/>
      <c r="B24" s="346">
        <v>27</v>
      </c>
      <c r="C24" s="347" t="s">
        <v>49</v>
      </c>
      <c r="D24" s="378">
        <v>74.9</v>
      </c>
      <c r="E24" s="173">
        <v>135.11381742681457340459590496</v>
      </c>
      <c r="F24" s="379">
        <v>114.73826511203963764269630517</v>
      </c>
      <c r="G24" s="378">
        <v>0</v>
      </c>
      <c r="H24" s="173">
        <v>146.68571074183218824187545412</v>
      </c>
      <c r="I24" s="379">
        <v>127.58308559526588356549082131</v>
      </c>
      <c r="J24" s="378">
        <v>73.333333333333333333333333333</v>
      </c>
      <c r="K24" s="173">
        <v>113.06785010305582841801059339</v>
      </c>
      <c r="L24" s="379">
        <v>68.11655715081691341582400895</v>
      </c>
      <c r="M24" s="378">
        <v>74.538461538461538461538461538</v>
      </c>
      <c r="N24" s="173">
        <v>135.10125260960334029227557411</v>
      </c>
      <c r="O24" s="379">
        <v>115.69163763066202090592334495</v>
      </c>
      <c r="P24" s="4"/>
      <c r="Q24" s="359">
        <v>-27.960978290719417691203825070</v>
      </c>
      <c r="R24" s="170">
        <v>1.3514425828196955281660377900</v>
      </c>
      <c r="S24" s="360">
        <v>-2.6660780109251188469580972800</v>
      </c>
      <c r="T24" s="359">
        <v>0</v>
      </c>
      <c r="U24" s="170">
        <v>5.9780809455573061089477351800</v>
      </c>
      <c r="V24" s="360">
        <v>-11.100944264472687351331480560</v>
      </c>
      <c r="W24" s="359">
        <v>-20.289855072463768115942028990</v>
      </c>
      <c r="X24" s="170">
        <v>-4.4652651015233294938473757700</v>
      </c>
      <c r="Y24" s="360">
        <v>-17.025437463719756634668996420</v>
      </c>
      <c r="Z24" s="359">
        <v>-27.859715487216160459389533570</v>
      </c>
      <c r="AA24" s="170">
        <v>2.1384482401878266581813475100</v>
      </c>
      <c r="AB24" s="360">
        <v>-2.0312030784259781572747299800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c r="AZ24" s="244"/>
      <c r="BA24" s="244"/>
    </row>
    <row r="25" ht="15.6" customHeight="1">
      <c r="A25" s="92"/>
      <c r="B25" s="344">
        <v>28</v>
      </c>
      <c r="C25" s="345" t="s">
        <v>47</v>
      </c>
      <c r="D25" s="370">
        <v>97.82926829268292682926829268</v>
      </c>
      <c r="E25" s="172">
        <v>142.32019833538744531740756629</v>
      </c>
      <c r="F25" s="371">
        <v>131.58483676321812008808986979</v>
      </c>
      <c r="G25" s="370">
        <v>127.32075471698113207547169811</v>
      </c>
      <c r="H25" s="172">
        <v>133.65011025698583553673948662</v>
      </c>
      <c r="I25" s="371">
        <v>126.53076161359002402189007616</v>
      </c>
      <c r="J25" s="370">
        <v>98.33333333333333333333333333</v>
      </c>
      <c r="K25" s="172">
        <v>125.97558808865105647049038026</v>
      </c>
      <c r="L25" s="371">
        <v>92.43939894998487636863008426</v>
      </c>
      <c r="M25" s="370">
        <v>113.95876288659793814432989691</v>
      </c>
      <c r="N25" s="172">
        <v>138.58989431968295904887714663</v>
      </c>
      <c r="O25" s="371">
        <v>130.7068062827225130890052356</v>
      </c>
      <c r="P25" s="4"/>
      <c r="Q25" s="327">
        <v>-13.800375906962991688524329490</v>
      </c>
      <c r="R25" s="171">
        <v>-3.8339566139869515186521637600</v>
      </c>
      <c r="S25" s="328">
        <v>4.6296131935069211267268887600</v>
      </c>
      <c r="T25" s="327">
        <v>0</v>
      </c>
      <c r="U25" s="171">
        <v>-2.9648309929916973865380833700</v>
      </c>
      <c r="V25" s="328">
        <v>-10.266665937830321841626319990</v>
      </c>
      <c r="W25" s="327">
        <v>5.7347670250896057347670250900</v>
      </c>
      <c r="X25" s="171">
        <v>4.8326809190744282787516830300</v>
      </c>
      <c r="Y25" s="328">
        <v>7.4983232779155231999746724800</v>
      </c>
      <c r="Z25" s="327">
        <v>1.2966781214203894616265750300</v>
      </c>
      <c r="AA25" s="171">
        <v>-3.694585736324562688506220300</v>
      </c>
      <c r="AB25" s="328">
        <v>3.7542046037387014443207852600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row>
    <row r="26" ht="15.6" customHeight="1">
      <c r="A26" s="92"/>
      <c r="B26" s="346">
        <v>29</v>
      </c>
      <c r="C26" s="347" t="s">
        <v>48</v>
      </c>
      <c r="D26" s="378">
        <v>101.1935483870967741935483871</v>
      </c>
      <c r="E26" s="173">
        <v>142.23982789798621514683356534</v>
      </c>
      <c r="F26" s="379">
        <v>138.33668818592747727315765703</v>
      </c>
      <c r="G26" s="378">
        <v>122.45283018867924528301886792</v>
      </c>
      <c r="H26" s="173">
        <v>132.56379187687879170312264142</v>
      </c>
      <c r="I26" s="379">
        <v>123.44780333849296998912898014</v>
      </c>
      <c r="J26" s="378">
        <v>94.33333333333333333333333333</v>
      </c>
      <c r="K26" s="173">
        <v>125.02564262558359652889855514</v>
      </c>
      <c r="L26" s="379">
        <v>90.12017187999505216261221612</v>
      </c>
      <c r="M26" s="378">
        <v>110.56779661016949152542372881</v>
      </c>
      <c r="N26" s="173">
        <v>138.75909200968523002421307506</v>
      </c>
      <c r="O26" s="379">
        <v>136.45771958537915984724495363</v>
      </c>
      <c r="P26" s="4"/>
      <c r="Q26" s="359">
        <v>2.1985003067457074837025469100</v>
      </c>
      <c r="R26" s="170">
        <v>-4.4653611089088393237818493100</v>
      </c>
      <c r="S26" s="360">
        <v>6.9045390502919199900598038900</v>
      </c>
      <c r="T26" s="359">
        <v>0</v>
      </c>
      <c r="U26" s="170">
        <v>-0.4696862068982973592672760400</v>
      </c>
      <c r="V26" s="360">
        <v>-18.032578226901787661945450720</v>
      </c>
      <c r="W26" s="359">
        <v>5.9925093632958801498127340800</v>
      </c>
      <c r="X26" s="170">
        <v>5.512835527735124395096674300</v>
      </c>
      <c r="Y26" s="360">
        <v>6.4460654115394538314144449800</v>
      </c>
      <c r="Z26" s="359">
        <v>12.031433074526628725447330170</v>
      </c>
      <c r="AA26" s="170">
        <v>-2.2634711676152279196450200500</v>
      </c>
      <c r="AB26" s="360">
        <v>4.8695671239429500243472982100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c r="AZ26" s="244"/>
      <c r="BA26" s="244"/>
    </row>
    <row r="27" ht="15.6" customHeight="1">
      <c r="A27" s="92"/>
      <c r="B27" s="344">
        <v>30</v>
      </c>
      <c r="C27" s="345" t="s">
        <v>50</v>
      </c>
      <c r="D27" s="370">
        <v>99.13698630136986301369863014</v>
      </c>
      <c r="E27" s="172">
        <v>141.24171859182268820218410372</v>
      </c>
      <c r="F27" s="371">
        <v>131.83461474787789975082344972</v>
      </c>
      <c r="G27" s="370">
        <v>126.09433962264150943396226415</v>
      </c>
      <c r="H27" s="172">
        <v>135.11941721988186111399624536</v>
      </c>
      <c r="I27" s="371">
        <v>121.76060520503189273885683465</v>
      </c>
      <c r="J27" s="370">
        <v>97.33333333333333333333333333</v>
      </c>
      <c r="K27" s="172">
        <v>126.32325377300003674541177001</v>
      </c>
      <c r="L27" s="371">
        <v>92.40012141840168677291471672</v>
      </c>
      <c r="M27" s="370">
        <v>110.16279069767441860465116279</v>
      </c>
      <c r="N27" s="172">
        <v>138.27795454545454545454545454</v>
      </c>
      <c r="O27" s="371">
        <v>130.67163289630512514898688915</v>
      </c>
      <c r="P27" s="4"/>
      <c r="Q27" s="327">
        <v>6.1139805205992646654521061200</v>
      </c>
      <c r="R27" s="171">
        <v>-7.2929392023080921753827693400</v>
      </c>
      <c r="S27" s="328">
        <v>-1.2652006351274002829675572600</v>
      </c>
      <c r="T27" s="327">
        <v>0</v>
      </c>
      <c r="U27" s="171">
        <v>-4.2775365568952510014816266400</v>
      </c>
      <c r="V27" s="328">
        <v>-7.0796958323428296040599802400</v>
      </c>
      <c r="W27" s="327">
        <v>6.9597069597069597069597069600</v>
      </c>
      <c r="X27" s="171">
        <v>6.8589118216963385154638350100</v>
      </c>
      <c r="Y27" s="328">
        <v>7.7084496018374052801141637500</v>
      </c>
      <c r="Z27" s="327">
        <v>18.061679237139734579936724530</v>
      </c>
      <c r="AA27" s="171">
        <v>-5.6622336146502858098969038500</v>
      </c>
      <c r="AB27" s="328">
        <v>-2.0238791563822837963943052900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c r="AZ27" s="244"/>
      <c r="BA27" s="244"/>
    </row>
    <row r="28" ht="15.6" customHeight="1">
      <c r="A28" s="92"/>
      <c r="B28" s="346">
        <v>31</v>
      </c>
      <c r="C28" s="347" t="s">
        <v>51</v>
      </c>
      <c r="D28" s="378">
        <v>81</v>
      </c>
      <c r="E28" s="173">
        <v>131.80127404709098288796201058</v>
      </c>
      <c r="F28" s="379">
        <v>119.85396494889236099501965163</v>
      </c>
      <c r="G28" s="378">
        <v>0</v>
      </c>
      <c r="H28" s="173">
        <v>128.68653468797792320448285412</v>
      </c>
      <c r="I28" s="379">
        <v>223.88696621649723676836748301</v>
      </c>
      <c r="J28" s="378">
        <v>80</v>
      </c>
      <c r="K28" s="173">
        <v>125.17871721762694994115874142</v>
      </c>
      <c r="L28" s="379">
        <v>77.116225008393243728220979635</v>
      </c>
      <c r="M28" s="378">
        <v>80.95555555555555555555555556</v>
      </c>
      <c r="N28" s="173">
        <v>130.68808467741935483870967741</v>
      </c>
      <c r="O28" s="379">
        <v>123.90666666666666666666666667</v>
      </c>
      <c r="P28" s="4"/>
      <c r="Q28" s="359">
        <v>-9.673236514572014056877437440</v>
      </c>
      <c r="R28" s="170">
        <v>-6.697819293544865663877451900</v>
      </c>
      <c r="S28" s="360">
        <v>-1.0629942600362074847873560700</v>
      </c>
      <c r="T28" s="359">
        <v>0</v>
      </c>
      <c r="U28" s="170">
        <v>-11.117369529382698675169891860</v>
      </c>
      <c r="V28" s="360">
        <v>68.528298700230800831269922930</v>
      </c>
      <c r="W28" s="359">
        <v>-14.893617021276595744680851060</v>
      </c>
      <c r="X28" s="170">
        <v>3.9044765238424062263978792900</v>
      </c>
      <c r="Y28" s="360">
        <v>-14.162564588468448313929490300</v>
      </c>
      <c r="Z28" s="359">
        <v>-10.005907308921810709201772590</v>
      </c>
      <c r="AA28" s="170">
        <v>-6.4114117791375752980681879900</v>
      </c>
      <c r="AB28" s="360">
        <v>2.2658432507352095166631475100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c r="AZ28" s="244"/>
      <c r="BA28" s="244"/>
    </row>
    <row r="29" ht="15.6" customHeight="1">
      <c r="A29" s="92" t="s">
        <v>145</v>
      </c>
      <c r="B29" s="666">
        <v>1</v>
      </c>
      <c r="C29" s="677" t="s">
        <v>52</v>
      </c>
      <c r="D29" s="678">
        <v>94.14492753623188405797101449</v>
      </c>
      <c r="E29" s="679">
        <v>128.512697034884118576788123</v>
      </c>
      <c r="F29" s="680">
        <v>121.091721143067714377750999</v>
      </c>
      <c r="G29" s="678">
        <v>0</v>
      </c>
      <c r="H29" s="679">
        <v>145.60256022690137392580050713</v>
      </c>
      <c r="I29" s="680">
        <v>138.45900565825666774473481125</v>
      </c>
      <c r="J29" s="678">
        <v>99</v>
      </c>
      <c r="K29" s="679">
        <v>128.32073782808308860673511742</v>
      </c>
      <c r="L29" s="680">
        <v>99.52303690195237073589358506</v>
      </c>
      <c r="M29" s="678">
        <v>94.41095890410958904109589041</v>
      </c>
      <c r="N29" s="679">
        <v>131.98644793152639087018544936</v>
      </c>
      <c r="O29" s="680">
        <v>122.5</v>
      </c>
      <c r="P29" s="4"/>
      <c r="Q29" s="668">
        <v>-16.961475160986210312704728120</v>
      </c>
      <c r="R29" s="669">
        <v>2.5836519210334034757756463300</v>
      </c>
      <c r="S29" s="670">
        <v>4.1468712475407202280539621800</v>
      </c>
      <c r="T29" s="668">
        <v>-100</v>
      </c>
      <c r="U29" s="669">
        <v>3.7503344378498994519222087800</v>
      </c>
      <c r="V29" s="670">
        <v>2.179567715494968602291331500</v>
      </c>
      <c r="W29" s="668">
        <v>0</v>
      </c>
      <c r="X29" s="669">
        <v>8.038421566663586224881146550</v>
      </c>
      <c r="Y29" s="670">
        <v>0</v>
      </c>
      <c r="Z29" s="668">
        <v>-16.706211985923904718153240720</v>
      </c>
      <c r="AA29" s="669">
        <v>2.5505032815585220878946131900</v>
      </c>
      <c r="AB29" s="670">
        <v>4.1092461635355487468672482600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c r="AZ29" s="244"/>
      <c r="BA29" s="244"/>
    </row>
    <row r="30" ht="15.6" customHeight="1">
      <c r="A30" s="92"/>
      <c r="B30" s="346">
        <v>2</v>
      </c>
      <c r="C30" s="347" t="s">
        <v>53</v>
      </c>
      <c r="D30" s="378">
        <v>94.9186046511627906976744186</v>
      </c>
      <c r="E30" s="173">
        <v>132.71791538361232138650748671</v>
      </c>
      <c r="F30" s="379">
        <v>116.51027621929018773983291949</v>
      </c>
      <c r="G30" s="378">
        <v>0</v>
      </c>
      <c r="H30" s="173">
        <v>161.8612371107326449833443612</v>
      </c>
      <c r="I30" s="379">
        <v>136.96851794969894185088489039</v>
      </c>
      <c r="J30" s="378">
        <v>98.5</v>
      </c>
      <c r="K30" s="173">
        <v>140.72326575239679892185087289</v>
      </c>
      <c r="L30" s="379">
        <v>97.08536944365707571954266967</v>
      </c>
      <c r="M30" s="378">
        <v>95.000000000</v>
      </c>
      <c r="N30" s="173">
        <v>142.08141579731743666169895677</v>
      </c>
      <c r="O30" s="379">
        <v>117.19050673508659397049390635</v>
      </c>
      <c r="P30" s="4"/>
      <c r="Q30" s="359">
        <v>-6.323625531979722466472785700</v>
      </c>
      <c r="R30" s="170">
        <v>8.472594527414784451367539890</v>
      </c>
      <c r="S30" s="360">
        <v>0.1783986477480099417986660300</v>
      </c>
      <c r="T30" s="359">
        <v>-100</v>
      </c>
      <c r="U30" s="170">
        <v>13.312416311114515255177669160</v>
      </c>
      <c r="V30" s="360">
        <v>-0.9662667997859881378418831200</v>
      </c>
      <c r="W30" s="359">
        <v>7.0652173913043478260869565200</v>
      </c>
      <c r="X30" s="170">
        <v>16.644998966611525554691649950</v>
      </c>
      <c r="Y30" s="360">
        <v>5.7567451237311973746468303400</v>
      </c>
      <c r="Z30" s="359">
        <v>-6.1148857319332921556516368100</v>
      </c>
      <c r="AA30" s="170">
        <v>13.470329960535252532020944530</v>
      </c>
      <c r="AB30" s="360">
        <v>-0.3635908778373516830168460100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c r="AZ30" s="244"/>
      <c r="BA30" s="244"/>
    </row>
    <row r="31" ht="15.6" customHeight="1">
      <c r="A31" s="92"/>
      <c r="B31" s="344">
        <v>3</v>
      </c>
      <c r="C31" s="345" t="s">
        <v>49</v>
      </c>
      <c r="D31" s="370">
        <v>86.73076923076923076923076923</v>
      </c>
      <c r="E31" s="172">
        <v>126.90577941162253774338460997</v>
      </c>
      <c r="F31" s="371">
        <v>111.09385990456102199789800003</v>
      </c>
      <c r="G31" s="370">
        <v>0</v>
      </c>
      <c r="H31" s="172">
        <v>176.18964329844471387408889651</v>
      </c>
      <c r="I31" s="371">
        <v>123.65021119525089935699172351</v>
      </c>
      <c r="J31" s="370">
        <v>98</v>
      </c>
      <c r="K31" s="172">
        <v>118.84921833519364730198255001</v>
      </c>
      <c r="L31" s="371">
        <v>93.11091644340517778144492023</v>
      </c>
      <c r="M31" s="370">
        <v>87.53571428571428571428571429</v>
      </c>
      <c r="N31" s="172">
        <v>137.2228985507246376811594203</v>
      </c>
      <c r="O31" s="371">
        <v>111.38334858188472095150960659</v>
      </c>
      <c r="P31" s="4"/>
      <c r="Q31" s="327">
        <v>-12.916188289327344074949331990</v>
      </c>
      <c r="R31" s="171">
        <v>-1.2370504094756422115974933600</v>
      </c>
      <c r="S31" s="328">
        <v>-0.4045342579558274922877521600</v>
      </c>
      <c r="T31" s="327">
        <v>0</v>
      </c>
      <c r="U31" s="171">
        <v>20.871490561264643305848268710</v>
      </c>
      <c r="V31" s="328">
        <v>0</v>
      </c>
      <c r="W31" s="327">
        <v>0</v>
      </c>
      <c r="X31" s="171">
        <v>-2.4682422575113335516093913100</v>
      </c>
      <c r="Y31" s="328">
        <v>0</v>
      </c>
      <c r="Z31" s="327">
        <v>-12.107966660210236435226815490</v>
      </c>
      <c r="AA31" s="171">
        <v>4.4233192286929163051509994400</v>
      </c>
      <c r="AB31" s="328">
        <v>-0.1450081268998803181343211700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c r="AZ31" s="244"/>
      <c r="BA31" s="244"/>
    </row>
    <row r="32" ht="15.6" customHeight="1">
      <c r="A32" s="92"/>
      <c r="B32" s="346">
        <v>4</v>
      </c>
      <c r="C32" s="347" t="s">
        <v>47</v>
      </c>
      <c r="D32" s="378">
        <v>100.06451612903225806451612903</v>
      </c>
      <c r="E32" s="173">
        <v>142.20911809166951541050168139</v>
      </c>
      <c r="F32" s="379">
        <v>125.47771563836542488209959064</v>
      </c>
      <c r="G32" s="378">
        <v>0</v>
      </c>
      <c r="H32" s="173">
        <v>179.6221182981360576038140516</v>
      </c>
      <c r="I32" s="379">
        <v>144.83753715694860802796102882</v>
      </c>
      <c r="J32" s="378">
        <v>107.75</v>
      </c>
      <c r="K32" s="173">
        <v>125.49628586629424640878658855</v>
      </c>
      <c r="L32" s="379">
        <v>101.87272762444674414937814835</v>
      </c>
      <c r="M32" s="378">
        <v>100.94285714285714285714285714</v>
      </c>
      <c r="N32" s="173">
        <v>147.99785578747628083491461102</v>
      </c>
      <c r="O32" s="379">
        <v>126.96412556053811659192825112</v>
      </c>
      <c r="P32" s="4"/>
      <c r="Q32" s="359">
        <v>9.402829036019742853975303940</v>
      </c>
      <c r="R32" s="170">
        <v>1.067340025161557895609705400</v>
      </c>
      <c r="S32" s="360">
        <v>-1.272680096985496785879763400</v>
      </c>
      <c r="T32" s="359">
        <v>0</v>
      </c>
      <c r="U32" s="170">
        <v>22.527018456356600878059343930</v>
      </c>
      <c r="V32" s="360">
        <v>9.970218154869083151752554650</v>
      </c>
      <c r="W32" s="359">
        <v>34.687500</v>
      </c>
      <c r="X32" s="170">
        <v>19.900808366374853405882543200</v>
      </c>
      <c r="Y32" s="360">
        <v>37.435770256546912800859683430</v>
      </c>
      <c r="Z32" s="359">
        <v>11.718263885319150329319219470</v>
      </c>
      <c r="AA32" s="170">
        <v>7.7083875794564325015156966700</v>
      </c>
      <c r="AB32" s="360">
        <v>-0.1006415614542062784939768400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c r="AZ32" s="244"/>
      <c r="BA32" s="244"/>
    </row>
    <row r="33" ht="15.6" customHeight="1">
      <c r="A33" s="92"/>
      <c r="B33" s="344">
        <v>5</v>
      </c>
      <c r="C33" s="345" t="s">
        <v>48</v>
      </c>
      <c r="D33" s="370">
        <v>90.85245901639344262295081967</v>
      </c>
      <c r="E33" s="172">
        <v>139.29001248604281364053340954</v>
      </c>
      <c r="F33" s="371">
        <v>132.59158945647222298087617963</v>
      </c>
      <c r="G33" s="370">
        <v>0</v>
      </c>
      <c r="H33" s="172">
        <v>153.01971005374692201535614957</v>
      </c>
      <c r="I33" s="371">
        <v>136.22174687140871637990084386</v>
      </c>
      <c r="J33" s="370">
        <v>100</v>
      </c>
      <c r="K33" s="172">
        <v>127.72226362430950251994162516</v>
      </c>
      <c r="L33" s="371">
        <v>95.76451773510050361838175657</v>
      </c>
      <c r="M33" s="370">
        <v>91.14285714285714285714285714</v>
      </c>
      <c r="N33" s="172">
        <v>139.54985739750445632798573976</v>
      </c>
      <c r="O33" s="371">
        <v>132.82102272727272727272727273</v>
      </c>
      <c r="P33" s="4"/>
      <c r="Q33" s="327">
        <v>-12.131411791491212103304946910</v>
      </c>
      <c r="R33" s="171">
        <v>-4.9707040524072538821093103300</v>
      </c>
      <c r="S33" s="328">
        <v>-3.4140182515675489183901144100</v>
      </c>
      <c r="T33" s="327">
        <v>0</v>
      </c>
      <c r="U33" s="171">
        <v>5.1667674867573948393992828800</v>
      </c>
      <c r="V33" s="328">
        <v>-0.530565491020499392334862900</v>
      </c>
      <c r="W33" s="327">
        <v>8.695652173913043478260869570</v>
      </c>
      <c r="X33" s="171">
        <v>9.023143034745681418666689580</v>
      </c>
      <c r="Y33" s="328">
        <v>9.691721354892415726511759110</v>
      </c>
      <c r="Z33" s="327">
        <v>-11.651829871395216026282598370</v>
      </c>
      <c r="AA33" s="171">
        <v>-3.0190927018798412423538396700</v>
      </c>
      <c r="AB33" s="328">
        <v>-3.1898573671116565651166811400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c r="AZ33" s="244"/>
      <c r="BA33" s="244"/>
    </row>
    <row r="34" ht="15.6" customHeight="1">
      <c r="A34" s="92"/>
      <c r="B34" s="346">
        <v>6</v>
      </c>
      <c r="C34" s="347" t="s">
        <v>50</v>
      </c>
      <c r="D34" s="378">
        <v>94.01408450704225352112676056</v>
      </c>
      <c r="E34" s="173">
        <v>148.05446179128615047381250652</v>
      </c>
      <c r="F34" s="379">
        <v>132.85692579578663950355308611</v>
      </c>
      <c r="G34" s="378">
        <v>0</v>
      </c>
      <c r="H34" s="173">
        <v>124.87183729631778875079657235</v>
      </c>
      <c r="I34" s="379">
        <v>138.67482455175599484934247551</v>
      </c>
      <c r="J34" s="378">
        <v>98.4</v>
      </c>
      <c r="K34" s="173">
        <v>119.8912475714374089992999617</v>
      </c>
      <c r="L34" s="379">
        <v>93.17054499613853696620403703</v>
      </c>
      <c r="M34" s="378">
        <v>94.30263157894736842105263158</v>
      </c>
      <c r="N34" s="173">
        <v>143.75094876660341555977229603</v>
      </c>
      <c r="O34" s="379">
        <v>133.29552065154159394997091332</v>
      </c>
      <c r="P34" s="4"/>
      <c r="Q34" s="359">
        <v>-8.992416034694726433195268680</v>
      </c>
      <c r="R34" s="170">
        <v>-2.6086273229147356014609319100</v>
      </c>
      <c r="S34" s="360">
        <v>-0.7371981304372334623941855400</v>
      </c>
      <c r="T34" s="359">
        <v>0</v>
      </c>
      <c r="U34" s="170">
        <v>-4.9504753465269660279583305300</v>
      </c>
      <c r="V34" s="360">
        <v>8.705527875429564344179619910</v>
      </c>
      <c r="W34" s="359">
        <v>4.3109540636410992770542901400</v>
      </c>
      <c r="X34" s="170">
        <v>0.8153176813933071924823574800</v>
      </c>
      <c r="Y34" s="360">
        <v>3.4470815855485388025374455200</v>
      </c>
      <c r="Z34" s="359">
        <v>-8.308252090327894758254587070</v>
      </c>
      <c r="AA34" s="170">
        <v>1.0523005285503338972551826400</v>
      </c>
      <c r="AB34" s="360">
        <v>0.009224600445553104959403200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c r="AZ34" s="244"/>
      <c r="BA34" s="244"/>
    </row>
    <row r="35" ht="15.6" customHeight="1">
      <c r="A35" s="92"/>
      <c r="B35" s="344">
        <v>7</v>
      </c>
      <c r="C35" s="345" t="s">
        <v>51</v>
      </c>
      <c r="D35" s="370">
        <v>97.36666666666666666666666667</v>
      </c>
      <c r="E35" s="172">
        <v>133.89860471759704619438995228</v>
      </c>
      <c r="F35" s="371">
        <v>123.78590707277786829576591758</v>
      </c>
      <c r="G35" s="370">
        <v>0</v>
      </c>
      <c r="H35" s="172">
        <v>144.88841623408546017960659344</v>
      </c>
      <c r="I35" s="371">
        <v>128.8947404015571524773299632</v>
      </c>
      <c r="J35" s="370">
        <v>100</v>
      </c>
      <c r="K35" s="172">
        <v>125.86291897765866515645672269</v>
      </c>
      <c r="L35" s="371">
        <v>94.86273442616901746261634826</v>
      </c>
      <c r="M35" s="370">
        <v>97.45161290322580645161290323</v>
      </c>
      <c r="N35" s="172">
        <v>133.74474178403755868544600938</v>
      </c>
      <c r="O35" s="371">
        <v>124.23322259136212624584717608</v>
      </c>
      <c r="P35" s="4"/>
      <c r="Q35" s="327">
        <v>-3.0373443983724357362992954500</v>
      </c>
      <c r="R35" s="171">
        <v>2.1719625385995933749819248100</v>
      </c>
      <c r="S35" s="328">
        <v>2.786182134928307933832162500</v>
      </c>
      <c r="T35" s="327">
        <v>0</v>
      </c>
      <c r="U35" s="171">
        <v>2.0965930226785879250438882400</v>
      </c>
      <c r="V35" s="328">
        <v>8.200023555231395249779239810</v>
      </c>
      <c r="W35" s="327">
        <v>7.5268817204301075268817204300</v>
      </c>
      <c r="X35" s="171">
        <v>5.4885148053683041675600417700</v>
      </c>
      <c r="Y35" s="328">
        <v>7.7632534502296564095569614700</v>
      </c>
      <c r="Z35" s="327">
        <v>-2.5292751899850130366568389900</v>
      </c>
      <c r="AA35" s="171">
        <v>-1.1066226648009788529024334500</v>
      </c>
      <c r="AB35" s="328">
        <v>3.3696279577258755555409358700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c r="AZ35" s="244"/>
      <c r="BA35" s="244"/>
    </row>
    <row r="36" ht="15.6" customHeight="1">
      <c r="A36" s="92"/>
      <c r="B36" s="346">
        <v>8</v>
      </c>
      <c r="C36" s="347" t="s">
        <v>52</v>
      </c>
      <c r="D36" s="378">
        <v>105.7265625</v>
      </c>
      <c r="E36" s="173">
        <v>110.6030040467661805853078621</v>
      </c>
      <c r="F36" s="379">
        <v>120.55976416305451875138193632</v>
      </c>
      <c r="G36" s="378">
        <v>0</v>
      </c>
      <c r="H36" s="173">
        <v>139.1048928838616509219618147</v>
      </c>
      <c r="I36" s="379">
        <v>120.93063529924455991601216627</v>
      </c>
      <c r="J36" s="378">
        <v>100.25</v>
      </c>
      <c r="K36" s="173">
        <v>120.80968148613351613093014696</v>
      </c>
      <c r="L36" s="379">
        <v>97.70790480703067124026215479</v>
      </c>
      <c r="M36" s="378">
        <v>105.56060606060606060606060606</v>
      </c>
      <c r="N36" s="173">
        <v>112.96954732510288065843621398</v>
      </c>
      <c r="O36" s="379">
        <v>120.47167409293443666454487588</v>
      </c>
      <c r="P36" s="4"/>
      <c r="Q36" s="359">
        <v>-3.2743011436225568279975105200</v>
      </c>
      <c r="R36" s="170">
        <v>-7.7448357528534912669898577900</v>
      </c>
      <c r="S36" s="360">
        <v>1.9555636707685591052567835400</v>
      </c>
      <c r="T36" s="359">
        <v>0</v>
      </c>
      <c r="U36" s="170">
        <v>-22.843832226857078562622203030</v>
      </c>
      <c r="V36" s="360">
        <v>-2.9089651519718824134444047600</v>
      </c>
      <c r="W36" s="359">
        <v>7.2192513368983957219251336900</v>
      </c>
      <c r="X36" s="170">
        <v>2.0334710416624414335751150500</v>
      </c>
      <c r="Y36" s="360">
        <v>6.2730701706892366293037255600</v>
      </c>
      <c r="Z36" s="359">
        <v>-3.0472278952054456932504885700</v>
      </c>
      <c r="AA36" s="170">
        <v>-13.339957385136131932946431160</v>
      </c>
      <c r="AB36" s="360">
        <v>1.5735983256647777139176047100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row>
    <row r="37" ht="15.6" customHeight="1">
      <c r="A37" s="92"/>
      <c r="B37" s="348">
        <v>9</v>
      </c>
      <c r="C37" s="349" t="s">
        <v>53</v>
      </c>
      <c r="D37" s="380">
        <v>108.10924369747899159663865546</v>
      </c>
      <c r="E37" s="383">
        <v>114.38445341432303889686937672</v>
      </c>
      <c r="F37" s="381">
        <v>120.76239965663196347592489088</v>
      </c>
      <c r="G37" s="380">
        <v>0</v>
      </c>
      <c r="H37" s="383">
        <v>135.10562347430884950483259572</v>
      </c>
      <c r="I37" s="381">
        <v>118.17016752356165549990749793</v>
      </c>
      <c r="J37" s="380">
        <v>100</v>
      </c>
      <c r="K37" s="383">
        <v>112.18897341664127250021542126</v>
      </c>
      <c r="L37" s="381">
        <v>97.07456135456879497908046054</v>
      </c>
      <c r="M37" s="380">
        <v>107.97520661157024793388429752</v>
      </c>
      <c r="N37" s="383">
        <v>115.51170886075949367088607596</v>
      </c>
      <c r="O37" s="381">
        <v>120.42695924764890282131661442</v>
      </c>
      <c r="P37" s="4"/>
      <c r="Q37" s="329">
        <v>-5.2666880639364762320671702600</v>
      </c>
      <c r="R37" s="330">
        <v>-8.960379887391166104517715750</v>
      </c>
      <c r="S37" s="332">
        <v>3.2387483524232144534332236600</v>
      </c>
      <c r="T37" s="329">
        <v>0</v>
      </c>
      <c r="U37" s="330">
        <v>-10.257749453955060446580074410</v>
      </c>
      <c r="V37" s="332">
        <v>0.2574893738823201625910027800</v>
      </c>
      <c r="W37" s="329">
        <v>6.9518716577540106951871657800</v>
      </c>
      <c r="X37" s="330">
        <v>-6.8252251054211307659795585800</v>
      </c>
      <c r="Y37" s="332">
        <v>4.6451826313087052489584575800</v>
      </c>
      <c r="Z37" s="329">
        <v>-5.0190022319833167347685903600</v>
      </c>
      <c r="AA37" s="330">
        <v>-9.862730009685509348112885050</v>
      </c>
      <c r="AB37" s="332">
        <v>2.9820720817861304970702634600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c r="AZ37" s="244"/>
      <c r="BA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c r="AZ38" s="244"/>
      <c r="BA38" s="244"/>
    </row>
    <row r="39" ht="15.6" customHeight="1">
      <c r="A39" s="54"/>
      <c r="B39" s="53"/>
      <c r="C39" s="53" t="s">
        <v>14</v>
      </c>
      <c r="D39" s="374">
        <v>89.91935483870967741935483871</v>
      </c>
      <c r="E39" s="382">
        <v>126.75380653036238929545367545</v>
      </c>
      <c r="F39" s="375">
        <v>115.24337587001010403675665579</v>
      </c>
      <c r="G39" s="374">
        <v>0</v>
      </c>
      <c r="H39" s="382">
        <v>149.02122456698853872722277292</v>
      </c>
      <c r="I39" s="375">
        <v>110.43543922637247543131553086</v>
      </c>
      <c r="J39" s="374">
        <v>90.3</v>
      </c>
      <c r="K39" s="382">
        <v>117.93125068036894453419469201</v>
      </c>
      <c r="L39" s="375">
        <v>85.40405950060476632158598978</v>
      </c>
      <c r="M39" s="374">
        <v>89.94776119402985074626865672</v>
      </c>
      <c r="N39" s="382">
        <v>129.99527056277056277056277057</v>
      </c>
      <c r="O39" s="375">
        <v>114.74247635425623387790197764</v>
      </c>
      <c r="P39" s="4"/>
      <c r="Q39" s="354">
        <v>-12.324447139098241189232169310</v>
      </c>
      <c r="R39" s="355">
        <v>-3.4433540194727191178183844400</v>
      </c>
      <c r="S39" s="356">
        <v>0.5665233850484011561016810600</v>
      </c>
      <c r="T39" s="354">
        <v>-100</v>
      </c>
      <c r="U39" s="355">
        <v>9.161937737116006112467077970</v>
      </c>
      <c r="V39" s="356">
        <v>2.4675246743657827287028532500</v>
      </c>
      <c r="W39" s="354">
        <v>1.4606741573033707865168539300</v>
      </c>
      <c r="X39" s="355">
        <v>-2.8229451677162646343298118500</v>
      </c>
      <c r="Y39" s="356">
        <v>0.1696712972260444624771385500</v>
      </c>
      <c r="Z39" s="354">
        <v>-12.538455304909341346126644050</v>
      </c>
      <c r="AA39" s="355">
        <v>-0.7249311084669096578007339200</v>
      </c>
      <c r="AB39" s="356">
        <v>0.6407755370715314133999505400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c r="AZ39" s="244"/>
      <c r="BA39" s="244"/>
    </row>
    <row r="40" ht="15.6" customHeight="1">
      <c r="A40" s="54"/>
      <c r="C40" s="53" t="s">
        <v>15</v>
      </c>
      <c r="D40" s="370">
        <v>97.43373493975903614457831325</v>
      </c>
      <c r="E40" s="172">
        <v>143.14907900753683968972687586</v>
      </c>
      <c r="F40" s="371">
        <v>131.71482420036192674124720768</v>
      </c>
      <c r="G40" s="370">
        <v>126.66101694915254237288135593</v>
      </c>
      <c r="H40" s="172">
        <v>143.17114941437536286559364676</v>
      </c>
      <c r="I40" s="371">
        <v>123.47113842235981470476651155</v>
      </c>
      <c r="J40" s="370">
        <v>101</v>
      </c>
      <c r="K40" s="172">
        <v>129.47523635088450541825124566</v>
      </c>
      <c r="L40" s="371">
        <v>94.99628840108555527215883548</v>
      </c>
      <c r="M40" s="370">
        <v>104.84583333333333333333333333</v>
      </c>
      <c r="N40" s="172">
        <v>142.02515987210231814548361311</v>
      </c>
      <c r="O40" s="371">
        <v>130.68023255813953488372093023</v>
      </c>
      <c r="P40" s="4"/>
      <c r="Q40" s="327">
        <v>-13.401443323804067232405007140</v>
      </c>
      <c r="R40" s="171">
        <v>-0.1959459640359568533065986200</v>
      </c>
      <c r="S40" s="328">
        <v>5.3210899335986201409086785200</v>
      </c>
      <c r="T40" s="327">
        <v>15.171307899197793774180994970</v>
      </c>
      <c r="U40" s="171">
        <v>4.6137262312042069980994941800</v>
      </c>
      <c r="V40" s="328">
        <v>9.861163778134042120838004210</v>
      </c>
      <c r="W40" s="327">
        <v>13.831967213079764764176307450</v>
      </c>
      <c r="X40" s="171">
        <v>10.677121665565001885273372120</v>
      </c>
      <c r="Y40" s="328">
        <v>15.649749355355520729518767660</v>
      </c>
      <c r="Z40" s="327">
        <v>-5.6351482880961160069818914100</v>
      </c>
      <c r="AA40" s="171">
        <v>1.6105053279323579558424021700</v>
      </c>
      <c r="AB40" s="328">
        <v>5.4430642551371165662221899100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c r="AZ40" s="244"/>
      <c r="BA40" s="244"/>
    </row>
    <row r="41" ht="15.6" customHeight="1">
      <c r="A41" s="54"/>
      <c r="B41" s="22"/>
      <c r="C41" s="53" t="s">
        <v>16</v>
      </c>
      <c r="D41" s="378">
        <v>97.93410852713178294573643411</v>
      </c>
      <c r="E41" s="173">
        <v>144.37394552132201217865395057</v>
      </c>
      <c r="F41" s="379">
        <v>141.5300175037952092131947512</v>
      </c>
      <c r="G41" s="378">
        <v>120.02586206896551724137931034</v>
      </c>
      <c r="H41" s="173">
        <v>132.40700117585060262736695421</v>
      </c>
      <c r="I41" s="379">
        <v>120.92325082196425864203587622</v>
      </c>
      <c r="J41" s="378">
        <v>98.3</v>
      </c>
      <c r="K41" s="173">
        <v>126.47728706715157228079664878</v>
      </c>
      <c r="L41" s="379">
        <v>93.22726074423643751735591922</v>
      </c>
      <c r="M41" s="378">
        <v>104.617187500</v>
      </c>
      <c r="N41" s="173">
        <v>141.37342484557309540150995196</v>
      </c>
      <c r="O41" s="379">
        <v>138.72045914922349763673193788</v>
      </c>
      <c r="P41" s="4"/>
      <c r="Q41" s="359">
        <v>-13.088932977516252653221631590</v>
      </c>
      <c r="R41" s="170">
        <v>-1.7136220990660953033518671200</v>
      </c>
      <c r="S41" s="360">
        <v>7.042982687172561614736610700</v>
      </c>
      <c r="T41" s="359">
        <v>4.1537380715257604829065472500</v>
      </c>
      <c r="U41" s="170">
        <v>-2.5149039840334891401092518500</v>
      </c>
      <c r="V41" s="360">
        <v>-21.760798985700829285751725900</v>
      </c>
      <c r="W41" s="359">
        <v>13.477633477633477633477633480</v>
      </c>
      <c r="X41" s="170">
        <v>7.4085271501228552463915504900</v>
      </c>
      <c r="Y41" s="360">
        <v>12.220408774916723488757168900</v>
      </c>
      <c r="Z41" s="359">
        <v>-6.9052472210534209258565247300</v>
      </c>
      <c r="AA41" s="170">
        <v>-0.8316112476796235449664974700</v>
      </c>
      <c r="AB41" s="360">
        <v>3.4400977709968716884005658600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c r="AZ41" s="244"/>
      <c r="BA41" s="244"/>
    </row>
    <row r="42" ht="15.6" customHeight="1">
      <c r="A42" s="54"/>
      <c r="B42" s="22"/>
      <c r="C42" s="53" t="s">
        <v>17</v>
      </c>
      <c r="D42" s="370">
        <v>97.55333333333333333333333333</v>
      </c>
      <c r="E42" s="172">
        <v>143.92575758082022459792258818</v>
      </c>
      <c r="F42" s="371">
        <v>137.79992387150891233070325618</v>
      </c>
      <c r="G42" s="370">
        <v>128.37209302325581395348837209</v>
      </c>
      <c r="H42" s="172">
        <v>131.70499872084315622460062989</v>
      </c>
      <c r="I42" s="371">
        <v>123.75187546907488691744324195</v>
      </c>
      <c r="J42" s="370">
        <v>97.93333333333333333333333333</v>
      </c>
      <c r="K42" s="172">
        <v>123.70930265463936286024510186</v>
      </c>
      <c r="L42" s="371">
        <v>93.41208971590001264325657585</v>
      </c>
      <c r="M42" s="370">
        <v>104.17456359102244389027431421</v>
      </c>
      <c r="N42" s="172">
        <v>140.22159013282732447817836812</v>
      </c>
      <c r="O42" s="371">
        <v>135.85618009750501864066532836</v>
      </c>
      <c r="P42" s="4"/>
      <c r="Q42" s="327">
        <v>-15.005033164730732433989015830</v>
      </c>
      <c r="R42" s="171">
        <v>-2.7796966684950692676913401700</v>
      </c>
      <c r="S42" s="328">
        <v>2.9914399174120640209428186800</v>
      </c>
      <c r="T42" s="327">
        <v>9.480826929683985299796010090</v>
      </c>
      <c r="U42" s="171">
        <v>-2.8590614051221204170599561500</v>
      </c>
      <c r="V42" s="328">
        <v>4.5479450647995632360323953900</v>
      </c>
      <c r="W42" s="327">
        <v>6.134646962264538976113641400</v>
      </c>
      <c r="X42" s="171">
        <v>3.6349375912296551739824807800</v>
      </c>
      <c r="Y42" s="328">
        <v>5.8922419186917298342988477600</v>
      </c>
      <c r="Z42" s="327">
        <v>-8.882510648386984963908616420</v>
      </c>
      <c r="AA42" s="171">
        <v>-2.0781616287100532141708054600</v>
      </c>
      <c r="AB42" s="328">
        <v>2.5507457920019071035768948900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c r="AZ42" s="244"/>
      <c r="BA42" s="244"/>
    </row>
    <row r="43" ht="15.6" customHeight="1">
      <c r="A43" s="54"/>
      <c r="B43" s="22"/>
      <c r="C43" s="53" t="s">
        <v>18</v>
      </c>
      <c r="D43" s="378">
        <v>88.60427807486631016042780749</v>
      </c>
      <c r="E43" s="173">
        <v>135.56056010939376598303713361</v>
      </c>
      <c r="F43" s="379">
        <v>125.35063333144839786113366892</v>
      </c>
      <c r="G43" s="378">
        <v>132</v>
      </c>
      <c r="H43" s="173">
        <v>135.15008159117992466671048538</v>
      </c>
      <c r="I43" s="379">
        <v>125.85971874987353712457658919</v>
      </c>
      <c r="J43" s="378">
        <v>92.14285714285714285714285714</v>
      </c>
      <c r="K43" s="173">
        <v>126.03431845038993533345147368</v>
      </c>
      <c r="L43" s="379">
        <v>88.17538753234787765694763357</v>
      </c>
      <c r="M43" s="378">
        <v>89.17346938775510204081632653</v>
      </c>
      <c r="N43" s="173">
        <v>134.61857681432610744580584354</v>
      </c>
      <c r="O43" s="379">
        <v>125.3129531970995385629531971</v>
      </c>
      <c r="P43" s="4"/>
      <c r="Q43" s="359">
        <v>-15.198365360743893962290329230</v>
      </c>
      <c r="R43" s="170">
        <v>-2.6517997194045655671586287200</v>
      </c>
      <c r="S43" s="360">
        <v>2.4254991096786184108654842900</v>
      </c>
      <c r="T43" s="359">
        <v>23.943661971830985915492957750</v>
      </c>
      <c r="U43" s="170">
        <v>-8.145244425821484121537903600</v>
      </c>
      <c r="V43" s="360">
        <v>12.715248276805898555986954680</v>
      </c>
      <c r="W43" s="359">
        <v>-7.6893052303056511804160255200</v>
      </c>
      <c r="X43" s="170">
        <v>3.5573399117143881338914368400</v>
      </c>
      <c r="Y43" s="360">
        <v>-7.8517431897895845291060456500</v>
      </c>
      <c r="Z43" s="359">
        <v>-14.755850356753638694174831590</v>
      </c>
      <c r="AA43" s="170">
        <v>-3.4801542159415669424614638300</v>
      </c>
      <c r="AB43" s="360">
        <v>3.1882314873675749911847856100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c r="AZ43" s="244"/>
      <c r="BA43" s="244"/>
    </row>
    <row r="44" ht="15.6" customHeight="1">
      <c r="A44" s="54"/>
      <c r="B44" s="22"/>
      <c r="C44" s="53" t="s">
        <v>19</v>
      </c>
      <c r="D44" s="370">
        <v>99.53947368421052631578947368</v>
      </c>
      <c r="E44" s="172">
        <v>129.0884866280604388546125523</v>
      </c>
      <c r="F44" s="371">
        <v>123.50797235990455043442575151</v>
      </c>
      <c r="G44" s="370">
        <v>135</v>
      </c>
      <c r="H44" s="172">
        <v>129.6315262561462667074049259</v>
      </c>
      <c r="I44" s="371">
        <v>125.77354829991818800200216308</v>
      </c>
      <c r="J44" s="370">
        <v>93.78571428571428571428571429</v>
      </c>
      <c r="K44" s="172">
        <v>122.36404023415236631121002011</v>
      </c>
      <c r="L44" s="371">
        <v>92.28589734584466033952971873</v>
      </c>
      <c r="M44" s="370">
        <v>99.509375000</v>
      </c>
      <c r="N44" s="172">
        <v>128.79198814091384722706662016</v>
      </c>
      <c r="O44" s="371">
        <v>123.62567505014658231754358895</v>
      </c>
      <c r="P44" s="4"/>
      <c r="Q44" s="327">
        <v>-6.6091309031999672762197378300</v>
      </c>
      <c r="R44" s="171">
        <v>-0.0048329413968745747762670400</v>
      </c>
      <c r="S44" s="328">
        <v>2.2053192217080615448494221200</v>
      </c>
      <c r="T44" s="327">
        <v>31.778741865566932209052306700</v>
      </c>
      <c r="U44" s="171">
        <v>-14.268385545519007606238863220</v>
      </c>
      <c r="V44" s="328">
        <v>-3.1028475087150283448674756500</v>
      </c>
      <c r="W44" s="327">
        <v>4.671556122448979591836734700</v>
      </c>
      <c r="X44" s="171">
        <v>2.4577029289816632759653734900</v>
      </c>
      <c r="Y44" s="328">
        <v>4.0680220977432810867443484500</v>
      </c>
      <c r="Z44" s="327">
        <v>-6.1549918591219522358621950200</v>
      </c>
      <c r="AA44" s="171">
        <v>-3.2080117027423839849721365600</v>
      </c>
      <c r="AB44" s="328">
        <v>1.4101440741809448893915247600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c r="AZ44" s="244"/>
      <c r="BA44" s="244"/>
    </row>
    <row r="45" ht="15.6" customHeight="1">
      <c r="A45" s="54"/>
      <c r="B45" s="22"/>
      <c r="C45" s="53" t="s">
        <v>20</v>
      </c>
      <c r="D45" s="384">
        <v>102.2327868852459016393442623</v>
      </c>
      <c r="E45" s="385">
        <v>128.95249272318741265749201408</v>
      </c>
      <c r="F45" s="386">
        <v>121.86772968699918426870437203</v>
      </c>
      <c r="G45" s="384">
        <v>135.5</v>
      </c>
      <c r="H45" s="385">
        <v>138.07921317382015776754433957</v>
      </c>
      <c r="I45" s="386">
        <v>123.44838165721949273540646442</v>
      </c>
      <c r="J45" s="384">
        <v>98.125</v>
      </c>
      <c r="K45" s="385">
        <v>129.96454424934315475312795481</v>
      </c>
      <c r="L45" s="386">
        <v>95.69631716242387458124801765</v>
      </c>
      <c r="M45" s="384">
        <v>102.33968253968253968253968254</v>
      </c>
      <c r="N45" s="385">
        <v>131.57702185792349726775956284</v>
      </c>
      <c r="O45" s="386">
        <v>121.95420443888715223507346046</v>
      </c>
      <c r="P45" s="4"/>
      <c r="Q45" s="364">
        <v>-10.836094169326089809007991800</v>
      </c>
      <c r="R45" s="365">
        <v>2.1557953687998908100561601200</v>
      </c>
      <c r="S45" s="366">
        <v>2.0386354732002093311384694700</v>
      </c>
      <c r="T45" s="364">
        <v>30.288461538461538461538461540</v>
      </c>
      <c r="U45" s="365">
        <v>-5.8009792479782463252169113500</v>
      </c>
      <c r="V45" s="366">
        <v>-3.745112660042972522117621600</v>
      </c>
      <c r="W45" s="364">
        <v>-16.042780748663101604278074870</v>
      </c>
      <c r="X45" s="365">
        <v>7.2165638098577247676241518300</v>
      </c>
      <c r="Y45" s="366">
        <v>-16.999064339876348982594498880</v>
      </c>
      <c r="Z45" s="364">
        <v>-10.768043650955549472642628550</v>
      </c>
      <c r="AA45" s="365">
        <v>1.57923253824608445674091500</v>
      </c>
      <c r="AB45" s="366">
        <v>1.2694053485708335655774258700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244"/>
      <c r="BA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c r="AZ46" s="244"/>
      <c r="BA46" s="244"/>
    </row>
    <row r="47" ht="15.6" customHeight="1">
      <c r="A47" s="22"/>
      <c r="B47" s="22"/>
      <c r="C47" s="53" t="s">
        <v>72</v>
      </c>
      <c r="D47" s="374">
        <v>100.4314516129032258064516129</v>
      </c>
      <c r="E47" s="382">
        <v>130.35876447495914726728719292</v>
      </c>
      <c r="F47" s="375">
        <v>124.58721475693576186030925285</v>
      </c>
      <c r="G47" s="374">
        <v>0</v>
      </c>
      <c r="H47" s="382">
        <v>158.94053667310422073020044857</v>
      </c>
      <c r="I47" s="375">
        <v>131.16379520396589254448369738</v>
      </c>
      <c r="J47" s="374">
        <v>100.95238095238095238095238095</v>
      </c>
      <c r="K47" s="382">
        <v>121.05023588481560705161290284</v>
      </c>
      <c r="L47" s="375">
        <v>96.44217554157951856559098066</v>
      </c>
      <c r="M47" s="374">
        <v>100.45261121856866537717601547</v>
      </c>
      <c r="N47" s="382">
        <v>132.58640638119227539882451722</v>
      </c>
      <c r="O47" s="375">
        <v>125.05979266938171047760088856</v>
      </c>
      <c r="P47" s="4"/>
      <c r="Q47" s="354">
        <v>-4.7746980948803677186371419600</v>
      </c>
      <c r="R47" s="355">
        <v>-3.6137320938137401935283128100</v>
      </c>
      <c r="S47" s="356">
        <v>-0.0629201908900367915366627600</v>
      </c>
      <c r="T47" s="354">
        <v>0</v>
      </c>
      <c r="U47" s="355">
        <v>9.942336129893349965727641260</v>
      </c>
      <c r="V47" s="356">
        <v>3.7823342018895451687418449800</v>
      </c>
      <c r="W47" s="354">
        <v>11.461619348089840679079313300</v>
      </c>
      <c r="X47" s="355">
        <v>3.5564451137473266145979734900</v>
      </c>
      <c r="Y47" s="356">
        <v>11.302732546467308014870071330</v>
      </c>
      <c r="Z47" s="354">
        <v>-4.2754543163117146830277912200</v>
      </c>
      <c r="AA47" s="355">
        <v>-2.4379532878240667191361258500</v>
      </c>
      <c r="AB47" s="356">
        <v>0.341198495216688157503330800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c r="AZ47" s="244"/>
      <c r="BA47" s="244"/>
    </row>
    <row r="48" ht="15.6" customHeight="1">
      <c r="A48" s="22"/>
      <c r="B48" s="22"/>
      <c r="C48" s="53" t="s">
        <v>61</v>
      </c>
      <c r="D48" s="370">
        <v>97.24270072992700729927007299</v>
      </c>
      <c r="E48" s="172">
        <v>136.66676336728831002218805674</v>
      </c>
      <c r="F48" s="371">
        <v>128.98025934423024277188526106</v>
      </c>
      <c r="G48" s="370">
        <v>124.49812734082397003745318352</v>
      </c>
      <c r="H48" s="172">
        <v>136.32103143166641214519682394</v>
      </c>
      <c r="I48" s="371">
        <v>122.76531137300533760804837147</v>
      </c>
      <c r="J48" s="370">
        <v>96.36708860759493670886075949</v>
      </c>
      <c r="K48" s="172">
        <v>124.86490517673791240051793862</v>
      </c>
      <c r="L48" s="371">
        <v>92.19754189665452369503499428</v>
      </c>
      <c r="M48" s="370">
        <v>100.86482412060301507537688442</v>
      </c>
      <c r="N48" s="172">
        <v>135.6751812977099236641221374</v>
      </c>
      <c r="O48" s="371">
        <v>128.15984872219487087678467529</v>
      </c>
      <c r="P48" s="4"/>
      <c r="Q48" s="327">
        <v>-11.715763240692169310475324370</v>
      </c>
      <c r="R48" s="171">
        <v>-0.8958669912043724917869250900</v>
      </c>
      <c r="S48" s="328">
        <v>3.3664651219319960165320915900</v>
      </c>
      <c r="T48" s="327">
        <v>12.245489205075674482358783600</v>
      </c>
      <c r="U48" s="171">
        <v>-4.2745818000942930312735663800</v>
      </c>
      <c r="V48" s="328">
        <v>-2.561424566607474703512810500</v>
      </c>
      <c r="W48" s="327">
        <v>1.4568400852382056384163946900</v>
      </c>
      <c r="X48" s="171">
        <v>4.3393072204745327392746688400</v>
      </c>
      <c r="Y48" s="328">
        <v>1.1832963687564103276634612700</v>
      </c>
      <c r="Z48" s="327">
        <v>-8.079944579329315540387244170</v>
      </c>
      <c r="AA48" s="171">
        <v>-1.0156584297933037567427833500</v>
      </c>
      <c r="AB48" s="328">
        <v>2.7074254742588870577043967300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c r="AZ48" s="244"/>
      <c r="BA48" s="244"/>
    </row>
    <row r="49" ht="15.6" customHeight="1">
      <c r="A49" s="54"/>
      <c r="B49" s="22"/>
      <c r="C49" s="53" t="s">
        <v>31</v>
      </c>
      <c r="D49" s="384">
        <v>99.03686635944700460829493088</v>
      </c>
      <c r="E49" s="385">
        <v>130.37571032888951137366043786</v>
      </c>
      <c r="F49" s="386">
        <v>123.24581463369044040068004009</v>
      </c>
      <c r="G49" s="384">
        <v>0</v>
      </c>
      <c r="H49" s="385">
        <v>157.16407212925062014254864426</v>
      </c>
      <c r="I49" s="386">
        <v>132.29637301752120350559205184</v>
      </c>
      <c r="J49" s="384">
        <v>100.48148148148148148148148148</v>
      </c>
      <c r="K49" s="385">
        <v>123.47826701206799402325795856</v>
      </c>
      <c r="L49" s="386">
        <v>96.924733062373649745396571</v>
      </c>
      <c r="M49" s="384">
        <v>99.0943952802359882005899705</v>
      </c>
      <c r="N49" s="385">
        <v>133.78975935288169868554095046</v>
      </c>
      <c r="O49" s="386">
        <v>123.89263384836507366151634926</v>
      </c>
      <c r="P49" s="4"/>
      <c r="Q49" s="364">
        <v>-3.3299611183253729920543402500</v>
      </c>
      <c r="R49" s="365">
        <v>-2.7506498276687208364061742600</v>
      </c>
      <c r="S49" s="366">
        <v>0.0204067364914838162589307900</v>
      </c>
      <c r="T49" s="364">
        <v>-100</v>
      </c>
      <c r="U49" s="365">
        <v>9.506687051604303040162858990</v>
      </c>
      <c r="V49" s="366">
        <v>1.3460827856505554537702427700</v>
      </c>
      <c r="W49" s="364">
        <v>10.495099910907471044928089600</v>
      </c>
      <c r="X49" s="365">
        <v>4.930352181617234452157142900</v>
      </c>
      <c r="Y49" s="366">
        <v>11.611957429335068559517274030</v>
      </c>
      <c r="Z49" s="364">
        <v>-2.9043750178600141985584297500</v>
      </c>
      <c r="AA49" s="365">
        <v>-0.7983078721542821493888290400</v>
      </c>
      <c r="AB49" s="366">
        <v>0.3206335561651890792420432800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c r="AZ49" s="244"/>
      <c r="BA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c r="AZ50" s="244"/>
      <c r="BA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c r="AZ51" s="244"/>
      <c r="BA51" s="244"/>
    </row>
    <row r="52" ht="24.7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c r="AZ52" s="244"/>
      <c r="BA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c r="AZ53" s="244"/>
      <c r="BA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c r="AZ54" s="244"/>
      <c r="BA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c r="AZ55" s="244"/>
      <c r="BA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c r="AZ56" s="244"/>
      <c r="BA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c r="AZ57" s="244"/>
      <c r="BA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c r="AZ58" s="244"/>
      <c r="BA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c r="AZ59" s="244"/>
      <c r="BA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c r="AZ60" s="244"/>
      <c r="BA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c r="AZ61" s="244"/>
      <c r="BA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c r="AZ62" s="244"/>
      <c r="BA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c r="AZ63" s="244"/>
      <c r="BA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c r="AZ64" s="244"/>
      <c r="BA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c r="AZ65" s="244"/>
      <c r="BA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c r="AZ66" s="244"/>
      <c r="BA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c r="AZ67" s="244"/>
      <c r="BA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c r="AZ68" s="244"/>
      <c r="BA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c r="AZ69" s="244"/>
      <c r="BA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c r="AZ70" s="244"/>
      <c r="BA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c r="AZ71" s="244"/>
      <c r="BA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c r="AZ72" s="244"/>
      <c r="BA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c r="AZ73" s="244"/>
      <c r="BA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c r="AZ74" s="244"/>
      <c r="BA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c r="AZ75" s="244"/>
      <c r="BA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c r="AZ76" s="244"/>
      <c r="BA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c r="AZ77" s="244"/>
      <c r="BA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c r="AZ78" s="244"/>
      <c r="BA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c r="AZ79" s="244"/>
      <c r="BA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c r="AZ80" s="244"/>
      <c r="BA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c r="AZ81" s="244"/>
      <c r="BA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c r="AZ82" s="244"/>
      <c r="BA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c r="AZ83" s="244"/>
      <c r="BA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c r="AZ84" s="244"/>
      <c r="BA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c r="AZ85" s="244"/>
      <c r="BA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c r="AZ86" s="244"/>
      <c r="BA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c r="AZ87" s="244"/>
      <c r="BA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c r="AZ88" s="244"/>
      <c r="BA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c r="AZ89" s="244"/>
      <c r="BA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c r="AZ90" s="244"/>
      <c r="BA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c r="AZ91" s="244"/>
      <c r="BA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c r="AZ92" s="244"/>
      <c r="BA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c r="AZ93" s="244"/>
      <c r="BA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c r="AZ94" s="244"/>
      <c r="BA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c r="AZ95" s="244"/>
      <c r="BA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c r="AZ96" s="244"/>
      <c r="BA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c r="AZ97" s="244"/>
      <c r="BA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c r="AZ98" s="244"/>
      <c r="BA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c r="AZ99" s="244"/>
      <c r="BA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c r="AZ100" s="244"/>
      <c r="BA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c r="AZ101" s="244"/>
      <c r="BA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c r="AZ102" s="244"/>
      <c r="BA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c r="AZ103" s="244"/>
      <c r="BA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c r="AZ104" s="244"/>
      <c r="BA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c r="AZ105" s="244"/>
      <c r="BA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17" footer="0.28"/>
  <pageSetup scale="67" orientation="landscape" r:id="rId1"/>
  <headerFooter alignWithMargins="0">
    <oddHeader/>
    <oddFooter/>
  </headerFooter>
  <drawing r:id="rId38"/>
</worksheet>
</file>

<file path=xl/worksheets/sheet38.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Normal="100" workbookViewId="0"/>
  </sheetViews>
  <sheetFormatPr defaultRowHeight="12.75"/>
  <cols>
    <col min="1" max="1" width="13.28515625" customWidth="1"/>
    <col min="2" max="2" width="3.85546875" customWidth="1"/>
    <col min="3" max="3" width="4.28515625" style="30" customWidth="1"/>
    <col min="4" max="15" width="7.7109375" customWidth="1"/>
    <col min="16" max="16" width="1.42578125" customWidth="1"/>
    <col min="17" max="28" width="7.7109375" customWidth="1"/>
    <col min="29" max="29" width="2.28515625" customWidth="1"/>
    <col min="30" max="32" width="9.140625" customWidth="1"/>
  </cols>
  <sheetData>
    <row r="1" ht="23.25">
      <c r="A1" s="39" t="s">
        <v>131</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AA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2"/>
      <c r="C4" s="211"/>
      <c r="D4" s="212"/>
      <c r="E4" s="212"/>
      <c r="F4" s="212"/>
      <c r="G4" s="212"/>
      <c r="H4" s="212"/>
      <c r="I4" s="212"/>
      <c r="J4" s="212"/>
      <c r="K4" s="212"/>
      <c r="L4" s="212"/>
      <c r="M4" s="212"/>
      <c r="N4" s="212"/>
      <c r="O4" s="212"/>
      <c r="P4" s="212"/>
      <c r="Q4" s="212"/>
      <c r="R4" s="675" t="s">
        <v>146</v>
      </c>
      <c r="S4" s="675"/>
      <c r="T4" s="675"/>
      <c r="U4" s="675"/>
      <c r="V4" s="675"/>
      <c r="W4" s="675"/>
      <c r="X4" s="675"/>
      <c r="Y4" s="675"/>
      <c r="Z4" s="675"/>
      <c r="AA4" s="67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13</v>
      </c>
      <c r="E7" s="621"/>
      <c r="F7" s="621"/>
      <c r="G7" s="621"/>
      <c r="H7" s="621"/>
      <c r="I7" s="621"/>
      <c r="J7" s="621"/>
      <c r="K7" s="621"/>
      <c r="L7" s="621"/>
      <c r="M7" s="621"/>
      <c r="N7" s="621"/>
      <c r="O7" s="621"/>
      <c r="Q7" s="621" t="s">
        <v>86</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75">
      <c r="D8" s="619" t="s">
        <v>21</v>
      </c>
      <c r="E8" s="619"/>
      <c r="F8" s="619"/>
      <c r="G8" s="619" t="s">
        <v>24</v>
      </c>
      <c r="H8" s="619"/>
      <c r="I8" s="619"/>
      <c r="J8" s="619" t="s">
        <v>25</v>
      </c>
      <c r="K8" s="619"/>
      <c r="L8" s="619"/>
      <c r="M8" s="619" t="s">
        <v>23</v>
      </c>
      <c r="N8" s="619"/>
      <c r="O8" s="619"/>
      <c r="Q8" s="619" t="s">
        <v>21</v>
      </c>
      <c r="R8" s="619"/>
      <c r="S8" s="619"/>
      <c r="T8" s="619" t="s">
        <v>24</v>
      </c>
      <c r="U8" s="619"/>
      <c r="V8" s="619"/>
      <c r="W8" s="619" t="s">
        <v>25</v>
      </c>
      <c r="X8" s="619"/>
      <c r="Y8" s="619"/>
      <c r="Z8" s="619" t="s">
        <v>23</v>
      </c>
      <c r="AA8" s="619"/>
      <c r="AB8" s="619"/>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339" t="s">
        <v>63</v>
      </c>
      <c r="AA9" s="340" t="s">
        <v>26</v>
      </c>
      <c r="AB9" s="341"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13</v>
      </c>
      <c r="C10" s="343" t="s">
        <v>49</v>
      </c>
      <c r="D10" s="374">
        <v>26.52688172043010752688172043</v>
      </c>
      <c r="E10" s="382">
        <v>35.015426389921186747199553443</v>
      </c>
      <c r="F10" s="375">
        <v>55.475839737391215837956130082</v>
      </c>
      <c r="G10" s="374">
        <v>0</v>
      </c>
      <c r="H10" s="382">
        <v>8.743674962357522788890932599</v>
      </c>
      <c r="I10" s="375">
        <v>6.1566320875814997653259142395</v>
      </c>
      <c r="J10" s="374">
        <v>1.5376344086021505376344086022</v>
      </c>
      <c r="K10" s="382">
        <v>7.6513682609809589721968067781</v>
      </c>
      <c r="L10" s="375">
        <v>0.2627662702653796348131937729</v>
      </c>
      <c r="M10" s="374">
        <v>28.064516129032258064516129032</v>
      </c>
      <c r="N10" s="382">
        <v>51.410469613259668508287292818</v>
      </c>
      <c r="O10" s="375">
        <v>61.895238095238095238095238095</v>
      </c>
      <c r="P10" s="4"/>
      <c r="Q10" s="354">
        <v>39.142695995723309694296204130</v>
      </c>
      <c r="R10" s="355">
        <v>-0.385992355440212438181301600</v>
      </c>
      <c r="S10" s="356">
        <v>8.273648642731475696611933230</v>
      </c>
      <c r="T10" s="354">
        <v>-100</v>
      </c>
      <c r="U10" s="355">
        <v>5.7623354814933651473587593900</v>
      </c>
      <c r="V10" s="356">
        <v>42.216447475137065645580449650</v>
      </c>
      <c r="W10" s="354">
        <v>262.02531645203012337770096079</v>
      </c>
      <c r="X10" s="355">
        <v>26.462641109580168127898815040</v>
      </c>
      <c r="Y10" s="356">
        <v>243.82875069746578756670422217</v>
      </c>
      <c r="Z10" s="354">
        <v>34.848876259294833956983056140</v>
      </c>
      <c r="AA10" s="355">
        <v>3.9252647840770250578793193200</v>
      </c>
      <c r="AB10" s="356">
        <v>11.237988116584320331030118180</v>
      </c>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14</v>
      </c>
      <c r="C11" s="345" t="s">
        <v>47</v>
      </c>
      <c r="D11" s="370">
        <v>26.059139784946236559139784946</v>
      </c>
      <c r="E11" s="172">
        <v>55.511633286346024056264108458</v>
      </c>
      <c r="F11" s="371">
        <v>94.8829347069458315725207641</v>
      </c>
      <c r="G11" s="370">
        <v>0</v>
      </c>
      <c r="H11" s="172">
        <v>5.01198259259822761550997466</v>
      </c>
      <c r="I11" s="371">
        <v>7.7562596198470004194032453075</v>
      </c>
      <c r="J11" s="370">
        <v>2.1021505376344086021505376344</v>
      </c>
      <c r="K11" s="172">
        <v>7.5551041947205733742664325331</v>
      </c>
      <c r="L11" s="371">
        <v>0.3993544260416351282573964861</v>
      </c>
      <c r="M11" s="370">
        <v>28.161290322580645161290322581</v>
      </c>
      <c r="N11" s="172">
        <v>68.078720073664825046040515654</v>
      </c>
      <c r="O11" s="371">
        <v>103.0385487528344671201814059</v>
      </c>
      <c r="P11" s="4"/>
      <c r="Q11" s="327">
        <v>-20.671031096583785000040174460</v>
      </c>
      <c r="R11" s="171">
        <v>0.0181696112112427052445784500</v>
      </c>
      <c r="S11" s="328">
        <v>19.399545615613723215663163750</v>
      </c>
      <c r="T11" s="327">
        <v>0</v>
      </c>
      <c r="U11" s="171">
        <v>-23.080966498252402467007685660</v>
      </c>
      <c r="V11" s="328">
        <v>178.98749794584571649464352477</v>
      </c>
      <c r="W11" s="327">
        <v>117.22222221860185185191219136</v>
      </c>
      <c r="X11" s="171">
        <v>25.273790370740399758122859730</v>
      </c>
      <c r="Y11" s="328">
        <v>144.19672101391326767400101750</v>
      </c>
      <c r="Z11" s="327">
        <v>-16.724960254432919742898188960</v>
      </c>
      <c r="AA11" s="171">
        <v>0.0446411053235332343863818500</v>
      </c>
      <c r="AB11" s="328">
        <v>25.030955067003963100323776360</v>
      </c>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15</v>
      </c>
      <c r="C12" s="347" t="s">
        <v>48</v>
      </c>
      <c r="D12" s="378">
        <v>38.05376344086021505376344086</v>
      </c>
      <c r="E12" s="173">
        <v>78.760922989423189501875909641</v>
      </c>
      <c r="F12" s="379">
        <v>111.59969104710442096460333542</v>
      </c>
      <c r="G12" s="378">
        <v>0</v>
      </c>
      <c r="H12" s="173">
        <v>10.537413046883016585386929354</v>
      </c>
      <c r="I12" s="379">
        <v>13.092829915890706164262395265</v>
      </c>
      <c r="J12" s="378">
        <v>1.6451612903225806451612903226</v>
      </c>
      <c r="K12" s="173">
        <v>6.2670322878190241153154298826</v>
      </c>
      <c r="L12" s="379">
        <v>0.2711978578665508756694167028</v>
      </c>
      <c r="M12" s="378">
        <v>39.698924731182795698924731183</v>
      </c>
      <c r="N12" s="173">
        <v>95.56536832412523020257826888</v>
      </c>
      <c r="O12" s="379">
        <v>124.96371882086167800453514739</v>
      </c>
      <c r="P12" s="4"/>
      <c r="Q12" s="359">
        <v>15.089430894421225461035207700</v>
      </c>
      <c r="R12" s="170">
        <v>24.216860423954837935789898120</v>
      </c>
      <c r="S12" s="360">
        <v>15.825345940675156488629194830</v>
      </c>
      <c r="T12" s="359">
        <v>0</v>
      </c>
      <c r="U12" s="170">
        <v>48.883817071055565892656423890</v>
      </c>
      <c r="V12" s="360">
        <v>74.720218588464172154823678150</v>
      </c>
      <c r="W12" s="359">
        <v>131.81818180342975206705447033</v>
      </c>
      <c r="X12" s="170">
        <v>0.2740129211997275019469880600</v>
      </c>
      <c r="Y12" s="360">
        <v>131.67473274408581603779664285</v>
      </c>
      <c r="Z12" s="359">
        <v>17.542184017783810690601292400</v>
      </c>
      <c r="AA12" s="170">
        <v>24.541913858884545883072148890</v>
      </c>
      <c r="AB12" s="360">
        <v>20.200927424506774604274951930</v>
      </c>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16</v>
      </c>
      <c r="C13" s="345" t="s">
        <v>50</v>
      </c>
      <c r="D13" s="370">
        <v>40.860215053763440860215053763</v>
      </c>
      <c r="E13" s="172">
        <v>63.15457053650127694371790947</v>
      </c>
      <c r="F13" s="371">
        <v>102.87010661441424118145902143</v>
      </c>
      <c r="G13" s="370">
        <v>0</v>
      </c>
      <c r="H13" s="172">
        <v>8.708576889568999330684444377</v>
      </c>
      <c r="I13" s="371">
        <v>9.184115128848995302957564543</v>
      </c>
      <c r="J13" s="370">
        <v>1.5860215053763440860215053763</v>
      </c>
      <c r="K13" s="172">
        <v>6.2970827765079926022090642017</v>
      </c>
      <c r="L13" s="371">
        <v>0.2627850594578519509575636799</v>
      </c>
      <c r="M13" s="370">
        <v>42.44623655913978494623655914</v>
      </c>
      <c r="N13" s="172">
        <v>78.160230202578268876611418048</v>
      </c>
      <c r="O13" s="371">
        <v>112.31700680272108843537414966</v>
      </c>
      <c r="P13" s="4"/>
      <c r="Q13" s="327">
        <v>32.059079061488148031289522490</v>
      </c>
      <c r="R13" s="171">
        <v>-8.636360633213721207394545720</v>
      </c>
      <c r="S13" s="328">
        <v>13.585345579205780109168107800</v>
      </c>
      <c r="T13" s="327">
        <v>0</v>
      </c>
      <c r="U13" s="171">
        <v>206.27832346018564766708211257</v>
      </c>
      <c r="V13" s="328">
        <v>1.8818637322204584628204666400</v>
      </c>
      <c r="W13" s="327">
        <v>16.141732287671275342703054060</v>
      </c>
      <c r="X13" s="171">
        <v>-1.0036777373129147948434235200</v>
      </c>
      <c r="Y13" s="328">
        <v>15.825386158350468171104775440</v>
      </c>
      <c r="Z13" s="327">
        <v>31.386253952417845190942161880</v>
      </c>
      <c r="AA13" s="171">
        <v>-0.2150591989434997602831098700</v>
      </c>
      <c r="AB13" s="328">
        <v>12.533397553535074528701866350</v>
      </c>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17</v>
      </c>
      <c r="C14" s="347" t="s">
        <v>51</v>
      </c>
      <c r="D14" s="378">
        <v>30.274193548387096774193548387</v>
      </c>
      <c r="E14" s="173">
        <v>51.287108846730219369947853523</v>
      </c>
      <c r="F14" s="379">
        <v>83.42018718027512156323999928</v>
      </c>
      <c r="G14" s="378">
        <v>1.4193548387096774193548387097</v>
      </c>
      <c r="H14" s="173">
        <v>16.056008881316181026309996456</v>
      </c>
      <c r="I14" s="379">
        <v>8.84233699680049167585546176</v>
      </c>
      <c r="J14" s="378">
        <v>1.0537634408602150537634408602</v>
      </c>
      <c r="K14" s="173">
        <v>6.2835028981046124950865330759</v>
      </c>
      <c r="L14" s="379">
        <v>0.1823737821080602302922940655</v>
      </c>
      <c r="M14" s="378">
        <v>32.747311827956989247311827957</v>
      </c>
      <c r="N14" s="173">
        <v>73.626620626151012891344383057</v>
      </c>
      <c r="O14" s="379">
        <v>92.4448979591836734693877551</v>
      </c>
      <c r="P14" s="4"/>
      <c r="Q14" s="359">
        <v>17.019950124848780480221114290</v>
      </c>
      <c r="R14" s="170">
        <v>-14.240920443170220344534122510</v>
      </c>
      <c r="S14" s="360">
        <v>7.0360953443395499061583960900</v>
      </c>
      <c r="T14" s="359">
        <v>0</v>
      </c>
      <c r="U14" s="170">
        <v>22.055474789509684346111976370</v>
      </c>
      <c r="V14" s="360">
        <v>31.786520961543349711463428830</v>
      </c>
      <c r="W14" s="359">
        <v>-27.137546466397092356324678380</v>
      </c>
      <c r="X14" s="170">
        <v>6.0994905197889592159443192500</v>
      </c>
      <c r="Y14" s="360">
        <v>-27.591281863327162612645336250</v>
      </c>
      <c r="Z14" s="359">
        <v>19.877976776116622969263897570</v>
      </c>
      <c r="AA14" s="170">
        <v>-6.660748222101874718680455500</v>
      </c>
      <c r="AB14" s="360">
        <v>8.889423076889048978365395250</v>
      </c>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18</v>
      </c>
      <c r="C15" s="345" t="s">
        <v>52</v>
      </c>
      <c r="D15" s="370">
        <v>52.317204301075268817204301075</v>
      </c>
      <c r="E15" s="172">
        <v>57.027927411667564629407057668</v>
      </c>
      <c r="F15" s="371">
        <v>85.86880739244698415965846737</v>
      </c>
      <c r="G15" s="370">
        <v>1.4516129032258064516129032258</v>
      </c>
      <c r="H15" s="172">
        <v>30.367356970407792204797094901</v>
      </c>
      <c r="I15" s="371">
        <v>8.219274358548453660037936441</v>
      </c>
      <c r="J15" s="370">
        <v>2.1559139784946236559139784946</v>
      </c>
      <c r="K15" s="172">
        <v>6.2818703140572398508787203586</v>
      </c>
      <c r="L15" s="371">
        <v>0.4266574780295054909611925583</v>
      </c>
      <c r="M15" s="370">
        <v>55.924731182795698924731182796</v>
      </c>
      <c r="N15" s="172">
        <v>93.67715469613259668508287293</v>
      </c>
      <c r="O15" s="371">
        <v>94.51473922902494331065759637</v>
      </c>
      <c r="P15" s="4"/>
      <c r="Q15" s="327">
        <v>842.9263565847615828375902562</v>
      </c>
      <c r="R15" s="171">
        <v>-14.133346043100167633390430800</v>
      </c>
      <c r="S15" s="328">
        <v>26.750671612535639110536464800</v>
      </c>
      <c r="T15" s="327">
        <v>0</v>
      </c>
      <c r="U15" s="171">
        <v>68.519508041848093542103238180</v>
      </c>
      <c r="V15" s="328">
        <v>-45.007901267667725863706184420</v>
      </c>
      <c r="W15" s="327">
        <v>0</v>
      </c>
      <c r="X15" s="171">
        <v>-6.1504327087862235893020454400</v>
      </c>
      <c r="Y15" s="328">
        <v>0</v>
      </c>
      <c r="Z15" s="327">
        <v>907.9457364294204074274600601</v>
      </c>
      <c r="AA15" s="171">
        <v>2.7971555247722538450705234700</v>
      </c>
      <c r="AB15" s="328">
        <v>14.296604638667334548818023790</v>
      </c>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19</v>
      </c>
      <c r="C16" s="347" t="s">
        <v>53</v>
      </c>
      <c r="D16" s="378">
        <v>51.629032258064516129032258065</v>
      </c>
      <c r="E16" s="173">
        <v>58.672308789519779334295087716</v>
      </c>
      <c r="F16" s="379">
        <v>87.00611674780724441332601098</v>
      </c>
      <c r="G16" s="378">
        <v>1.4569892473118279569892473118</v>
      </c>
      <c r="H16" s="173">
        <v>30.348317506801434047018404131</v>
      </c>
      <c r="I16" s="379">
        <v>7.3136926314504066281279931297</v>
      </c>
      <c r="J16" s="378">
        <v>1.0806451612903225806451612903</v>
      </c>
      <c r="K16" s="173">
        <v>4.9903681788169081656478341196</v>
      </c>
      <c r="L16" s="379">
        <v>0.1872200992003988451673110824</v>
      </c>
      <c r="M16" s="378">
        <v>54.166666666666666666666666667</v>
      </c>
      <c r="N16" s="173">
        <v>94.01099447513812154696132597</v>
      </c>
      <c r="O16" s="379">
        <v>94.50702947845804988662131519</v>
      </c>
      <c r="P16" s="4"/>
      <c r="Q16" s="359">
        <v>199.81267561707744719890271222</v>
      </c>
      <c r="R16" s="170">
        <v>-1.943162747768924727504839800</v>
      </c>
      <c r="S16" s="360">
        <v>35.193732317692597080230230220</v>
      </c>
      <c r="T16" s="359">
        <v>0</v>
      </c>
      <c r="U16" s="170">
        <v>82.61006125597147285563448470</v>
      </c>
      <c r="V16" s="360">
        <v>-44.041385169922906842837966030</v>
      </c>
      <c r="W16" s="359">
        <v>-48.195876289247263258575546500</v>
      </c>
      <c r="X16" s="170">
        <v>-24.967433206953075095943585570</v>
      </c>
      <c r="Y16" s="360">
        <v>-48.951973222665991038043737910</v>
      </c>
      <c r="Z16" s="359">
        <v>180.56251740466954539416396595</v>
      </c>
      <c r="AA16" s="170">
        <v>13.122975325749892258828853590</v>
      </c>
      <c r="AB16" s="360">
        <v>21.484953420331233844673466750</v>
      </c>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20</v>
      </c>
      <c r="C17" s="345" t="s">
        <v>49</v>
      </c>
      <c r="D17" s="370">
        <v>17.268817204301075268817204301</v>
      </c>
      <c r="E17" s="172">
        <v>39.854068122342367533988794157</v>
      </c>
      <c r="F17" s="371">
        <v>61.512326370331952671460410612</v>
      </c>
      <c r="G17" s="370">
        <v>0</v>
      </c>
      <c r="H17" s="172">
        <v>11.414685554188159514021628132</v>
      </c>
      <c r="I17" s="371">
        <v>3.0279997690807130035752212864</v>
      </c>
      <c r="J17" s="370">
        <v>1.0806451612903225806451612903</v>
      </c>
      <c r="K17" s="172">
        <v>6.6278485334142243332050473215</v>
      </c>
      <c r="L17" s="371">
        <v>0.1975423413129579077308080099</v>
      </c>
      <c r="M17" s="370">
        <v>18.349462365591397849462365591</v>
      </c>
      <c r="N17" s="172">
        <v>57.896602209944751381215469613</v>
      </c>
      <c r="O17" s="371">
        <v>64.737868480725623582766439909</v>
      </c>
      <c r="P17" s="4"/>
      <c r="Q17" s="327">
        <v>-31.934731934636738552822335770</v>
      </c>
      <c r="R17" s="171">
        <v>33.269732082583741090989609130</v>
      </c>
      <c r="S17" s="328">
        <v>25.454734283842520059674518630</v>
      </c>
      <c r="T17" s="327">
        <v>-100</v>
      </c>
      <c r="U17" s="171">
        <v>27.148237744877351988115692400</v>
      </c>
      <c r="V17" s="328">
        <v>-68.470276573783817574876398660</v>
      </c>
      <c r="W17" s="327">
        <v>-25.830258301980909845993940970</v>
      </c>
      <c r="X17" s="171">
        <v>0.2284792337195324710400605100</v>
      </c>
      <c r="Y17" s="328">
        <v>-24.970525770926569733246402260</v>
      </c>
      <c r="Z17" s="327">
        <v>-61.569643058248783116263259740</v>
      </c>
      <c r="AA17" s="171">
        <v>27.259212602777536055608032840</v>
      </c>
      <c r="AB17" s="328">
        <v>9.914453573184757218317015910</v>
      </c>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21</v>
      </c>
      <c r="C18" s="347" t="s">
        <v>47</v>
      </c>
      <c r="D18" s="378">
        <v>22.655913978494623655913978495</v>
      </c>
      <c r="E18" s="173">
        <v>69.017023057809171129499501563</v>
      </c>
      <c r="F18" s="379">
        <v>94.05735829888600854760737056</v>
      </c>
      <c r="G18" s="378">
        <v>3.8978494623655913978494623656</v>
      </c>
      <c r="H18" s="173">
        <v>14.905261950702363365856918052</v>
      </c>
      <c r="I18" s="379">
        <v>8.317887503211191293584623649</v>
      </c>
      <c r="J18" s="378">
        <v>2.1397849462365591397849462366</v>
      </c>
      <c r="K18" s="173">
        <v>6.7830925237168264622863059845</v>
      </c>
      <c r="L18" s="379">
        <v>0.3580875312361334921413391252</v>
      </c>
      <c r="M18" s="378">
        <v>28.698924731182795698924731183</v>
      </c>
      <c r="N18" s="173">
        <v>90.7053775322283609576427256</v>
      </c>
      <c r="O18" s="379">
        <v>102.73333333333333333333333333</v>
      </c>
      <c r="P18" s="4"/>
      <c r="Q18" s="359">
        <v>-48.281786941576947603358486270</v>
      </c>
      <c r="R18" s="170">
        <v>30.443288943342448276451423210</v>
      </c>
      <c r="S18" s="360">
        <v>39.226283939718901588613074310</v>
      </c>
      <c r="T18" s="359">
        <v>-84.30396189649332854811826340</v>
      </c>
      <c r="U18" s="170">
        <v>31.270152536904127116851848350</v>
      </c>
      <c r="V18" s="360">
        <v>-32.677823978972611947078678720</v>
      </c>
      <c r="W18" s="359">
        <v>43.682310472011364673120790960</v>
      </c>
      <c r="X18" s="170">
        <v>6.7940651267817129185497705500</v>
      </c>
      <c r="Y18" s="360">
        <v>56.703740209920485867958569580</v>
      </c>
      <c r="Z18" s="359">
        <v>-59.076970254543858632039252570</v>
      </c>
      <c r="AA18" s="170">
        <v>28.449106694455827805843378050</v>
      </c>
      <c r="AB18" s="360">
        <v>28.190661588696029649149143780</v>
      </c>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22</v>
      </c>
      <c r="C19" s="345" t="s">
        <v>48</v>
      </c>
      <c r="D19" s="370">
        <v>34.263440860215053763440860215</v>
      </c>
      <c r="E19" s="172">
        <v>90.60239859328157057595407113</v>
      </c>
      <c r="F19" s="371">
        <v>103.00773270477864142529876283</v>
      </c>
      <c r="G19" s="370">
        <v>39.962365591397849462365591398</v>
      </c>
      <c r="H19" s="172">
        <v>9.564108620355183744673042058</v>
      </c>
      <c r="I19" s="371">
        <v>18.275430260372673148664320497</v>
      </c>
      <c r="J19" s="370">
        <v>1.0430107526881720430107526882</v>
      </c>
      <c r="K19" s="172">
        <v>5.9805369852582733036822790797</v>
      </c>
      <c r="L19" s="371">
        <v>0.1626420235108169453112930949</v>
      </c>
      <c r="M19" s="370">
        <v>75.268817204301075268817204301</v>
      </c>
      <c r="N19" s="172">
        <v>106.14704419889502762430939227</v>
      </c>
      <c r="O19" s="371">
        <v>121.44580498866213151927437642</v>
      </c>
      <c r="P19" s="4"/>
      <c r="Q19" s="327">
        <v>-38.293958171926263184136598280</v>
      </c>
      <c r="R19" s="171">
        <v>32.274468409853111175422982700</v>
      </c>
      <c r="S19" s="328">
        <v>25.631368353183124855191923700</v>
      </c>
      <c r="T19" s="327">
        <v>40.218826636483682324089794380</v>
      </c>
      <c r="U19" s="171">
        <v>23.037623689474169246830688580</v>
      </c>
      <c r="V19" s="328">
        <v>-27.227722993208151064883848820</v>
      </c>
      <c r="W19" s="327">
        <v>-33.333333331958762886569596480</v>
      </c>
      <c r="X19" s="171">
        <v>0.4173129014373919768795586100</v>
      </c>
      <c r="Y19" s="328">
        <v>-34.435179575601494510648427660</v>
      </c>
      <c r="Z19" s="327">
        <v>-12.060301507576355395065764170</v>
      </c>
      <c r="AA19" s="171">
        <v>29.093771071080578042953905690</v>
      </c>
      <c r="AB19" s="328">
        <v>13.127233708145167216907833960</v>
      </c>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23</v>
      </c>
      <c r="C20" s="347" t="s">
        <v>50</v>
      </c>
      <c r="D20" s="378">
        <v>41.688172043010752688172043011</v>
      </c>
      <c r="E20" s="173">
        <v>78.317340387154268475557663315</v>
      </c>
      <c r="F20" s="379">
        <v>96.1679750885224166377384464</v>
      </c>
      <c r="G20" s="378">
        <v>23.424731182795698924731182796</v>
      </c>
      <c r="H20" s="173">
        <v>13.296500248041082632622869954</v>
      </c>
      <c r="I20" s="379">
        <v>17.508577913443052245912767339</v>
      </c>
      <c r="J20" s="378">
        <v>2.0967741935483870967741935484</v>
      </c>
      <c r="K20" s="173">
        <v>5.4517394753018864608802402072</v>
      </c>
      <c r="L20" s="379">
        <v>0.3370524402114018646481059905</v>
      </c>
      <c r="M20" s="378">
        <v>67.209677419354838709677419355</v>
      </c>
      <c r="N20" s="173">
        <v>97.06558011049723756906077348</v>
      </c>
      <c r="O20" s="379">
        <v>114.01360544217687074829931973</v>
      </c>
      <c r="P20" s="4"/>
      <c r="Q20" s="359">
        <v>-34.343776460612133261540862960</v>
      </c>
      <c r="R20" s="170">
        <v>21.053409395198003141407502030</v>
      </c>
      <c r="S20" s="360">
        <v>7.0274739108786527612392372800</v>
      </c>
      <c r="T20" s="359">
        <v>-20.939938305302448994227001240</v>
      </c>
      <c r="U20" s="170">
        <v>55.817186942951752232047686420</v>
      </c>
      <c r="V20" s="360">
        <v>61.770162630230463283991582810</v>
      </c>
      <c r="W20" s="359">
        <v>31.756756753640887509204438470</v>
      </c>
      <c r="X20" s="170">
        <v>-6.2910565509343917584909426100</v>
      </c>
      <c r="Y20" s="360">
        <v>34.646608726260238849931734600</v>
      </c>
      <c r="Z20" s="359">
        <v>-29.040131690949690923588080700</v>
      </c>
      <c r="AA20" s="170">
        <v>22.793755078151463861159587660</v>
      </c>
      <c r="AB20" s="360">
        <v>12.966424617136594000010785370</v>
      </c>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24</v>
      </c>
      <c r="C21" s="345" t="s">
        <v>51</v>
      </c>
      <c r="D21" s="370">
        <v>8.672043010752688172043010753</v>
      </c>
      <c r="E21" s="172">
        <v>59.550296691879455922093005153</v>
      </c>
      <c r="F21" s="371">
        <v>74.469089380180751041757158585</v>
      </c>
      <c r="G21" s="370">
        <v>0</v>
      </c>
      <c r="H21" s="172">
        <v>12.043184514240243490353095401</v>
      </c>
      <c r="I21" s="371">
        <v>12.987042408984293158044454741</v>
      </c>
      <c r="J21" s="370">
        <v>0.4784946236559139784946236559</v>
      </c>
      <c r="K21" s="172">
        <v>5.6676237662559911952887060792</v>
      </c>
      <c r="L21" s="371">
        <v>0.0812831768213503580215159263</v>
      </c>
      <c r="M21" s="370">
        <v>9.150537634408602150537634409</v>
      </c>
      <c r="N21" s="172">
        <v>77.26110497237569060773480663</v>
      </c>
      <c r="O21" s="371">
        <v>87.53741496598639455782312925</v>
      </c>
      <c r="P21" s="4"/>
      <c r="Q21" s="327">
        <v>-83.20316567740402573222213198</v>
      </c>
      <c r="R21" s="171">
        <v>13.575509629163610727010048330</v>
      </c>
      <c r="S21" s="328">
        <v>5.9042840311488326783193989900</v>
      </c>
      <c r="T21" s="327">
        <v>-100</v>
      </c>
      <c r="U21" s="171">
        <v>23.309230522349989158524751540</v>
      </c>
      <c r="V21" s="328">
        <v>41.996356831698527330557934320</v>
      </c>
      <c r="W21" s="327">
        <v>-66.791044777185063488493315130</v>
      </c>
      <c r="X21" s="171">
        <v>-10.226460194486212023455069690</v>
      </c>
      <c r="Y21" s="328">
        <v>-64.872132137511412374122942870</v>
      </c>
      <c r="Z21" s="327">
        <v>-88.13523875915283785604485107</v>
      </c>
      <c r="AA21" s="171">
        <v>12.769787871038027606159453710</v>
      </c>
      <c r="AB21" s="328">
        <v>9.840832655196557147839330370</v>
      </c>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25</v>
      </c>
      <c r="C22" s="347" t="s">
        <v>52</v>
      </c>
      <c r="D22" s="378">
        <v>2.6881720430107526881720430108</v>
      </c>
      <c r="E22" s="173">
        <v>65.223058555979389740209235791</v>
      </c>
      <c r="F22" s="379">
        <v>77.855677239488463544523101728</v>
      </c>
      <c r="G22" s="378">
        <v>0</v>
      </c>
      <c r="H22" s="173">
        <v>39.675063662160808928737084031</v>
      </c>
      <c r="I22" s="379">
        <v>18.833735692884840939880349166</v>
      </c>
      <c r="J22" s="378">
        <v>0.6182795698924731182795698925</v>
      </c>
      <c r="K22" s="173">
        <v>5.6797230857272046459708072517</v>
      </c>
      <c r="L22" s="379">
        <v>0.1051448907559472162768212124</v>
      </c>
      <c r="M22" s="378">
        <v>3.3064516129032258064516129032</v>
      </c>
      <c r="N22" s="173">
        <v>110.57784530386740331491712707</v>
      </c>
      <c r="O22" s="379">
        <v>96.79455782312925170068027211</v>
      </c>
      <c r="P22" s="4"/>
      <c r="Q22" s="359">
        <v>-93.69641956631032841177237814</v>
      </c>
      <c r="R22" s="170">
        <v>-0.7722753577276182407256511900</v>
      </c>
      <c r="S22" s="360">
        <v>7.8948080289325838974284301400</v>
      </c>
      <c r="T22" s="359">
        <v>-100</v>
      </c>
      <c r="U22" s="170">
        <v>64.808014345787102209950190740</v>
      </c>
      <c r="V22" s="360">
        <v>17.886788075192138265305721030</v>
      </c>
      <c r="W22" s="359">
        <v>-55.938697319527018100092938070</v>
      </c>
      <c r="X22" s="170">
        <v>-2.4010825912822798419865131900</v>
      </c>
      <c r="Y22" s="360">
        <v>-55.529048593543376597501174790</v>
      </c>
      <c r="Z22" s="359">
        <v>-93.16894368544501605096423357</v>
      </c>
      <c r="AA22" s="170">
        <v>15.638610432461078819840058870</v>
      </c>
      <c r="AB22" s="360">
        <v>9.531507397692179909401436980</v>
      </c>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26</v>
      </c>
      <c r="C23" s="345" t="s">
        <v>53</v>
      </c>
      <c r="D23" s="370">
        <v>2.9569892473118279569892473118</v>
      </c>
      <c r="E23" s="172">
        <v>62.430204349518244107843235814</v>
      </c>
      <c r="F23" s="371">
        <v>73.17559898316119122175834395</v>
      </c>
      <c r="G23" s="370">
        <v>0</v>
      </c>
      <c r="H23" s="172">
        <v>38.520612782867327199065929252</v>
      </c>
      <c r="I23" s="371">
        <v>16.040124615949860354173677898</v>
      </c>
      <c r="J23" s="370">
        <v>1.005376344086021505376344086</v>
      </c>
      <c r="K23" s="172">
        <v>4.7780502709293458201626581378</v>
      </c>
      <c r="L23" s="371">
        <v>0.1693104144943906009387264488</v>
      </c>
      <c r="M23" s="370">
        <v>3.9623655913978494623655913978</v>
      </c>
      <c r="N23" s="172">
        <v>105.7288674033149171270718232</v>
      </c>
      <c r="O23" s="371">
        <v>89.3850340136054421768707483</v>
      </c>
      <c r="P23" s="4"/>
      <c r="Q23" s="327">
        <v>-90.37620297462412998900071704</v>
      </c>
      <c r="R23" s="171">
        <v>4.7751860624851312813141766600</v>
      </c>
      <c r="S23" s="328">
        <v>15.676797147730755246067950990</v>
      </c>
      <c r="T23" s="327">
        <v>0</v>
      </c>
      <c r="U23" s="171">
        <v>47.450294407796914711461418040</v>
      </c>
      <c r="V23" s="328">
        <v>8.744594197568648662900266090</v>
      </c>
      <c r="W23" s="327">
        <v>-30.223880599254009801665729540</v>
      </c>
      <c r="X23" s="171">
        <v>-16.865072187064266289970684360</v>
      </c>
      <c r="Y23" s="328">
        <v>-31.283430355523696440002094880</v>
      </c>
      <c r="Z23" s="327">
        <v>-87.68176500084846616362940657</v>
      </c>
      <c r="AA23" s="171">
        <v>15.605342662704535417184795830</v>
      </c>
      <c r="AB23" s="328">
        <v>14.222296917448315061433641270</v>
      </c>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27</v>
      </c>
      <c r="C24" s="347" t="s">
        <v>49</v>
      </c>
      <c r="D24" s="378">
        <v>4.0268817204301075268817204301</v>
      </c>
      <c r="E24" s="173">
        <v>39.439603009559438506759310638</v>
      </c>
      <c r="F24" s="379">
        <v>53.643599300254925444175143669</v>
      </c>
      <c r="G24" s="378">
        <v>0</v>
      </c>
      <c r="H24" s="173">
        <v>14.32494846044486396937602033</v>
      </c>
      <c r="I24" s="379">
        <v>6.3767241257519557804923412404</v>
      </c>
      <c r="J24" s="378">
        <v>1.1827956989247311827956989247</v>
      </c>
      <c r="K24" s="173">
        <v>5.8243067252074838958720355134</v>
      </c>
      <c r="L24" s="379">
        <v>0.2127831499568375961941930946</v>
      </c>
      <c r="M24" s="378">
        <v>5.2096774193548387096774193548</v>
      </c>
      <c r="N24" s="173">
        <v>59.588858195211786372007366483</v>
      </c>
      <c r="O24" s="379">
        <v>60.233106575963718820861678005</v>
      </c>
      <c r="P24" s="4"/>
      <c r="Q24" s="359">
        <v>-79.41742236874869594235023143</v>
      </c>
      <c r="R24" s="170">
        <v>24.764923819051610776759388670</v>
      </c>
      <c r="S24" s="360">
        <v>-0.556352795171252877828307900</v>
      </c>
      <c r="T24" s="359">
        <v>0</v>
      </c>
      <c r="U24" s="170">
        <v>34.681151731885327139525048610</v>
      </c>
      <c r="V24" s="360">
        <v>523.03772554944642036794561852</v>
      </c>
      <c r="W24" s="359">
        <v>19.565217394683364839414964660</v>
      </c>
      <c r="X24" s="170">
        <v>-4.6211458778223069016884843500</v>
      </c>
      <c r="Y24" s="360">
        <v>9.034375355219310808124669720</v>
      </c>
      <c r="Z24" s="359">
        <v>-74.653413549617463965402257590</v>
      </c>
      <c r="AA24" s="170">
        <v>23.235054677716178833629445070</v>
      </c>
      <c r="AB24" s="360">
        <v>9.192406666041219598682972540</v>
      </c>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28</v>
      </c>
      <c r="C25" s="345" t="s">
        <v>47</v>
      </c>
      <c r="D25" s="370">
        <v>21.564516129032258064516129032</v>
      </c>
      <c r="E25" s="172">
        <v>61.780221736352614080947843974</v>
      </c>
      <c r="F25" s="371">
        <v>87.24417741080843631521673863</v>
      </c>
      <c r="G25" s="370">
        <v>36.279569892473118279569892473</v>
      </c>
      <c r="H25" s="172">
        <v>29.566149874949155322336128532</v>
      </c>
      <c r="I25" s="371">
        <v>14.395175310613586269690862976</v>
      </c>
      <c r="J25" s="370">
        <v>1.5860215053763440860215053763</v>
      </c>
      <c r="K25" s="172">
        <v>5.2581863997479543536221048431</v>
      </c>
      <c r="L25" s="371">
        <v>0.258606462251446802847500431</v>
      </c>
      <c r="M25" s="370">
        <v>59.430107526881720430107526882</v>
      </c>
      <c r="N25" s="172">
        <v>96.60455801104972375690607735</v>
      </c>
      <c r="O25" s="371">
        <v>101.89795918367346938775510204</v>
      </c>
      <c r="P25" s="4"/>
      <c r="Q25" s="327">
        <v>-40.098566308243727598566308240</v>
      </c>
      <c r="R25" s="171">
        <v>5.9478649201788589112586948700</v>
      </c>
      <c r="S25" s="328">
        <v>19.355675156093919780763505750</v>
      </c>
      <c r="T25" s="327">
        <v>0</v>
      </c>
      <c r="U25" s="171">
        <v>190.31461478404112890348046451</v>
      </c>
      <c r="V25" s="328">
        <v>515.85059721133369475676025625</v>
      </c>
      <c r="W25" s="327">
        <v>5.7347670250896057347670250900</v>
      </c>
      <c r="X25" s="171">
        <v>-10.000068663371970736948775490</v>
      </c>
      <c r="Y25" s="328">
        <v>-3.2427748739780129536314648600</v>
      </c>
      <c r="Z25" s="327">
        <v>58.480286738351254480286738350</v>
      </c>
      <c r="AA25" s="171">
        <v>29.952225664209036906687967040</v>
      </c>
      <c r="AB25" s="328">
        <v>34.606398274638298734521659760</v>
      </c>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29</v>
      </c>
      <c r="C26" s="347" t="s">
        <v>48</v>
      </c>
      <c r="D26" s="378">
        <v>33.731182795698924731182795699</v>
      </c>
      <c r="E26" s="173">
        <v>73.912262416344966998966465746</v>
      </c>
      <c r="F26" s="379">
        <v>101.33509485906311425388348127</v>
      </c>
      <c r="G26" s="378">
        <v>34.89247311827956989247311828</v>
      </c>
      <c r="H26" s="173">
        <v>26.387127803851368493939986689</v>
      </c>
      <c r="I26" s="379">
        <v>11.853938054348452720942606768</v>
      </c>
      <c r="J26" s="378">
        <v>1.5215053763440860215053763441</v>
      </c>
      <c r="K26" s="173">
        <v>5.2392930210559665328762363231</v>
      </c>
      <c r="L26" s="379">
        <v>0.2472482657267550206387645722</v>
      </c>
      <c r="M26" s="378">
        <v>70.145161290322580645161290323</v>
      </c>
      <c r="N26" s="173">
        <v>105.53868324125230202578268877</v>
      </c>
      <c r="O26" s="379">
        <v>113.43628117913832199546485261</v>
      </c>
      <c r="P26" s="4"/>
      <c r="Q26" s="359">
        <v>5.6051169835199117983406377300</v>
      </c>
      <c r="R26" s="170">
        <v>26.695648383284830541489124320</v>
      </c>
      <c r="S26" s="360">
        <v>18.993582422543358304560439670</v>
      </c>
      <c r="T26" s="359">
        <v>0</v>
      </c>
      <c r="U26" s="170">
        <v>13.989907402894682067942142030</v>
      </c>
      <c r="V26" s="360">
        <v>186.60907732702687670156270798</v>
      </c>
      <c r="W26" s="359">
        <v>58.988764046908849892714603760</v>
      </c>
      <c r="X26" s="170">
        <v>-12.256826717290228912130826330</v>
      </c>
      <c r="Y26" s="360">
        <v>48.880654953865105443309041050</v>
      </c>
      <c r="Z26" s="359">
        <v>113.22111456097979814786888859</v>
      </c>
      <c r="AA26" s="170">
        <v>20.673203012824597714722691940</v>
      </c>
      <c r="AB26" s="360">
        <v>26.798097980335164588896661650</v>
      </c>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30</v>
      </c>
      <c r="C27" s="345" t="s">
        <v>50</v>
      </c>
      <c r="D27" s="370">
        <v>38.908602150537634408602150538</v>
      </c>
      <c r="E27" s="172">
        <v>58.634020181556343213709015772</v>
      </c>
      <c r="F27" s="371">
        <v>89.75911637155871362402084472</v>
      </c>
      <c r="G27" s="370">
        <v>35.930107526881720430107526882</v>
      </c>
      <c r="H27" s="172">
        <v>31.349918031114450269648631183</v>
      </c>
      <c r="I27" s="371">
        <v>9.437546194988152667228602729</v>
      </c>
      <c r="J27" s="370">
        <v>1.5698924731182795698924731183</v>
      </c>
      <c r="K27" s="172">
        <v>5.257231216426812409828356728</v>
      </c>
      <c r="L27" s="371">
        <v>0.2441537599837459536485117389</v>
      </c>
      <c r="M27" s="370">
        <v>76.403225806451612903225806452</v>
      </c>
      <c r="N27" s="172">
        <v>95.24116942909760589318600368</v>
      </c>
      <c r="O27" s="371">
        <v>99.44081632653061224489795918</v>
      </c>
      <c r="P27" s="4"/>
      <c r="Q27" s="327">
        <v>93.65801444973090551213590679</v>
      </c>
      <c r="R27" s="171">
        <v>0.8219550044854449574543966900</v>
      </c>
      <c r="S27" s="328">
        <v>6.2234698874336658200535472500</v>
      </c>
      <c r="T27" s="327">
        <v>0</v>
      </c>
      <c r="U27" s="171">
        <v>51.191076057911505592650275880</v>
      </c>
      <c r="V27" s="328">
        <v>7149.4234660546235705715178199</v>
      </c>
      <c r="W27" s="327">
        <v>60.439560432331843980521312530</v>
      </c>
      <c r="X27" s="171">
        <v>-10.437692594584475177345080310</v>
      </c>
      <c r="Y27" s="328">
        <v>43.235677976439483428885618830</v>
      </c>
      <c r="Z27" s="327">
        <v>262.61801480000839531776474319</v>
      </c>
      <c r="AA27" s="171">
        <v>12.364091172402181525577894600</v>
      </c>
      <c r="AB27" s="328">
        <v>17.263859326336891353801883550</v>
      </c>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31</v>
      </c>
      <c r="C28" s="347" t="s">
        <v>51</v>
      </c>
      <c r="D28" s="378">
        <v>18.725806451612903225806451613</v>
      </c>
      <c r="E28" s="173">
        <v>45.478552246537060704455032468</v>
      </c>
      <c r="F28" s="379">
        <v>74.114020984198755581680995098</v>
      </c>
      <c r="G28" s="378">
        <v>0</v>
      </c>
      <c r="H28" s="173">
        <v>8.478395293531332191114262076</v>
      </c>
      <c r="I28" s="379">
        <v>5.8133915243897332797908830776</v>
      </c>
      <c r="J28" s="378">
        <v>0.8602150537634408602150537634</v>
      </c>
      <c r="K28" s="173">
        <v>5.7311647987898023162170774645</v>
      </c>
      <c r="L28" s="379">
        <v>0.1483244528627583040610016413</v>
      </c>
      <c r="M28" s="378">
        <v>19.586021505376344086021505376</v>
      </c>
      <c r="N28" s="173">
        <v>59.688112338858195211786372007</v>
      </c>
      <c r="O28" s="379">
        <v>80.07573696145124716553287982</v>
      </c>
      <c r="P28" s="4"/>
      <c r="Q28" s="359">
        <v>-9.673236514527506574869578450</v>
      </c>
      <c r="R28" s="170">
        <v>1.451182138909558009236708800</v>
      </c>
      <c r="S28" s="360">
        <v>7.354713425571530018727705500</v>
      </c>
      <c r="T28" s="359">
        <v>0</v>
      </c>
      <c r="U28" s="170">
        <v>-28.755966892136777035025589040</v>
      </c>
      <c r="V28" s="360">
        <v>387.17117160881180766963139810</v>
      </c>
      <c r="W28" s="359">
        <v>-43.262411349087068054883407340</v>
      </c>
      <c r="X28" s="170">
        <v>-2.7192444637027891460130696700</v>
      </c>
      <c r="Y28" s="360">
        <v>-44.85921249492292404893457700</v>
      </c>
      <c r="Z28" s="359">
        <v>-11.962300628493064667707118290</v>
      </c>
      <c r="AA28" s="170">
        <v>-4.681848547209603594875822500</v>
      </c>
      <c r="AB28" s="360">
        <v>13.58443229326445834787336100</v>
      </c>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t="s">
        <v>145</v>
      </c>
      <c r="B29" s="666">
        <v>1</v>
      </c>
      <c r="C29" s="677" t="s">
        <v>52</v>
      </c>
      <c r="D29" s="678">
        <v>34.924731182795698924731182796</v>
      </c>
      <c r="E29" s="679">
        <v>60.987126947316676819328577797</v>
      </c>
      <c r="F29" s="680">
        <v>77.320670337791127321271067247</v>
      </c>
      <c r="G29" s="678">
        <v>0</v>
      </c>
      <c r="H29" s="679">
        <v>19.167934212287933488305532255</v>
      </c>
      <c r="I29" s="680">
        <v>8.535278552528069799041693485</v>
      </c>
      <c r="J29" s="678">
        <v>2.1290322580645161290322580645</v>
      </c>
      <c r="K29" s="679">
        <v>5.0406110319239348120712306455</v>
      </c>
      <c r="L29" s="680">
        <v>0.3662733319030251019094614889</v>
      </c>
      <c r="M29" s="678">
        <v>37.05376344086021505376344086</v>
      </c>
      <c r="N29" s="679">
        <v>85.1956721915285451197053407</v>
      </c>
      <c r="O29" s="680">
        <v>86.22222222222222222222222222</v>
      </c>
      <c r="P29" s="4"/>
      <c r="Q29" s="668">
        <v>19.367879456200769303392775480</v>
      </c>
      <c r="R29" s="669">
        <v>22.041672828475043798563749690</v>
      </c>
      <c r="S29" s="670">
        <v>7.039754100216335881111144400</v>
      </c>
      <c r="T29" s="668">
        <v>-100</v>
      </c>
      <c r="U29" s="669">
        <v>-14.856551447463252370838218230</v>
      </c>
      <c r="V29" s="670">
        <v>29.689675092153329837674461610</v>
      </c>
      <c r="W29" s="668">
        <v>0</v>
      </c>
      <c r="X29" s="669">
        <v>-15.566770379405794505368901870</v>
      </c>
      <c r="Y29" s="670">
        <v>0</v>
      </c>
      <c r="Z29" s="668">
        <v>24.090745408562510430540470820</v>
      </c>
      <c r="AA29" s="669">
        <v>8.591998187895315315131945200</v>
      </c>
      <c r="AB29" s="670">
        <v>9.395768480463859767033910650</v>
      </c>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v>
      </c>
      <c r="C30" s="347" t="s">
        <v>53</v>
      </c>
      <c r="D30" s="378">
        <v>43.887096774193548387096774194</v>
      </c>
      <c r="E30" s="173">
        <v>52.625804922768656135709283325</v>
      </c>
      <c r="F30" s="379">
        <v>79.228064804965217457851517959</v>
      </c>
      <c r="G30" s="378">
        <v>0</v>
      </c>
      <c r="H30" s="173">
        <v>30.732566525552236780934936721</v>
      </c>
      <c r="I30" s="379">
        <v>3.4541934200154589076215475745</v>
      </c>
      <c r="J30" s="378">
        <v>1.0591397849462365591397849462</v>
      </c>
      <c r="K30" s="173">
        <v>4.4285806695428271570206050014</v>
      </c>
      <c r="L30" s="379">
        <v>0.1748846321621807773840773252</v>
      </c>
      <c r="M30" s="378">
        <v>44.94623655913978494623655914</v>
      </c>
      <c r="N30" s="173">
        <v>87.78695211786372007366482505</v>
      </c>
      <c r="O30" s="379">
        <v>82.85714285714285714285714286</v>
      </c>
      <c r="P30" s="4"/>
      <c r="Q30" s="359">
        <v>75.134091397019127480372101370</v>
      </c>
      <c r="R30" s="170">
        <v>8.881812157516425406625389200</v>
      </c>
      <c r="S30" s="360">
        <v>15.522174407021650669112681610</v>
      </c>
      <c r="T30" s="359">
        <v>-100</v>
      </c>
      <c r="U30" s="170">
        <v>176.98199945078065739245728671</v>
      </c>
      <c r="V30" s="360">
        <v>-35.578661844280631508941528600</v>
      </c>
      <c r="W30" s="359">
        <v>114.13043478866020793967952761</v>
      </c>
      <c r="X30" s="170">
        <v>-29.614527428424352423051148550</v>
      </c>
      <c r="Y30" s="360">
        <v>86.72833643927795899648657668</v>
      </c>
      <c r="Z30" s="359">
        <v>72.122709491498156732837100640</v>
      </c>
      <c r="AA30" s="170">
        <v>33.576476146546167974453056390</v>
      </c>
      <c r="AB30" s="360">
        <v>11.911499871358894295094458530</v>
      </c>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3</v>
      </c>
      <c r="C31" s="345" t="s">
        <v>49</v>
      </c>
      <c r="D31" s="370">
        <v>12.123655913978494623655913978</v>
      </c>
      <c r="E31" s="172">
        <v>30.725029958965908428552712169</v>
      </c>
      <c r="F31" s="371">
        <v>53.244085768693386496348947247</v>
      </c>
      <c r="G31" s="370">
        <v>0</v>
      </c>
      <c r="H31" s="172">
        <v>15.528679837642821163097417785</v>
      </c>
      <c r="I31" s="371">
        <v>1.7765905003307270432441677846</v>
      </c>
      <c r="J31" s="370">
        <v>1.0537634408602150537634408602</v>
      </c>
      <c r="K31" s="172">
        <v>6.0577819160984527287918589947</v>
      </c>
      <c r="L31" s="371">
        <v>0.1911151141958411089329620668</v>
      </c>
      <c r="M31" s="370">
        <v>13.177419354838709677419354839</v>
      </c>
      <c r="N31" s="172">
        <v>52.31149171270718232044198895</v>
      </c>
      <c r="O31" s="371">
        <v>55.211791383219954648526077098</v>
      </c>
      <c r="P31" s="4"/>
      <c r="Q31" s="327">
        <v>-38.805970149286943842524131920</v>
      </c>
      <c r="R31" s="171">
        <v>1.7413797999327241855172644700</v>
      </c>
      <c r="S31" s="328">
        <v>3.1880265785560500782891319800</v>
      </c>
      <c r="T31" s="327">
        <v>0</v>
      </c>
      <c r="U31" s="171">
        <v>36.809448768298075730226413780</v>
      </c>
      <c r="V31" s="328">
        <v>0</v>
      </c>
      <c r="W31" s="327">
        <v>0</v>
      </c>
      <c r="X31" s="171">
        <v>9.727155939986090778994417240</v>
      </c>
      <c r="Y31" s="328">
        <v>0</v>
      </c>
      <c r="Z31" s="327">
        <v>-33.487109905056452043470797040</v>
      </c>
      <c r="AA31" s="171">
        <v>11.134329461810918092001660260</v>
      </c>
      <c r="AB31" s="328">
        <v>7.0014765856163212816219305900</v>
      </c>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4</v>
      </c>
      <c r="C32" s="347" t="s">
        <v>47</v>
      </c>
      <c r="D32" s="378">
        <v>16.677419354838709677419354839</v>
      </c>
      <c r="E32" s="173">
        <v>50.104818373518820391857103908</v>
      </c>
      <c r="F32" s="379">
        <v>80.9501524928615038813115101</v>
      </c>
      <c r="G32" s="378">
        <v>0</v>
      </c>
      <c r="H32" s="173">
        <v>16.695241821416371151607748026</v>
      </c>
      <c r="I32" s="379">
        <v>8.544648356084534283131034239</v>
      </c>
      <c r="J32" s="378">
        <v>2.3172043010752688172043010753</v>
      </c>
      <c r="K32" s="173">
        <v>5.0184204680482338708997889517</v>
      </c>
      <c r="L32" s="379">
        <v>0.3877388335936443752399953419</v>
      </c>
      <c r="M32" s="378">
        <v>18.994623655913978494623655914</v>
      </c>
      <c r="N32" s="173">
        <v>71.818480662983425414364640884</v>
      </c>
      <c r="O32" s="379">
        <v>89.88253968253968253968253968</v>
      </c>
      <c r="P32" s="4"/>
      <c r="Q32" s="359">
        <v>21.124560718478807072293516500</v>
      </c>
      <c r="R32" s="170">
        <v>12.624544731786103986301091300</v>
      </c>
      <c r="S32" s="360">
        <v>2.0955296974810607324842448800</v>
      </c>
      <c r="T32" s="359">
        <v>0</v>
      </c>
      <c r="U32" s="170">
        <v>72.159909688739888734917827120</v>
      </c>
      <c r="V32" s="360">
        <v>93.61154664461567701929030416</v>
      </c>
      <c r="W32" s="359">
        <v>79.58333333961875000021998959</v>
      </c>
      <c r="X32" s="170">
        <v>-4.9690562315305440550164792200</v>
      </c>
      <c r="Y32" s="360">
        <v>76.922029495453359713656004510</v>
      </c>
      <c r="Z32" s="359">
        <v>26.133523741908157195351806550</v>
      </c>
      <c r="AA32" s="170">
        <v>20.770894158216889353920895060</v>
      </c>
      <c r="AB32" s="360">
        <v>7.1036390951109188665065912100</v>
      </c>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5</v>
      </c>
      <c r="C33" s="345" t="s">
        <v>48</v>
      </c>
      <c r="D33" s="370">
        <v>29.795698924731182795698924731</v>
      </c>
      <c r="E33" s="172">
        <v>59.886914190921053227488524352</v>
      </c>
      <c r="F33" s="371">
        <v>96.31540963666283536260713106</v>
      </c>
      <c r="G33" s="370">
        <v>0</v>
      </c>
      <c r="H33" s="172">
        <v>6.8735733317440966651144847393</v>
      </c>
      <c r="I33" s="371">
        <v>9.517159082550880047249090751</v>
      </c>
      <c r="J33" s="370">
        <v>1.0752688172043010752688172043</v>
      </c>
      <c r="K33" s="172">
        <v>5.3274222379241687077653150331</v>
      </c>
      <c r="L33" s="371">
        <v>0.1833042966593004631596512086</v>
      </c>
      <c r="M33" s="370">
        <v>30.870967741935483870967741935</v>
      </c>
      <c r="N33" s="172">
        <v>72.087909760589318600368324125</v>
      </c>
      <c r="O33" s="371">
        <v>106.01587301587301587301587302</v>
      </c>
      <c r="P33" s="4"/>
      <c r="Q33" s="327">
        <v>11.666330848380750578662613630</v>
      </c>
      <c r="R33" s="171">
        <v>11.254167496806514355229085770</v>
      </c>
      <c r="S33" s="328">
        <v>-0.1077110854886882174048073100</v>
      </c>
      <c r="T33" s="327">
        <v>0</v>
      </c>
      <c r="U33" s="171">
        <v>-28.607346782202780289818486340</v>
      </c>
      <c r="V33" s="328">
        <v>91.11776699613176720032737007</v>
      </c>
      <c r="W33" s="327">
        <v>117.39130435396975425348175392</v>
      </c>
      <c r="X33" s="171">
        <v>11.444473850185250916457119860</v>
      </c>
      <c r="Y33" s="328">
        <v>119.41989220518530051328460555</v>
      </c>
      <c r="Z33" s="327">
        <v>13.590504451200366297141175590</v>
      </c>
      <c r="AA33" s="171">
        <v>5.643279600493629408482521400</v>
      </c>
      <c r="AB33" s="328">
        <v>4.4671067038291312551630701700</v>
      </c>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6</v>
      </c>
      <c r="C34" s="347" t="s">
        <v>50</v>
      </c>
      <c r="D34" s="378">
        <v>35.887096774193548387096774194</v>
      </c>
      <c r="E34" s="173">
        <v>59.742312377725148066266896786</v>
      </c>
      <c r="F34" s="379">
        <v>90.83240664911670021391841906</v>
      </c>
      <c r="G34" s="378">
        <v>0</v>
      </c>
      <c r="H34" s="173">
        <v>5.3659689757756056098597535062</v>
      </c>
      <c r="I34" s="379">
        <v>12.64133626478907216961666276</v>
      </c>
      <c r="J34" s="378">
        <v>2.6451612903225806451612903226</v>
      </c>
      <c r="K34" s="173">
        <v>4.6493153315821192520501452872</v>
      </c>
      <c r="L34" s="379">
        <v>0.4423568593368580019524465205</v>
      </c>
      <c r="M34" s="378">
        <v>38.532258064516129032258064516</v>
      </c>
      <c r="N34" s="173">
        <v>69.75759668508287292817679558</v>
      </c>
      <c r="O34" s="379">
        <v>103.91609977324263038548752834</v>
      </c>
      <c r="P34" s="4"/>
      <c r="Q34" s="359">
        <v>15.384615384743035702413544590</v>
      </c>
      <c r="R34" s="170">
        <v>14.218504085839337522435133270</v>
      </c>
      <c r="S34" s="360">
        <v>3.2156485440922774016568353800</v>
      </c>
      <c r="T34" s="359">
        <v>0</v>
      </c>
      <c r="U34" s="170">
        <v>-81.91863537320216604858935277</v>
      </c>
      <c r="V34" s="360">
        <v>132.91937609957358788935490694</v>
      </c>
      <c r="W34" s="359">
        <v>73.851590111044463035019662890</v>
      </c>
      <c r="X34" s="170">
        <v>1.0363555029528979175946483100</v>
      </c>
      <c r="Y34" s="360">
        <v>69.317725128918138606070938600</v>
      </c>
      <c r="Z34" s="359">
        <v>18.111404086935984572124630200</v>
      </c>
      <c r="AA34" s="170">
        <v>-19.433339820670079407806132370</v>
      </c>
      <c r="AB34" s="360">
        <v>10.913456185936036555411295420</v>
      </c>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7</v>
      </c>
      <c r="C35" s="345" t="s">
        <v>51</v>
      </c>
      <c r="D35" s="370">
        <v>31.408602150537634408602150538</v>
      </c>
      <c r="E35" s="172">
        <v>43.939546109712368413402141949</v>
      </c>
      <c r="F35" s="371">
        <v>75.466902323830791370127612363</v>
      </c>
      <c r="G35" s="370">
        <v>0</v>
      </c>
      <c r="H35" s="172">
        <v>3.4636094666081248955563199062</v>
      </c>
      <c r="I35" s="371">
        <v>9.140340279970245403463514191</v>
      </c>
      <c r="J35" s="370">
        <v>1.0752688172043010752688172043</v>
      </c>
      <c r="K35" s="172">
        <v>5.0602514218378860648905252531</v>
      </c>
      <c r="L35" s="371">
        <v>0.1868617045889859021458349012</v>
      </c>
      <c r="M35" s="370">
        <v>32.483870967741935483870967742</v>
      </c>
      <c r="N35" s="172">
        <v>52.463406998158379373848987109</v>
      </c>
      <c r="O35" s="371">
        <v>84.79410430839002267573696145</v>
      </c>
      <c r="P35" s="4"/>
      <c r="Q35" s="327">
        <v>21.203319502185330831080833080</v>
      </c>
      <c r="R35" s="171">
        <v>38.742274333533546130301845950</v>
      </c>
      <c r="S35" s="328">
        <v>13.850334044496730451517622530</v>
      </c>
      <c r="T35" s="327">
        <v>0</v>
      </c>
      <c r="U35" s="171">
        <v>-89.98672395005408688407177620</v>
      </c>
      <c r="V35" s="328">
        <v>92.44266006450321773612619925</v>
      </c>
      <c r="W35" s="327">
        <v>-28.315412186379928315412186380</v>
      </c>
      <c r="X35" s="171">
        <v>10.043220966240882479879727560</v>
      </c>
      <c r="Y35" s="328">
        <v>-27.237972552134942394221729230</v>
      </c>
      <c r="Z35" s="327">
        <v>18.493822318203838560149067840</v>
      </c>
      <c r="AA35" s="171">
        <v>-25.960318550469222237094507010</v>
      </c>
      <c r="AB35" s="328">
        <v>18.938295165398941665209875280</v>
      </c>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8</v>
      </c>
      <c r="C36" s="347" t="s">
        <v>52</v>
      </c>
      <c r="D36" s="378">
        <v>72.758064516129032258064516129</v>
      </c>
      <c r="E36" s="173">
        <v>42.859358461668145392305197542</v>
      </c>
      <c r="F36" s="379">
        <v>78.137844559966200701702823342</v>
      </c>
      <c r="G36" s="378">
        <v>0</v>
      </c>
      <c r="H36" s="173">
        <v>3.3955287765724139803150900023</v>
      </c>
      <c r="I36" s="379">
        <v>7.330336707140101765278568673</v>
      </c>
      <c r="J36" s="378">
        <v>2.1559139784946236559139784946</v>
      </c>
      <c r="K36" s="173">
        <v>4.3005455426065861154091783858</v>
      </c>
      <c r="L36" s="379">
        <v>0.3644717941181873289369753302</v>
      </c>
      <c r="M36" s="378">
        <v>74.913978494623655913978494624</v>
      </c>
      <c r="N36" s="173">
        <v>50.55543278084714548802946593</v>
      </c>
      <c r="O36" s="379">
        <v>85.83265306122448979591836735</v>
      </c>
      <c r="P36" s="4"/>
      <c r="Q36" s="359">
        <v>71.956797966919451893782231400</v>
      </c>
      <c r="R36" s="170">
        <v>1.5381181766820713329025167300</v>
      </c>
      <c r="S36" s="360">
        <v>19.230393914788540031683683720</v>
      </c>
      <c r="T36" s="359">
        <v>0</v>
      </c>
      <c r="U36" s="170">
        <v>-77.547100652899813545684854790</v>
      </c>
      <c r="V36" s="360">
        <v>38.805535179290697581031573140</v>
      </c>
      <c r="W36" s="359">
        <v>114.43850267081529354575337025</v>
      </c>
      <c r="X36" s="170">
        <v>-13.397338313422262361910757960</v>
      </c>
      <c r="Y36" s="360">
        <v>96.34362801421928182548463920</v>
      </c>
      <c r="Z36" s="359">
        <v>72.942782673352918356671537370</v>
      </c>
      <c r="AA36" s="170">
        <v>-18.850133505170411309103828110</v>
      </c>
      <c r="AB36" s="360">
        <v>20.887971946604894274139925110</v>
      </c>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9</v>
      </c>
      <c r="C37" s="349" t="s">
        <v>53</v>
      </c>
      <c r="D37" s="380">
        <v>69.166666666666666666666666667</v>
      </c>
      <c r="E37" s="383">
        <v>56.037024995594869193108324991</v>
      </c>
      <c r="F37" s="381">
        <v>78.207864039772698432668971102</v>
      </c>
      <c r="G37" s="380">
        <v>0</v>
      </c>
      <c r="H37" s="383">
        <v>5.0589814723542543146981589021</v>
      </c>
      <c r="I37" s="381">
        <v>8.690591428919249130302984159</v>
      </c>
      <c r="J37" s="380">
        <v>1.0752688172043010752688172043</v>
      </c>
      <c r="K37" s="383">
        <v>6.1262771416273037481787831431</v>
      </c>
      <c r="L37" s="381">
        <v>0.2131091571583925730824665071</v>
      </c>
      <c r="M37" s="380">
        <v>70.241935483870967741935483871</v>
      </c>
      <c r="N37" s="383">
        <v>67.222283609576427255985267035</v>
      </c>
      <c r="O37" s="381">
        <v>87.11156462585034013605442177</v>
      </c>
      <c r="P37" s="4"/>
      <c r="Q37" s="329">
        <v>22.535479569569174449834728250</v>
      </c>
      <c r="R37" s="330">
        <v>17.305115088431519397161862260</v>
      </c>
      <c r="S37" s="332">
        <v>15.531386224482691619905098570</v>
      </c>
      <c r="T37" s="329">
        <v>0</v>
      </c>
      <c r="U37" s="330">
        <v>-41.021843382333619489866867750</v>
      </c>
      <c r="V37" s="332">
        <v>155.24079401852792760712803155</v>
      </c>
      <c r="W37" s="329">
        <v>6.9518716562669793245652719500</v>
      </c>
      <c r="X37" s="330">
        <v>22.199418632244689536480817160</v>
      </c>
      <c r="Y37" s="332">
        <v>19.288603480659063505218481480</v>
      </c>
      <c r="Z37" s="329">
        <v>22.262773722682655934294298780</v>
      </c>
      <c r="AA37" s="330">
        <v>9.551451218956512532098947590</v>
      </c>
      <c r="AB37" s="332">
        <v>22.214587031642774008325981730</v>
      </c>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Z38" s="4"/>
      <c r="AA38" s="4"/>
      <c r="AB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14.986559139784946236559139785</v>
      </c>
      <c r="E39" s="382">
        <v>36.258531870197225304125092601</v>
      </c>
      <c r="F39" s="375">
        <v>55.968962794167870112485157902</v>
      </c>
      <c r="G39" s="374">
        <v>0</v>
      </c>
      <c r="H39" s="382">
        <v>12.502997203658341858846499711</v>
      </c>
      <c r="I39" s="375">
        <v>4.3344866206862238981594111376</v>
      </c>
      <c r="J39" s="374">
        <v>1.2137096774193548387096774194</v>
      </c>
      <c r="K39" s="382">
        <v>6.5403263589252799825164371519</v>
      </c>
      <c r="L39" s="375">
        <v>0.2160517189327540619177892361</v>
      </c>
      <c r="M39" s="374">
        <v>16.200268817204301075268817204</v>
      </c>
      <c r="N39" s="382">
        <v>55.301855432780847145488029466</v>
      </c>
      <c r="O39" s="375">
        <v>60.519501133786848072562358277</v>
      </c>
      <c r="P39" s="4"/>
      <c r="Q39" s="354">
        <v>-28.475206876482284128683826830</v>
      </c>
      <c r="R39" s="355">
        <v>14.320540544462155482082905930</v>
      </c>
      <c r="S39" s="356">
        <v>8.777400440849158919123499250</v>
      </c>
      <c r="T39" s="354">
        <v>-100</v>
      </c>
      <c r="U39" s="355">
        <v>27.479058520393408819596699280</v>
      </c>
      <c r="V39" s="356">
        <v>15.924944884740962304126293430</v>
      </c>
      <c r="W39" s="354">
        <v>69.101123591705592728276278820</v>
      </c>
      <c r="X39" s="355">
        <v>7.7026673485606952456328662400</v>
      </c>
      <c r="Y39" s="356">
        <v>61.575593779883510957285848740</v>
      </c>
      <c r="Z39" s="354">
        <v>-40.508390918067502136587638010</v>
      </c>
      <c r="AA39" s="355">
        <v>16.187667708419006989928648120</v>
      </c>
      <c r="AB39" s="356">
        <v>9.388057896846901013832196590</v>
      </c>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21.739247311827956989247311828</v>
      </c>
      <c r="E40" s="172">
        <v>59.103424113506657414642139475</v>
      </c>
      <c r="F40" s="371">
        <v>89.28365572737544507916409585</v>
      </c>
      <c r="G40" s="370">
        <v>10.04435483870967741935483871</v>
      </c>
      <c r="H40" s="172">
        <v>16.544659059916529363827692317</v>
      </c>
      <c r="I40" s="371">
        <v>9.753492697439078066452441543</v>
      </c>
      <c r="J40" s="370">
        <v>2.0362903225806451612903225806</v>
      </c>
      <c r="K40" s="172">
        <v>6.1537008965583970152686580783</v>
      </c>
      <c r="L40" s="371">
        <v>0.350946813280714949621557846</v>
      </c>
      <c r="M40" s="370">
        <v>33.82123655913978494623655914</v>
      </c>
      <c r="N40" s="172">
        <v>81.80178406998158379373848987</v>
      </c>
      <c r="O40" s="371">
        <v>99.38809523809523809523809524</v>
      </c>
      <c r="P40" s="4"/>
      <c r="Q40" s="327">
        <v>-31.218371252394430163852778420</v>
      </c>
      <c r="R40" s="171">
        <v>11.932249562334392371556518570</v>
      </c>
      <c r="S40" s="328">
        <v>19.280043556842733425598869330</v>
      </c>
      <c r="T40" s="327">
        <v>61.788265859279573282812325920</v>
      </c>
      <c r="U40" s="171">
        <v>75.297141341336206174655480940</v>
      </c>
      <c r="V40" s="328">
        <v>78.258048782576441995773916950</v>
      </c>
      <c r="W40" s="327">
        <v>55.225409834793234345616448900</v>
      </c>
      <c r="X40" s="171">
        <v>4.7184517661608847015069668700</v>
      </c>
      <c r="Y40" s="328">
        <v>59.796928101762043667484423200</v>
      </c>
      <c r="Z40" s="327">
        <v>-13.558914462336549042645049290</v>
      </c>
      <c r="AA40" s="171">
        <v>20.089506060662653501973438860</v>
      </c>
      <c r="AB40" s="328">
        <v>23.397082174343251744628910540</v>
      </c>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33.961021505376344086021505376</v>
      </c>
      <c r="E41" s="173">
        <v>75.790624547492695076071242719</v>
      </c>
      <c r="F41" s="379">
        <v>103.06448206190225300159817764</v>
      </c>
      <c r="G41" s="378">
        <v>18.713709677419354838709677419</v>
      </c>
      <c r="H41" s="173">
        <v>13.34055570070841637227861071</v>
      </c>
      <c r="I41" s="379">
        <v>13.184839328290678020279603321</v>
      </c>
      <c r="J41" s="378">
        <v>1.3212365591397849462365591398</v>
      </c>
      <c r="K41" s="173">
        <v>5.7035711330143581649098150797</v>
      </c>
      <c r="L41" s="379">
        <v>0.2160981109408558261947813946</v>
      </c>
      <c r="M41" s="378">
        <v>53.995967741935483870967741935</v>
      </c>
      <c r="N41" s="173">
        <v>94.83475138121546961325966851</v>
      </c>
      <c r="O41" s="379">
        <v>116.46541950113378684807256236</v>
      </c>
      <c r="P41" s="4"/>
      <c r="Q41" s="359">
        <v>-7.7240522972292516270543427900</v>
      </c>
      <c r="R41" s="170">
        <v>24.211750590025384310940800960</v>
      </c>
      <c r="S41" s="360">
        <v>14.540543004078923762282280820</v>
      </c>
      <c r="T41" s="359">
        <v>162.64855687606112054329371816</v>
      </c>
      <c r="U41" s="170">
        <v>12.040956617614878120428225330</v>
      </c>
      <c r="V41" s="360">
        <v>26.405272335384359553535567510</v>
      </c>
      <c r="W41" s="359">
        <v>41.847041847533092208418585030</v>
      </c>
      <c r="X41" s="170">
        <v>-0.6220818446441391056689841200</v>
      </c>
      <c r="Y41" s="360">
        <v>40.612305966452896610246877900</v>
      </c>
      <c r="Z41" s="359">
        <v>20.364932885807948041272352100</v>
      </c>
      <c r="AA41" s="170">
        <v>20.557649071496670073635954180</v>
      </c>
      <c r="AB41" s="360">
        <v>15.810995463254041108775003570</v>
      </c>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39.336021505376344086021505376</v>
      </c>
      <c r="E42" s="172">
        <v>64.962060870734259174812871335</v>
      </c>
      <c r="F42" s="371">
        <v>94.9074011809030179142841829</v>
      </c>
      <c r="G42" s="370">
        <v>14.838709677419354838709677419</v>
      </c>
      <c r="H42" s="172">
        <v>14.680241036125034460703924755</v>
      </c>
      <c r="I42" s="371">
        <v>12.192893875517318096428899344</v>
      </c>
      <c r="J42" s="370">
        <v>1.9744623655913978494623655914</v>
      </c>
      <c r="K42" s="172">
        <v>5.4138421999547026812419516061</v>
      </c>
      <c r="L42" s="371">
        <v>0.3215870297474644428016569825</v>
      </c>
      <c r="M42" s="370">
        <v>56.147849462365591397849462366</v>
      </c>
      <c r="N42" s="172">
        <v>85.0561441068139963167587477</v>
      </c>
      <c r="O42" s="371">
        <v>107.42188208616780045351473923</v>
      </c>
      <c r="P42" s="4"/>
      <c r="Q42" s="327">
        <v>8.044449366902814390386636900</v>
      </c>
      <c r="R42" s="171">
        <v>6.372152573043877055256245500</v>
      </c>
      <c r="S42" s="328">
        <v>7.567347368663858780445066600</v>
      </c>
      <c r="T42" s="327">
        <v>100.32661948873233885571852441</v>
      </c>
      <c r="U42" s="171">
        <v>-4.9650974673754365212294652300</v>
      </c>
      <c r="V42" s="328">
        <v>92.05095933784879036189499855</v>
      </c>
      <c r="W42" s="327">
        <v>44.729064042374743381360979960</v>
      </c>
      <c r="X42" s="171">
        <v>-4.3921669802022503472324536100</v>
      </c>
      <c r="Y42" s="328">
        <v>41.525128721488193897046053800</v>
      </c>
      <c r="Z42" s="327">
        <v>24.279296700571842228235000550</v>
      </c>
      <c r="AA42" s="171">
        <v>3.4994160081526304610247854600</v>
      </c>
      <c r="AB42" s="328">
        <v>13.306226418483279377711408780</v>
      </c>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22.270161290322580645161290323</v>
      </c>
      <c r="E43" s="173">
        <v>50.063875973714776102474508273</v>
      </c>
      <c r="F43" s="379">
        <v>76.867549967121354889201441331</v>
      </c>
      <c r="G43" s="378">
        <v>0.3548387096774193548387096774</v>
      </c>
      <c r="H43" s="173">
        <v>10.01029953892397040083341846</v>
      </c>
      <c r="I43" s="379">
        <v>9.195777802536190879288578442</v>
      </c>
      <c r="J43" s="378">
        <v>0.866935483870967741935483871</v>
      </c>
      <c r="K43" s="173">
        <v>5.685635721247073017870710468</v>
      </c>
      <c r="L43" s="379">
        <v>0.1497107790952886986301616336</v>
      </c>
      <c r="M43" s="378">
        <v>23.491935483870967741935483871</v>
      </c>
      <c r="N43" s="173">
        <v>65.759811233885819521178637201</v>
      </c>
      <c r="O43" s="379">
        <v>86.21303854875283446712018141</v>
      </c>
      <c r="P43" s="4"/>
      <c r="Q43" s="359">
        <v>-28.244770689923921670870256610</v>
      </c>
      <c r="R43" s="170">
        <v>6.1046438071336095180676648700</v>
      </c>
      <c r="S43" s="360">
        <v>8.425841603256742014949556530</v>
      </c>
      <c r="T43" s="359">
        <v>-94.09792085849057231832757551</v>
      </c>
      <c r="U43" s="170">
        <v>-42.313728346295486218533709840</v>
      </c>
      <c r="V43" s="360">
        <v>68.740940847021141066055953980</v>
      </c>
      <c r="W43" s="359">
        <v>-41.256830600579294693775556670</v>
      </c>
      <c r="X43" s="170">
        <v>0.075845295877887489930775200</v>
      </c>
      <c r="Y43" s="360">
        <v>-40.653594143159055887879859740</v>
      </c>
      <c r="Z43" s="359">
        <v>-39.022433101894768292636923090</v>
      </c>
      <c r="AA43" s="170">
        <v>-6.3488281876058881710381299500</v>
      </c>
      <c r="AB43" s="360">
        <v>12.555489603748374407490263210</v>
      </c>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40.672043010752688172043010753</v>
      </c>
      <c r="E44" s="172">
        <v>56.524367844157944145312517201</v>
      </c>
      <c r="F44" s="371">
        <v>79.79574988242319393178886492</v>
      </c>
      <c r="G44" s="370">
        <v>0.3629032258064516129032258065</v>
      </c>
      <c r="H44" s="172">
        <v>23.151470905357237150538700297</v>
      </c>
      <c r="I44" s="371">
        <v>10.729656327775366541059636941</v>
      </c>
      <c r="J44" s="370">
        <v>1.7647849462365591397849462366</v>
      </c>
      <c r="K44" s="172">
        <v>5.3256874935787413560824841605</v>
      </c>
      <c r="L44" s="371">
        <v>0.3156368737016662845211126474</v>
      </c>
      <c r="M44" s="370">
        <v>42.799731182795698924731182796</v>
      </c>
      <c r="N44" s="172">
        <v>85.00152624309392265193370166</v>
      </c>
      <c r="O44" s="371">
        <v>90.84104308390022675736961451</v>
      </c>
      <c r="P44" s="4"/>
      <c r="Q44" s="327">
        <v>35.841264140569539437671233970</v>
      </c>
      <c r="R44" s="171">
        <v>0.7889234007983266457996790700</v>
      </c>
      <c r="S44" s="328">
        <v>14.948099890712707005556399310</v>
      </c>
      <c r="T44" s="327">
        <v>-70.715835140337190207070513610</v>
      </c>
      <c r="U44" s="171">
        <v>16.150811590139655563432530140</v>
      </c>
      <c r="V44" s="328">
        <v>0.3129646983065887069869271800</v>
      </c>
      <c r="W44" s="327">
        <v>193.08035715960459183769169097</v>
      </c>
      <c r="X44" s="171">
        <v>-9.151984378666914141723885120</v>
      </c>
      <c r="Y44" s="328">
        <v>199.13611914289443162219426860</v>
      </c>
      <c r="Z44" s="327">
        <v>34.665482534112153674634582840</v>
      </c>
      <c r="AA44" s="171">
        <v>3.8169212301942422671109303200</v>
      </c>
      <c r="AB44" s="328">
        <v>13.238997888525802720034691660</v>
      </c>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41.909946236559139784946236559</v>
      </c>
      <c r="E45" s="385">
        <v>57.44133576435038719273898296</v>
      </c>
      <c r="F45" s="386">
        <v>79.404411143926587881401211</v>
      </c>
      <c r="G45" s="384">
        <v>0.364247311827956989247311828</v>
      </c>
      <c r="H45" s="385">
        <v>26.165119571893813085429357251</v>
      </c>
      <c r="I45" s="386">
        <v>8.87465052408374375505655069</v>
      </c>
      <c r="J45" s="384">
        <v>1.0551075268817204301075268817</v>
      </c>
      <c r="K45" s="385">
        <v>5.0808190652290962227524701006</v>
      </c>
      <c r="L45" s="386">
        <v>0.1861310757538406991431453409</v>
      </c>
      <c r="M45" s="384">
        <v>43.329301075268817204301075269</v>
      </c>
      <c r="N45" s="385">
        <v>88.68727440147329650092081031</v>
      </c>
      <c r="O45" s="386">
        <v>88.46519274376417233560090703</v>
      </c>
      <c r="P45" s="4"/>
      <c r="Q45" s="364">
        <v>29.499958468337137627736855980</v>
      </c>
      <c r="R45" s="365">
        <v>6.6081752332162286208325736300</v>
      </c>
      <c r="S45" s="366">
        <v>20.359002870816669790353182970</v>
      </c>
      <c r="T45" s="364">
        <v>160.57692314507396451486549844</v>
      </c>
      <c r="U45" s="365">
        <v>67.679721072894497348985607260</v>
      </c>
      <c r="V45" s="366">
        <v>-2.9743839814287838958215918800</v>
      </c>
      <c r="W45" s="364">
        <v>-16.042780748160256226940852870</v>
      </c>
      <c r="X45" s="365">
        <v>-14.260514042101685521914719660</v>
      </c>
      <c r="Y45" s="366">
        <v>-15.915683988794262694808726540</v>
      </c>
      <c r="Z45" s="364">
        <v>28.347334474470550547093183250</v>
      </c>
      <c r="AA45" s="365">
        <v>17.605374801100395815162309560</v>
      </c>
      <c r="AB45" s="366">
        <v>17.41965484237997862976771500</v>
      </c>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Z46" s="4"/>
      <c r="AA46" s="4"/>
      <c r="AB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38.259600614439324116743471582</v>
      </c>
      <c r="E47" s="382">
        <v>49.042143495443759016140128815</v>
      </c>
      <c r="F47" s="375">
        <v>79.022095067272016636955059184</v>
      </c>
      <c r="G47" s="374">
        <v>0</v>
      </c>
      <c r="H47" s="382">
        <v>8.05451195458766968289271041</v>
      </c>
      <c r="I47" s="375">
        <v>8.234428945683544263183717508</v>
      </c>
      <c r="J47" s="374">
        <v>1.6282642089093701996927803379</v>
      </c>
      <c r="K47" s="382">
        <v>5.2200020085321072125693707213</v>
      </c>
      <c r="L47" s="375">
        <v>0.2812796799501728219214759823</v>
      </c>
      <c r="M47" s="374">
        <v>39.88786482334869431643625192</v>
      </c>
      <c r="N47" s="382">
        <v>62.316657458563535911602209945</v>
      </c>
      <c r="O47" s="375">
        <v>87.53780369290573372206025267</v>
      </c>
      <c r="P47" s="4"/>
      <c r="Q47" s="354">
        <v>23.967847099635696464946527190</v>
      </c>
      <c r="R47" s="355">
        <v>13.496437641598446571043374080</v>
      </c>
      <c r="S47" s="356">
        <v>7.445220679916888316078283800</v>
      </c>
      <c r="T47" s="354">
        <v>0</v>
      </c>
      <c r="U47" s="355">
        <v>-52.478166546091836368063969980</v>
      </c>
      <c r="V47" s="356">
        <v>103.99641776572237388831692396</v>
      </c>
      <c r="W47" s="354">
        <v>67.192429026380499358249214730</v>
      </c>
      <c r="X47" s="355">
        <v>5.1173585890333356400020684100</v>
      </c>
      <c r="Y47" s="356">
        <v>66.149955812628182526547695440</v>
      </c>
      <c r="Z47" s="354">
        <v>25.290101565522727893321479250</v>
      </c>
      <c r="AA47" s="355">
        <v>-4.3126014540814136532041876800</v>
      </c>
      <c r="AB47" s="356">
        <v>12.585554942706351039129951760</v>
      </c>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30.696428571428571428571428571</v>
      </c>
      <c r="E48" s="172">
        <v>57.163460140593420630025336365</v>
      </c>
      <c r="F48" s="371">
        <v>82.75603039397424611570330451</v>
      </c>
      <c r="G48" s="370">
        <v>6.3826804915514592933947772657</v>
      </c>
      <c r="H48" s="172">
        <v>16.627906145226191813208314787</v>
      </c>
      <c r="I48" s="371">
        <v>9.752256739475514179532160203</v>
      </c>
      <c r="J48" s="370">
        <v>1.4617895545314900153609831029</v>
      </c>
      <c r="K48" s="172">
        <v>5.7005118383582354915203609498</v>
      </c>
      <c r="L48" s="371">
        <v>0.2508803430646549946900292973</v>
      </c>
      <c r="M48" s="370">
        <v>38.54089861751152073732718894</v>
      </c>
      <c r="N48" s="172">
        <v>79.4918781241778479347540121</v>
      </c>
      <c r="O48" s="371">
        <v>92.75916747651441528992549401</v>
      </c>
      <c r="P48" s="4"/>
      <c r="Q48" s="327">
        <v>-1.9329153835936364370901756500</v>
      </c>
      <c r="R48" s="171">
        <v>10.004241720339921244410236140</v>
      </c>
      <c r="S48" s="328">
        <v>13.408283727114474238420376470</v>
      </c>
      <c r="T48" s="327">
        <v>32.608608928369014325606920050</v>
      </c>
      <c r="U48" s="171">
        <v>16.992600330595894644879672520</v>
      </c>
      <c r="V48" s="328">
        <v>33.117074439651442256952794570</v>
      </c>
      <c r="W48" s="327">
        <v>33.584839444804179835212836100</v>
      </c>
      <c r="X48" s="171">
        <v>-2.2455635763212658970931321800</v>
      </c>
      <c r="Y48" s="328">
        <v>33.711787984652667818086585600</v>
      </c>
      <c r="Z48" s="327">
        <v>3.5792243981411628688294322600</v>
      </c>
      <c r="AA48" s="171">
        <v>10.391551137085656437132362420</v>
      </c>
      <c r="AB48" s="328">
        <v>15.249579759031674137180020880</v>
      </c>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38.514336917562724014336917563</v>
      </c>
      <c r="E49" s="385">
        <v>50.767548482021294007557640314</v>
      </c>
      <c r="F49" s="386">
        <v>78.855933401517829026423111056</v>
      </c>
      <c r="G49" s="384">
        <v>0</v>
      </c>
      <c r="H49" s="385">
        <v>11.809120491105984227721049095</v>
      </c>
      <c r="I49" s="386">
        <v>7.7367193991475931721054737349</v>
      </c>
      <c r="J49" s="384">
        <v>1.6206690561529271206690561529</v>
      </c>
      <c r="K49" s="385">
        <v>5.1121339734657236063419367439</v>
      </c>
      <c r="L49" s="386">
        <v>0.2789017470796017369715411878</v>
      </c>
      <c r="M49" s="384">
        <v>40.135005973715651135005973716</v>
      </c>
      <c r="N49" s="385">
        <v>67.688802946593001841620626151</v>
      </c>
      <c r="O49" s="386">
        <v>86.87155454774502393550012598</v>
      </c>
      <c r="P49" s="4"/>
      <c r="Q49" s="364">
        <v>47.728158009577607552880821710</v>
      </c>
      <c r="R49" s="365">
        <v>14.848575400027924298503085080</v>
      </c>
      <c r="S49" s="366">
        <v>8.024228788406125119130665190</v>
      </c>
      <c r="T49" s="364">
        <v>-100</v>
      </c>
      <c r="U49" s="365">
        <v>-31.684053763231256150341760460</v>
      </c>
      <c r="V49" s="366">
        <v>83.29832767305036988998677638</v>
      </c>
      <c r="W49" s="364">
        <v>86.46048110826814043331657665</v>
      </c>
      <c r="X49" s="365">
        <v>-3.9494150975095729039141458300</v>
      </c>
      <c r="Y49" s="366">
        <v>83.34752112328643970454406393</v>
      </c>
      <c r="Z49" s="364">
        <v>48.267643553612036384900843370</v>
      </c>
      <c r="AA49" s="365">
        <v>1.3119305188918356773091413900</v>
      </c>
      <c r="AB49" s="366">
        <v>12.278743338981166219616458410</v>
      </c>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ht="9.95" customHeight="1">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9.95" customHeight="1">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24.95" customHeight="1">
      <c r="D52" s="655" t="s">
        <v>114</v>
      </c>
      <c r="E52" s="655"/>
      <c r="F52" s="655"/>
      <c r="G52" s="655"/>
      <c r="H52" s="655"/>
      <c r="I52" s="655"/>
      <c r="J52" s="655"/>
      <c r="K52" s="655"/>
      <c r="L52" s="655"/>
      <c r="M52" s="655"/>
      <c r="N52" s="655"/>
      <c r="O52" s="655"/>
      <c r="P52" s="655"/>
      <c r="Q52" s="655"/>
      <c r="R52" s="655"/>
      <c r="S52" s="655"/>
      <c r="T52" s="655"/>
      <c r="U52" s="655"/>
      <c r="V52" s="655"/>
      <c r="W52" s="655"/>
      <c r="X52" s="655"/>
      <c r="Y52" s="655"/>
      <c r="Z52" s="655"/>
      <c r="AA52" s="655"/>
      <c r="AB52" s="655"/>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ht="9.95" customHeight="1">
      <c r="A53" s="53"/>
      <c r="C53"/>
      <c r="Z53" s="80"/>
      <c r="AA53" s="242"/>
      <c r="AD53" s="244"/>
      <c r="AE53" s="244"/>
      <c r="AF53" s="244"/>
      <c r="AG53" s="244"/>
      <c r="AH53" s="244"/>
      <c r="AI53" s="244"/>
      <c r="AJ53" s="244"/>
      <c r="AK53" s="244"/>
      <c r="AL53" s="244"/>
      <c r="AM53" s="244"/>
      <c r="AN53" s="244"/>
      <c r="AO53" s="244"/>
      <c r="AP53" s="244"/>
      <c r="AQ53" s="244"/>
      <c r="AR53" s="244"/>
      <c r="AS53" s="244"/>
      <c r="AT53" s="244"/>
      <c r="AU53" s="244"/>
      <c r="AV53" s="244"/>
      <c r="AW53" s="244"/>
      <c r="AX53" s="244"/>
      <c r="AY53" s="244"/>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Q8:S8"/>
    <mergeCell ref="T8:V8"/>
    <mergeCell ref="D52:AB52"/>
    <mergeCell ref="R4:AA4"/>
    <mergeCell ref="D7:O7"/>
    <mergeCell ref="Q7:AB7"/>
    <mergeCell ref="W8:Y8"/>
    <mergeCell ref="Z8:AB8"/>
    <mergeCell ref="D8:F8"/>
    <mergeCell ref="G8:I8"/>
    <mergeCell ref="J8:L8"/>
    <mergeCell ref="M8:O8"/>
  </mergeCells>
  <phoneticPr fontId="0" type="noConversion"/>
  <printOptions horizontalCentered="1" verticalCentered="1"/>
  <pageMargins left="0.25" right="0.25" top="0.25" bottom="0.25" header="0.25" footer="0.25"/>
  <pageSetup scale="67" orientation="landscape" r:id="rId1"/>
  <headerFooter alignWithMargins="0">
    <oddHeader/>
    <oddFooter/>
  </headerFooter>
  <drawing r:id="rId42"/>
</worksheet>
</file>

<file path=xl/worksheets/sheet4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AY105"/>
  <sheetViews>
    <sheetView showGridLines="0" zoomScale="75" workbookViewId="0"/>
  </sheetViews>
  <sheetFormatPr defaultRowHeight="12.75"/>
  <cols>
    <col min="1" max="1" width="13.28515625" customWidth="1"/>
    <col min="2" max="2" width="3.85546875" customWidth="1"/>
    <col min="3" max="3" width="4.28515625" style="30" customWidth="1"/>
    <col min="4" max="15" width="8.7109375" customWidth="1"/>
    <col min="16" max="16" width="1.42578125" customWidth="1"/>
    <col min="17" max="25" width="8.7109375" customWidth="1"/>
    <col min="26" max="28" width="7.42578125" hidden="1" customWidth="1"/>
    <col min="29" max="29" width="2.28515625" customWidth="1"/>
    <col min="30" max="32" width="9.140625" customWidth="1"/>
  </cols>
  <sheetData>
    <row r="1" ht="23.25">
      <c r="A1" s="39" t="s">
        <v>133</v>
      </c>
      <c r="B1" s="39"/>
      <c r="AD1" s="244"/>
      <c r="AE1" s="244"/>
      <c r="AF1" s="244"/>
      <c r="AG1" s="244"/>
      <c r="AH1" s="244"/>
      <c r="AI1" s="244"/>
      <c r="AJ1" s="244"/>
      <c r="AK1" s="244"/>
      <c r="AL1" s="244"/>
      <c r="AM1" s="244"/>
      <c r="AN1" s="244"/>
      <c r="AO1" s="244"/>
      <c r="AP1" s="244"/>
      <c r="AQ1" s="244"/>
      <c r="AR1" s="244"/>
      <c r="AS1" s="244"/>
      <c r="AT1" s="244"/>
      <c r="AU1" s="244"/>
      <c r="AV1" s="244"/>
      <c r="AW1" s="244"/>
      <c r="AX1" s="244"/>
      <c r="AY1" s="244"/>
    </row>
    <row r="2" ht="15" customHeight="1">
      <c r="A2" s="10" t="s">
        <v>141</v>
      </c>
      <c r="X2" s="216"/>
      <c r="AD2" s="244"/>
      <c r="AE2" s="244"/>
      <c r="AF2" s="244"/>
      <c r="AG2" s="244"/>
      <c r="AH2" s="244"/>
      <c r="AI2" s="244"/>
      <c r="AJ2" s="244"/>
      <c r="AK2" s="244"/>
      <c r="AL2" s="244"/>
      <c r="AM2" s="244"/>
      <c r="AN2" s="244"/>
      <c r="AO2" s="244"/>
      <c r="AP2" s="244"/>
      <c r="AQ2" s="244"/>
      <c r="AR2" s="244"/>
      <c r="AS2" s="244"/>
      <c r="AT2" s="244"/>
      <c r="AU2" s="244"/>
      <c r="AV2" s="244"/>
      <c r="AW2" s="244"/>
      <c r="AX2" s="244"/>
      <c r="AY2" s="244"/>
    </row>
    <row r="3" ht="17.1" customHeight="1">
      <c r="A3" s="10" t="s">
        <v>142</v>
      </c>
      <c r="AD3" s="244"/>
      <c r="AE3" s="244"/>
      <c r="AF3" s="244"/>
      <c r="AG3" s="244"/>
      <c r="AH3" s="244"/>
      <c r="AI3" s="244"/>
      <c r="AJ3" s="244"/>
      <c r="AK3" s="244"/>
      <c r="AL3" s="244"/>
      <c r="AM3" s="244"/>
      <c r="AN3" s="244"/>
      <c r="AO3" s="244"/>
      <c r="AP3" s="244"/>
      <c r="AQ3" s="244"/>
      <c r="AR3" s="244"/>
      <c r="AS3" s="244"/>
      <c r="AT3" s="244"/>
      <c r="AU3" s="244"/>
      <c r="AV3" s="244"/>
      <c r="AW3" s="244"/>
      <c r="AX3" s="244"/>
      <c r="AY3" s="244"/>
    </row>
    <row r="4" ht="17.1" customHeight="1">
      <c r="A4" t="s">
        <v>143</v>
      </c>
      <c r="B4" s="443"/>
      <c r="C4" s="211"/>
      <c r="D4" s="212"/>
      <c r="E4" s="212"/>
      <c r="F4" s="212"/>
      <c r="G4" s="212"/>
      <c r="H4" s="212"/>
      <c r="I4" s="212"/>
      <c r="J4" s="212"/>
      <c r="K4" s="212"/>
      <c r="L4" s="212"/>
      <c r="M4" s="212"/>
      <c r="N4" s="212"/>
      <c r="O4" s="212"/>
      <c r="P4" s="212"/>
      <c r="Q4" s="665" t="s">
        <v>146</v>
      </c>
      <c r="R4" s="665"/>
      <c r="S4" s="665"/>
      <c r="T4" s="665"/>
      <c r="U4" s="665"/>
      <c r="V4" s="665"/>
      <c r="W4" s="665"/>
      <c r="X4" s="665"/>
      <c r="AD4" s="244"/>
      <c r="AE4" s="244"/>
      <c r="AF4" s="244"/>
      <c r="AG4" s="244"/>
      <c r="AH4" s="244"/>
      <c r="AI4" s="244"/>
      <c r="AJ4" s="244"/>
      <c r="AK4" s="244"/>
      <c r="AL4" s="244"/>
      <c r="AM4" s="244"/>
      <c r="AN4" s="244"/>
      <c r="AO4" s="244"/>
      <c r="AP4" s="244"/>
      <c r="AQ4" s="244"/>
      <c r="AR4" s="244"/>
      <c r="AS4" s="244"/>
      <c r="AT4" s="244"/>
      <c r="AU4" s="244"/>
      <c r="AV4" s="244"/>
      <c r="AW4" s="244"/>
      <c r="AX4" s="244"/>
      <c r="AY4" s="244"/>
    </row>
    <row r="5" ht="13.5" customHeight="1">
      <c r="B5" s="211"/>
      <c r="C5" s="211"/>
      <c r="D5" s="212"/>
      <c r="E5" s="212"/>
      <c r="F5" s="212"/>
      <c r="G5" s="212"/>
      <c r="H5" s="212"/>
      <c r="I5" s="212"/>
      <c r="J5" s="212"/>
      <c r="K5" s="212"/>
      <c r="L5" s="212"/>
      <c r="M5" s="212"/>
      <c r="N5" s="212"/>
      <c r="O5" s="212"/>
      <c r="P5" s="212"/>
      <c r="Q5" s="212"/>
      <c r="R5" s="212"/>
      <c r="S5" s="212"/>
      <c r="T5" s="212"/>
      <c r="AD5" s="244"/>
      <c r="AE5" s="244"/>
      <c r="AF5" s="244"/>
      <c r="AG5" s="244"/>
      <c r="AH5" s="244"/>
      <c r="AI5" s="244"/>
      <c r="AJ5" s="244"/>
      <c r="AK5" s="244"/>
      <c r="AL5" s="244"/>
      <c r="AM5" s="244"/>
      <c r="AN5" s="244"/>
      <c r="AO5" s="244"/>
      <c r="AP5" s="244"/>
      <c r="AQ5" s="244"/>
      <c r="AR5" s="244"/>
      <c r="AS5" s="244"/>
      <c r="AT5" s="244"/>
      <c r="AU5" s="244"/>
      <c r="AV5" s="244"/>
      <c r="AW5" s="244"/>
      <c r="AX5" s="244"/>
      <c r="AY5" s="244"/>
    </row>
    <row r="6" ht="12.75" customHeight="1">
      <c r="AD6" s="244"/>
      <c r="AE6" s="244"/>
      <c r="AF6" s="244"/>
      <c r="AG6" s="244"/>
      <c r="AH6" s="244"/>
      <c r="AI6" s="244"/>
      <c r="AJ6" s="244"/>
      <c r="AK6" s="244"/>
      <c r="AL6" s="244"/>
      <c r="AM6" s="244"/>
      <c r="AN6" s="244"/>
      <c r="AO6" s="244"/>
      <c r="AP6" s="244"/>
      <c r="AQ6" s="244"/>
      <c r="AR6" s="244"/>
      <c r="AS6" s="244"/>
      <c r="AT6" s="244"/>
      <c r="AU6" s="244"/>
      <c r="AV6" s="244"/>
      <c r="AW6" s="244"/>
      <c r="AX6" s="244"/>
      <c r="AY6" s="244"/>
    </row>
    <row r="7" ht="15.75">
      <c r="D7" s="621" t="s">
        <v>83</v>
      </c>
      <c r="E7" s="621"/>
      <c r="F7" s="621"/>
      <c r="G7" s="621"/>
      <c r="H7" s="621"/>
      <c r="I7" s="621"/>
      <c r="J7" s="621"/>
      <c r="K7" s="621"/>
      <c r="L7" s="621"/>
      <c r="M7" s="621"/>
      <c r="N7" s="621"/>
      <c r="O7" s="621"/>
      <c r="Q7" s="621" t="s">
        <v>62</v>
      </c>
      <c r="R7" s="621"/>
      <c r="S7" s="621"/>
      <c r="T7" s="621"/>
      <c r="U7" s="621"/>
      <c r="V7" s="621"/>
      <c r="W7" s="621"/>
      <c r="X7" s="621"/>
      <c r="Y7" s="621"/>
      <c r="Z7" s="621"/>
      <c r="AA7" s="621"/>
      <c r="AB7" s="621"/>
      <c r="AD7" s="244"/>
      <c r="AE7" s="244"/>
      <c r="AF7" s="244"/>
      <c r="AG7" s="244"/>
      <c r="AH7" s="244"/>
      <c r="AI7" s="244"/>
      <c r="AJ7" s="244"/>
      <c r="AK7" s="244"/>
      <c r="AL7" s="244"/>
      <c r="AM7" s="244"/>
      <c r="AN7" s="244"/>
      <c r="AO7" s="244"/>
      <c r="AP7" s="244"/>
      <c r="AQ7" s="244"/>
      <c r="AR7" s="244"/>
      <c r="AS7" s="244"/>
      <c r="AT7" s="244"/>
      <c r="AU7" s="244"/>
      <c r="AV7" s="244"/>
      <c r="AW7" s="244"/>
      <c r="AX7" s="244"/>
      <c r="AY7" s="244"/>
    </row>
    <row r="8" ht="15" customHeight="1">
      <c r="D8" s="681" t="s">
        <v>33</v>
      </c>
      <c r="E8" s="681"/>
      <c r="F8" s="681"/>
      <c r="G8" s="681" t="s">
        <v>30</v>
      </c>
      <c r="H8" s="681"/>
      <c r="I8" s="681"/>
      <c r="J8" s="681" t="s">
        <v>29</v>
      </c>
      <c r="K8" s="681"/>
      <c r="L8" s="681"/>
      <c r="M8" s="681" t="s">
        <v>94</v>
      </c>
      <c r="N8" s="681"/>
      <c r="O8" s="681"/>
      <c r="Q8" s="681" t="s">
        <v>33</v>
      </c>
      <c r="R8" s="681"/>
      <c r="S8" s="681"/>
      <c r="T8" s="681" t="s">
        <v>30</v>
      </c>
      <c r="U8" s="681"/>
      <c r="V8" s="681"/>
      <c r="W8" s="681" t="s">
        <v>29</v>
      </c>
      <c r="X8" s="681"/>
      <c r="Y8" s="681"/>
      <c r="Z8" s="682" t="s">
        <v>23</v>
      </c>
      <c r="AA8" s="682"/>
      <c r="AB8" s="682"/>
      <c r="AD8" s="244"/>
      <c r="AE8" s="244"/>
      <c r="AF8" s="244"/>
      <c r="AG8" s="244"/>
      <c r="AH8" s="244"/>
      <c r="AI8" s="244"/>
      <c r="AJ8" s="244"/>
      <c r="AK8" s="244"/>
      <c r="AL8" s="244"/>
      <c r="AM8" s="244"/>
      <c r="AN8" s="244"/>
      <c r="AO8" s="244"/>
      <c r="AP8" s="244"/>
      <c r="AQ8" s="244"/>
      <c r="AR8" s="244"/>
      <c r="AS8" s="244"/>
      <c r="AT8" s="244"/>
      <c r="AU8" s="244"/>
      <c r="AV8" s="244"/>
      <c r="AW8" s="244"/>
      <c r="AX8" s="244"/>
      <c r="AY8" s="244"/>
    </row>
    <row r="9" ht="27" customHeight="1">
      <c r="A9" s="92"/>
      <c r="D9" s="339" t="s">
        <v>63</v>
      </c>
      <c r="E9" s="340" t="s">
        <v>26</v>
      </c>
      <c r="F9" s="341" t="s">
        <v>147</v>
      </c>
      <c r="G9" s="339" t="s">
        <v>63</v>
      </c>
      <c r="H9" s="340" t="s">
        <v>26</v>
      </c>
      <c r="I9" s="341" t="s">
        <v>147</v>
      </c>
      <c r="J9" s="339" t="s">
        <v>63</v>
      </c>
      <c r="K9" s="340" t="s">
        <v>26</v>
      </c>
      <c r="L9" s="341" t="s">
        <v>147</v>
      </c>
      <c r="M9" s="339" t="s">
        <v>63</v>
      </c>
      <c r="N9" s="340" t="s">
        <v>26</v>
      </c>
      <c r="O9" s="341" t="s">
        <v>147</v>
      </c>
      <c r="P9" s="96"/>
      <c r="Q9" s="339" t="s">
        <v>63</v>
      </c>
      <c r="R9" s="340" t="s">
        <v>26</v>
      </c>
      <c r="S9" s="341" t="s">
        <v>147</v>
      </c>
      <c r="T9" s="339" t="s">
        <v>63</v>
      </c>
      <c r="U9" s="340" t="s">
        <v>26</v>
      </c>
      <c r="V9" s="341" t="s">
        <v>147</v>
      </c>
      <c r="W9" s="339" t="s">
        <v>63</v>
      </c>
      <c r="X9" s="340" t="s">
        <v>26</v>
      </c>
      <c r="Y9" s="341" t="s">
        <v>147</v>
      </c>
      <c r="Z9" s="94" t="s">
        <v>63</v>
      </c>
      <c r="AA9" s="94" t="s">
        <v>26</v>
      </c>
      <c r="AB9" s="95" t="s">
        <v>147</v>
      </c>
      <c r="AD9" s="244"/>
      <c r="AE9" s="244"/>
      <c r="AF9" s="244"/>
      <c r="AG9" s="244"/>
      <c r="AH9" s="244"/>
      <c r="AI9" s="244"/>
      <c r="AJ9" s="244"/>
      <c r="AK9" s="244"/>
      <c r="AL9" s="244"/>
      <c r="AM9" s="244"/>
      <c r="AN9" s="244"/>
      <c r="AO9" s="244"/>
      <c r="AP9" s="244"/>
      <c r="AQ9" s="244"/>
      <c r="AR9" s="244"/>
      <c r="AS9" s="244"/>
      <c r="AT9" s="244"/>
      <c r="AU9" s="244"/>
      <c r="AV9" s="244"/>
      <c r="AW9" s="244"/>
      <c r="AX9" s="244"/>
      <c r="AY9" s="244"/>
    </row>
    <row r="10" ht="15.6" customHeight="1">
      <c r="A10" s="92" t="s">
        <v>148</v>
      </c>
      <c r="B10" s="342">
        <v>13</v>
      </c>
      <c r="C10" s="343" t="s">
        <v>49</v>
      </c>
      <c r="D10" s="374">
        <v>90.000000000</v>
      </c>
      <c r="E10" s="382">
        <v>122.43809210526315789473684211</v>
      </c>
      <c r="F10" s="375">
        <v>114.784693019343986543313709</v>
      </c>
      <c r="G10" s="374"/>
      <c r="H10" s="382"/>
      <c r="I10" s="375"/>
      <c r="J10" s="374"/>
      <c r="K10" s="382"/>
      <c r="L10" s="375"/>
      <c r="M10" s="374"/>
      <c r="N10" s="382"/>
      <c r="O10" s="375"/>
      <c r="P10" s="4"/>
      <c r="Q10" s="354"/>
      <c r="R10" s="355"/>
      <c r="S10" s="356"/>
      <c r="T10" s="354"/>
      <c r="U10" s="355"/>
      <c r="V10" s="356"/>
      <c r="W10" s="354"/>
      <c r="X10" s="355"/>
      <c r="Y10" s="356"/>
      <c r="Z10" s="35"/>
      <c r="AA10" s="35"/>
      <c r="AB10" s="31"/>
      <c r="AD10" s="244"/>
      <c r="AE10" s="244"/>
      <c r="AF10" s="244"/>
      <c r="AG10" s="244"/>
      <c r="AH10" s="244"/>
      <c r="AI10" s="244"/>
      <c r="AJ10" s="244"/>
      <c r="AK10" s="244"/>
      <c r="AL10" s="244"/>
      <c r="AM10" s="244"/>
      <c r="AN10" s="244"/>
      <c r="AO10" s="244"/>
      <c r="AP10" s="244"/>
      <c r="AQ10" s="244"/>
      <c r="AR10" s="244"/>
      <c r="AS10" s="244"/>
      <c r="AT10" s="244"/>
      <c r="AU10" s="244"/>
      <c r="AV10" s="244"/>
      <c r="AW10" s="244"/>
      <c r="AX10" s="244"/>
      <c r="AY10" s="244"/>
    </row>
    <row r="11" ht="15.6" customHeight="1">
      <c r="A11" s="92"/>
      <c r="B11" s="344">
        <v>14</v>
      </c>
      <c r="C11" s="345" t="s">
        <v>47</v>
      </c>
      <c r="D11" s="370">
        <v>95.23636363636363636363636364</v>
      </c>
      <c r="E11" s="172">
        <v>140.55796577946768060836501902</v>
      </c>
      <c r="F11" s="371">
        <v>132.78784336645236703682057276</v>
      </c>
      <c r="G11" s="370"/>
      <c r="H11" s="172"/>
      <c r="I11" s="371"/>
      <c r="J11" s="370"/>
      <c r="K11" s="172"/>
      <c r="L11" s="371"/>
      <c r="M11" s="370"/>
      <c r="N11" s="172"/>
      <c r="O11" s="371"/>
      <c r="P11" s="4"/>
      <c r="Q11" s="327"/>
      <c r="R11" s="171"/>
      <c r="S11" s="328"/>
      <c r="T11" s="327"/>
      <c r="U11" s="171"/>
      <c r="V11" s="328"/>
      <c r="W11" s="327"/>
      <c r="X11" s="171"/>
      <c r="Y11" s="328"/>
      <c r="Z11" s="36"/>
      <c r="AA11" s="36"/>
      <c r="AB11" s="32"/>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row>
    <row r="12" ht="15.6" customHeight="1">
      <c r="A12" s="92"/>
      <c r="B12" s="346">
        <v>15</v>
      </c>
      <c r="C12" s="347" t="s">
        <v>48</v>
      </c>
      <c r="D12" s="378">
        <v>102.55555555555555555555555556</v>
      </c>
      <c r="E12" s="173">
        <v>142.56042582417582417582417582</v>
      </c>
      <c r="F12" s="379">
        <v>144.03815995818086774699424987</v>
      </c>
      <c r="G12" s="378"/>
      <c r="H12" s="173"/>
      <c r="I12" s="379"/>
      <c r="J12" s="378"/>
      <c r="K12" s="173"/>
      <c r="L12" s="379"/>
      <c r="M12" s="378"/>
      <c r="N12" s="173"/>
      <c r="O12" s="379"/>
      <c r="P12" s="4"/>
      <c r="Q12" s="359"/>
      <c r="R12" s="170"/>
      <c r="S12" s="360"/>
      <c r="T12" s="359"/>
      <c r="U12" s="170"/>
      <c r="V12" s="360"/>
      <c r="W12" s="359"/>
      <c r="X12" s="170"/>
      <c r="Y12" s="360"/>
      <c r="Z12" s="35"/>
      <c r="AA12" s="35"/>
      <c r="AB12" s="31"/>
      <c r="AD12" s="244"/>
      <c r="AE12" s="244"/>
      <c r="AF12" s="244"/>
      <c r="AG12" s="244"/>
      <c r="AH12" s="244"/>
      <c r="AI12" s="244"/>
      <c r="AJ12" s="244"/>
      <c r="AK12" s="244"/>
      <c r="AL12" s="244"/>
      <c r="AM12" s="244"/>
      <c r="AN12" s="244"/>
      <c r="AO12" s="244"/>
      <c r="AP12" s="244"/>
      <c r="AQ12" s="244"/>
      <c r="AR12" s="244"/>
      <c r="AS12" s="244"/>
      <c r="AT12" s="244"/>
      <c r="AU12" s="244"/>
      <c r="AV12" s="244"/>
      <c r="AW12" s="244"/>
      <c r="AX12" s="244"/>
      <c r="AY12" s="244"/>
    </row>
    <row r="13" ht="15.6" customHeight="1">
      <c r="A13" s="92"/>
      <c r="B13" s="344">
        <v>16</v>
      </c>
      <c r="C13" s="345" t="s">
        <v>50</v>
      </c>
      <c r="D13" s="370">
        <v>98.687500000</v>
      </c>
      <c r="E13" s="172">
        <v>137.5721393841166936790923825</v>
      </c>
      <c r="F13" s="371">
        <v>142.08777969018932874354561102</v>
      </c>
      <c r="G13" s="370"/>
      <c r="H13" s="172"/>
      <c r="I13" s="371"/>
      <c r="J13" s="370"/>
      <c r="K13" s="172"/>
      <c r="L13" s="371"/>
      <c r="M13" s="370"/>
      <c r="N13" s="172"/>
      <c r="O13" s="371"/>
      <c r="P13" s="4"/>
      <c r="Q13" s="327"/>
      <c r="R13" s="171"/>
      <c r="S13" s="328"/>
      <c r="T13" s="327"/>
      <c r="U13" s="171"/>
      <c r="V13" s="328"/>
      <c r="W13" s="327"/>
      <c r="X13" s="171"/>
      <c r="Y13" s="328"/>
      <c r="Z13" s="36"/>
      <c r="AA13" s="36"/>
      <c r="AB13" s="32"/>
      <c r="AD13" s="244"/>
      <c r="AE13" s="244"/>
      <c r="AF13" s="244"/>
      <c r="AG13" s="244"/>
      <c r="AH13" s="244"/>
      <c r="AI13" s="244"/>
      <c r="AJ13" s="244"/>
      <c r="AK13" s="244"/>
      <c r="AL13" s="244"/>
      <c r="AM13" s="244"/>
      <c r="AN13" s="244"/>
      <c r="AO13" s="244"/>
      <c r="AP13" s="244"/>
      <c r="AQ13" s="244"/>
      <c r="AR13" s="244"/>
      <c r="AS13" s="244"/>
      <c r="AT13" s="244"/>
      <c r="AU13" s="244"/>
      <c r="AV13" s="244"/>
      <c r="AW13" s="244"/>
      <c r="AX13" s="244"/>
      <c r="AY13" s="244"/>
    </row>
    <row r="14" ht="15.6" customHeight="1">
      <c r="A14" s="92"/>
      <c r="B14" s="346">
        <v>17</v>
      </c>
      <c r="C14" s="347" t="s">
        <v>51</v>
      </c>
      <c r="D14" s="378">
        <v>92.28787878787878787878787879</v>
      </c>
      <c r="E14" s="173">
        <v>134.3840504201680672268907563</v>
      </c>
      <c r="F14" s="379">
        <v>128.12130735386549340037712131</v>
      </c>
      <c r="G14" s="378"/>
      <c r="H14" s="173"/>
      <c r="I14" s="379"/>
      <c r="J14" s="378"/>
      <c r="K14" s="173"/>
      <c r="L14" s="379"/>
      <c r="M14" s="378"/>
      <c r="N14" s="173"/>
      <c r="O14" s="379"/>
      <c r="P14" s="4"/>
      <c r="Q14" s="359"/>
      <c r="R14" s="170"/>
      <c r="S14" s="360"/>
      <c r="T14" s="359"/>
      <c r="U14" s="170"/>
      <c r="V14" s="360"/>
      <c r="W14" s="359"/>
      <c r="X14" s="170"/>
      <c r="Y14" s="360"/>
      <c r="Z14" s="35"/>
      <c r="AA14" s="35"/>
      <c r="AB14" s="31"/>
      <c r="AD14" s="244"/>
      <c r="AE14" s="244"/>
      <c r="AF14" s="244"/>
      <c r="AG14" s="244"/>
      <c r="AH14" s="244"/>
      <c r="AI14" s="244"/>
      <c r="AJ14" s="244"/>
      <c r="AK14" s="244"/>
      <c r="AL14" s="244"/>
      <c r="AM14" s="244"/>
      <c r="AN14" s="244"/>
      <c r="AO14" s="244"/>
      <c r="AP14" s="244"/>
      <c r="AQ14" s="244"/>
      <c r="AR14" s="244"/>
      <c r="AS14" s="244"/>
      <c r="AT14" s="244"/>
      <c r="AU14" s="244"/>
      <c r="AV14" s="244"/>
      <c r="AW14" s="244"/>
      <c r="AX14" s="244"/>
      <c r="AY14" s="244"/>
    </row>
    <row r="15" ht="15.6" customHeight="1">
      <c r="A15" s="92"/>
      <c r="B15" s="344">
        <v>18</v>
      </c>
      <c r="C15" s="345" t="s">
        <v>52</v>
      </c>
      <c r="D15" s="370">
        <v>104.020000000</v>
      </c>
      <c r="E15" s="172">
        <v>127.64540777917189460476787953</v>
      </c>
      <c r="F15" s="371">
        <v>122.66333137139493819894055327</v>
      </c>
      <c r="G15" s="370"/>
      <c r="H15" s="172"/>
      <c r="I15" s="371"/>
      <c r="J15" s="370"/>
      <c r="K15" s="172"/>
      <c r="L15" s="371"/>
      <c r="M15" s="370"/>
      <c r="N15" s="172"/>
      <c r="O15" s="371"/>
      <c r="P15" s="4"/>
      <c r="Q15" s="327"/>
      <c r="R15" s="171"/>
      <c r="S15" s="328"/>
      <c r="T15" s="327"/>
      <c r="U15" s="171"/>
      <c r="V15" s="328"/>
      <c r="W15" s="327"/>
      <c r="X15" s="171"/>
      <c r="Y15" s="328"/>
      <c r="Z15" s="36"/>
      <c r="AA15" s="36"/>
      <c r="AB15" s="32"/>
      <c r="AD15" s="244"/>
      <c r="AE15" s="244"/>
      <c r="AF15" s="244"/>
      <c r="AG15" s="244"/>
      <c r="AH15" s="244"/>
      <c r="AI15" s="244"/>
      <c r="AJ15" s="244"/>
      <c r="AK15" s="244"/>
      <c r="AL15" s="244"/>
      <c r="AM15" s="244"/>
      <c r="AN15" s="244"/>
      <c r="AO15" s="244"/>
      <c r="AP15" s="244"/>
      <c r="AQ15" s="244"/>
      <c r="AR15" s="244"/>
      <c r="AS15" s="244"/>
      <c r="AT15" s="244"/>
      <c r="AU15" s="244"/>
      <c r="AV15" s="244"/>
      <c r="AW15" s="244"/>
      <c r="AX15" s="244"/>
      <c r="AY15" s="244"/>
    </row>
    <row r="16" ht="15.6" customHeight="1">
      <c r="A16" s="92"/>
      <c r="B16" s="346">
        <v>19</v>
      </c>
      <c r="C16" s="347" t="s">
        <v>53</v>
      </c>
      <c r="D16" s="378">
        <v>102.80612244897959183673469388</v>
      </c>
      <c r="E16" s="173">
        <v>131.22871465295629820051413882</v>
      </c>
      <c r="F16" s="379">
        <v>124.85799880167765128819652487</v>
      </c>
      <c r="G16" s="378"/>
      <c r="H16" s="173"/>
      <c r="I16" s="379"/>
      <c r="J16" s="378"/>
      <c r="K16" s="173"/>
      <c r="L16" s="379"/>
      <c r="M16" s="378"/>
      <c r="N16" s="173"/>
      <c r="O16" s="379"/>
      <c r="P16" s="4"/>
      <c r="Q16" s="359"/>
      <c r="R16" s="170"/>
      <c r="S16" s="360"/>
      <c r="T16" s="359"/>
      <c r="U16" s="170"/>
      <c r="V16" s="360"/>
      <c r="W16" s="359"/>
      <c r="X16" s="170"/>
      <c r="Y16" s="360"/>
      <c r="Z16" s="35"/>
      <c r="AA16" s="35"/>
      <c r="AB16" s="31"/>
      <c r="AD16" s="244"/>
      <c r="AE16" s="244"/>
      <c r="AF16" s="244"/>
      <c r="AG16" s="244"/>
      <c r="AH16" s="244"/>
      <c r="AI16" s="244"/>
      <c r="AJ16" s="244"/>
      <c r="AK16" s="244"/>
      <c r="AL16" s="244"/>
      <c r="AM16" s="244"/>
      <c r="AN16" s="244"/>
      <c r="AO16" s="244"/>
      <c r="AP16" s="244"/>
      <c r="AQ16" s="244"/>
      <c r="AR16" s="244"/>
      <c r="AS16" s="244"/>
      <c r="AT16" s="244"/>
      <c r="AU16" s="244"/>
      <c r="AV16" s="244"/>
      <c r="AW16" s="244"/>
      <c r="AX16" s="244"/>
      <c r="AY16" s="244"/>
    </row>
    <row r="17" ht="15.6" customHeight="1">
      <c r="A17" s="92"/>
      <c r="B17" s="344">
        <v>20</v>
      </c>
      <c r="C17" s="345" t="s">
        <v>49</v>
      </c>
      <c r="D17" s="370">
        <v>97.51428571428571428571428571</v>
      </c>
      <c r="E17" s="172">
        <v>126.00342685370741482965931865</v>
      </c>
      <c r="F17" s="371">
        <v>116.81423895253682487725040917</v>
      </c>
      <c r="G17" s="370"/>
      <c r="H17" s="172"/>
      <c r="I17" s="371"/>
      <c r="J17" s="370"/>
      <c r="K17" s="172"/>
      <c r="L17" s="371"/>
      <c r="M17" s="370"/>
      <c r="N17" s="172"/>
      <c r="O17" s="371"/>
      <c r="P17" s="4"/>
      <c r="Q17" s="327"/>
      <c r="R17" s="171"/>
      <c r="S17" s="328"/>
      <c r="T17" s="327"/>
      <c r="U17" s="171"/>
      <c r="V17" s="328"/>
      <c r="W17" s="327"/>
      <c r="X17" s="171"/>
      <c r="Y17" s="328"/>
      <c r="Z17" s="36"/>
      <c r="AA17" s="36"/>
      <c r="AB17" s="32"/>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row>
    <row r="18" ht="15.6" customHeight="1">
      <c r="A18" s="92"/>
      <c r="B18" s="346">
        <v>21</v>
      </c>
      <c r="C18" s="347" t="s">
        <v>47</v>
      </c>
      <c r="D18" s="378">
        <v>100.71698113207547169811320755</v>
      </c>
      <c r="E18" s="173">
        <v>142.34976878612716763005780346</v>
      </c>
      <c r="F18" s="379">
        <v>131.93185789167152009318578917</v>
      </c>
      <c r="G18" s="378"/>
      <c r="H18" s="173"/>
      <c r="I18" s="379"/>
      <c r="J18" s="378"/>
      <c r="K18" s="173"/>
      <c r="L18" s="379"/>
      <c r="M18" s="378"/>
      <c r="N18" s="173"/>
      <c r="O18" s="379"/>
      <c r="P18" s="4"/>
      <c r="Q18" s="359"/>
      <c r="R18" s="170"/>
      <c r="S18" s="360"/>
      <c r="T18" s="359"/>
      <c r="U18" s="170"/>
      <c r="V18" s="360"/>
      <c r="W18" s="359"/>
      <c r="X18" s="170"/>
      <c r="Y18" s="360"/>
      <c r="Z18" s="35"/>
      <c r="AA18" s="35"/>
      <c r="AB18" s="31"/>
      <c r="AD18" s="244"/>
      <c r="AE18" s="244"/>
      <c r="AF18" s="244"/>
      <c r="AG18" s="244"/>
      <c r="AH18" s="244"/>
      <c r="AI18" s="244"/>
      <c r="AJ18" s="244"/>
      <c r="AK18" s="244"/>
      <c r="AL18" s="244"/>
      <c r="AM18" s="244"/>
      <c r="AN18" s="244"/>
      <c r="AO18" s="244"/>
      <c r="AP18" s="244"/>
      <c r="AQ18" s="244"/>
      <c r="AR18" s="244"/>
      <c r="AS18" s="244"/>
      <c r="AT18" s="244"/>
      <c r="AU18" s="244"/>
      <c r="AV18" s="244"/>
      <c r="AW18" s="244"/>
      <c r="AX18" s="244"/>
      <c r="AY18" s="244"/>
    </row>
    <row r="19" ht="15.6" customHeight="1">
      <c r="A19" s="92"/>
      <c r="B19" s="344">
        <v>22</v>
      </c>
      <c r="C19" s="345" t="s">
        <v>48</v>
      </c>
      <c r="D19" s="370">
        <v>106.87022900763358778625954198</v>
      </c>
      <c r="E19" s="172">
        <v>144.27495619524405506883604507</v>
      </c>
      <c r="F19" s="371">
        <v>141.01527119536598209583991575</v>
      </c>
      <c r="G19" s="370"/>
      <c r="H19" s="172"/>
      <c r="I19" s="371"/>
      <c r="J19" s="370"/>
      <c r="K19" s="172"/>
      <c r="L19" s="371"/>
      <c r="M19" s="370"/>
      <c r="N19" s="172"/>
      <c r="O19" s="371"/>
      <c r="P19" s="4"/>
      <c r="Q19" s="327"/>
      <c r="R19" s="171"/>
      <c r="S19" s="328"/>
      <c r="T19" s="327"/>
      <c r="U19" s="171"/>
      <c r="V19" s="328"/>
      <c r="W19" s="327"/>
      <c r="X19" s="171"/>
      <c r="Y19" s="328"/>
      <c r="Z19" s="36"/>
      <c r="AA19" s="36"/>
      <c r="AB19" s="32"/>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244"/>
    </row>
    <row r="20" ht="15.6" customHeight="1">
      <c r="A20" s="92"/>
      <c r="B20" s="346">
        <v>23</v>
      </c>
      <c r="C20" s="347" t="s">
        <v>50</v>
      </c>
      <c r="D20" s="378">
        <v>107.7672413793103448275862069</v>
      </c>
      <c r="E20" s="173">
        <v>141.87512786002691790040376851</v>
      </c>
      <c r="F20" s="379">
        <v>137.0774263904034896401308615</v>
      </c>
      <c r="G20" s="378"/>
      <c r="H20" s="173"/>
      <c r="I20" s="379"/>
      <c r="J20" s="378"/>
      <c r="K20" s="173"/>
      <c r="L20" s="379"/>
      <c r="M20" s="378"/>
      <c r="N20" s="173"/>
      <c r="O20" s="379"/>
      <c r="P20" s="4"/>
      <c r="Q20" s="359"/>
      <c r="R20" s="170"/>
      <c r="S20" s="360"/>
      <c r="T20" s="359"/>
      <c r="U20" s="170"/>
      <c r="V20" s="360"/>
      <c r="W20" s="359"/>
      <c r="X20" s="170"/>
      <c r="Y20" s="360"/>
      <c r="Z20" s="35"/>
      <c r="AA20" s="35"/>
      <c r="AB20" s="31"/>
      <c r="AD20" s="244"/>
      <c r="AE20" s="244"/>
      <c r="AF20" s="244"/>
      <c r="AG20" s="244"/>
      <c r="AH20" s="244"/>
      <c r="AI20" s="244"/>
      <c r="AJ20" s="244"/>
      <c r="AK20" s="244"/>
      <c r="AL20" s="244"/>
      <c r="AM20" s="244"/>
      <c r="AN20" s="244"/>
      <c r="AO20" s="244"/>
      <c r="AP20" s="244"/>
      <c r="AQ20" s="244"/>
      <c r="AR20" s="244"/>
      <c r="AS20" s="244"/>
      <c r="AT20" s="244"/>
      <c r="AU20" s="244"/>
      <c r="AV20" s="244"/>
      <c r="AW20" s="244"/>
      <c r="AX20" s="244"/>
      <c r="AY20" s="244"/>
    </row>
    <row r="21" ht="15.6" customHeight="1">
      <c r="A21" s="92"/>
      <c r="B21" s="344">
        <v>24</v>
      </c>
      <c r="C21" s="345" t="s">
        <v>51</v>
      </c>
      <c r="D21" s="370">
        <v>74.000000000</v>
      </c>
      <c r="E21" s="172">
        <v>138.68687603305785123966942148</v>
      </c>
      <c r="F21" s="371">
        <v>124.77052359405300581771170006</v>
      </c>
      <c r="G21" s="370"/>
      <c r="H21" s="172"/>
      <c r="I21" s="371"/>
      <c r="J21" s="370"/>
      <c r="K21" s="172"/>
      <c r="L21" s="371"/>
      <c r="M21" s="370"/>
      <c r="N21" s="172"/>
      <c r="O21" s="371"/>
      <c r="P21" s="4"/>
      <c r="Q21" s="327"/>
      <c r="R21" s="171"/>
      <c r="S21" s="328"/>
      <c r="T21" s="327"/>
      <c r="U21" s="171"/>
      <c r="V21" s="328"/>
      <c r="W21" s="327"/>
      <c r="X21" s="171"/>
      <c r="Y21" s="328"/>
      <c r="Z21" s="36"/>
      <c r="AA21" s="36"/>
      <c r="AB21" s="32"/>
      <c r="AD21" s="244"/>
      <c r="AE21" s="244"/>
      <c r="AF21" s="244"/>
      <c r="AG21" s="244"/>
      <c r="AH21" s="244"/>
      <c r="AI21" s="244"/>
      <c r="AJ21" s="244"/>
      <c r="AK21" s="244"/>
      <c r="AL21" s="244"/>
      <c r="AM21" s="244"/>
      <c r="AN21" s="244"/>
      <c r="AO21" s="244"/>
      <c r="AP21" s="244"/>
      <c r="AQ21" s="244"/>
      <c r="AR21" s="244"/>
      <c r="AS21" s="244"/>
      <c r="AT21" s="244"/>
      <c r="AU21" s="244"/>
      <c r="AV21" s="244"/>
      <c r="AW21" s="244"/>
      <c r="AX21" s="244"/>
      <c r="AY21" s="244"/>
    </row>
    <row r="22" ht="15.6" customHeight="1">
      <c r="A22" s="92"/>
      <c r="B22" s="346">
        <v>25</v>
      </c>
      <c r="C22" s="347" t="s">
        <v>52</v>
      </c>
      <c r="D22" s="378">
        <v>41.000000000</v>
      </c>
      <c r="E22" s="173">
        <v>135.99947904869762174405436014</v>
      </c>
      <c r="F22" s="379">
        <v>128.65099457504520795660036166</v>
      </c>
      <c r="G22" s="378"/>
      <c r="H22" s="173"/>
      <c r="I22" s="379"/>
      <c r="J22" s="378"/>
      <c r="K22" s="173"/>
      <c r="L22" s="379"/>
      <c r="M22" s="378"/>
      <c r="N22" s="173"/>
      <c r="O22" s="379"/>
      <c r="P22" s="4"/>
      <c r="Q22" s="359"/>
      <c r="R22" s="170"/>
      <c r="S22" s="360"/>
      <c r="T22" s="359"/>
      <c r="U22" s="170"/>
      <c r="V22" s="360"/>
      <c r="W22" s="359"/>
      <c r="X22" s="170"/>
      <c r="Y22" s="360"/>
      <c r="Z22" s="35"/>
      <c r="AA22" s="35"/>
      <c r="AB22" s="31"/>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244"/>
    </row>
    <row r="23" ht="15.6" customHeight="1">
      <c r="A23" s="92"/>
      <c r="B23" s="344">
        <v>26</v>
      </c>
      <c r="C23" s="345" t="s">
        <v>53</v>
      </c>
      <c r="D23" s="370">
        <v>92.125000000</v>
      </c>
      <c r="E23" s="172">
        <v>135.56263282172373081463990555</v>
      </c>
      <c r="F23" s="371">
        <v>125.13904761904761904761904762</v>
      </c>
      <c r="G23" s="370"/>
      <c r="H23" s="172"/>
      <c r="I23" s="371"/>
      <c r="J23" s="370"/>
      <c r="K23" s="172"/>
      <c r="L23" s="371"/>
      <c r="M23" s="370"/>
      <c r="N23" s="172"/>
      <c r="O23" s="371"/>
      <c r="P23" s="4"/>
      <c r="Q23" s="327"/>
      <c r="R23" s="171"/>
      <c r="S23" s="328"/>
      <c r="T23" s="327"/>
      <c r="U23" s="171"/>
      <c r="V23" s="328"/>
      <c r="W23" s="327"/>
      <c r="X23" s="171"/>
      <c r="Y23" s="328"/>
      <c r="Z23" s="36"/>
      <c r="AA23" s="36"/>
      <c r="AB23" s="32"/>
      <c r="AD23" s="244"/>
      <c r="AE23" s="244"/>
      <c r="AF23" s="244"/>
      <c r="AG23" s="244"/>
      <c r="AH23" s="244"/>
      <c r="AI23" s="244"/>
      <c r="AJ23" s="244"/>
      <c r="AK23" s="244"/>
      <c r="AL23" s="244"/>
      <c r="AM23" s="244"/>
      <c r="AN23" s="244"/>
      <c r="AO23" s="244"/>
      <c r="AP23" s="244"/>
      <c r="AQ23" s="244"/>
      <c r="AR23" s="244"/>
      <c r="AS23" s="244"/>
      <c r="AT23" s="244"/>
      <c r="AU23" s="244"/>
      <c r="AV23" s="244"/>
      <c r="AW23" s="244"/>
      <c r="AX23" s="244"/>
      <c r="AY23" s="244"/>
    </row>
    <row r="24" ht="15.6" customHeight="1">
      <c r="A24" s="92"/>
      <c r="B24" s="346">
        <v>27</v>
      </c>
      <c r="C24" s="347" t="s">
        <v>49</v>
      </c>
      <c r="D24" s="378">
        <v>74.538461538461538461538461538</v>
      </c>
      <c r="E24" s="173">
        <v>135.10125260960334029227557411</v>
      </c>
      <c r="F24" s="379">
        <v>115.69163763066202090592334495</v>
      </c>
      <c r="G24" s="378"/>
      <c r="H24" s="173"/>
      <c r="I24" s="379"/>
      <c r="J24" s="378"/>
      <c r="K24" s="173"/>
      <c r="L24" s="379"/>
      <c r="M24" s="378"/>
      <c r="N24" s="173"/>
      <c r="O24" s="379"/>
      <c r="P24" s="4"/>
      <c r="Q24" s="359"/>
      <c r="R24" s="170"/>
      <c r="S24" s="360"/>
      <c r="T24" s="359"/>
      <c r="U24" s="170"/>
      <c r="V24" s="360"/>
      <c r="W24" s="359"/>
      <c r="X24" s="170"/>
      <c r="Y24" s="360"/>
      <c r="Z24" s="35"/>
      <c r="AA24" s="35"/>
      <c r="AB24" s="31"/>
      <c r="AD24" s="244"/>
      <c r="AE24" s="244"/>
      <c r="AF24" s="244"/>
      <c r="AG24" s="244"/>
      <c r="AH24" s="244"/>
      <c r="AI24" s="244"/>
      <c r="AJ24" s="244"/>
      <c r="AK24" s="244"/>
      <c r="AL24" s="244"/>
      <c r="AM24" s="244"/>
      <c r="AN24" s="244"/>
      <c r="AO24" s="244"/>
      <c r="AP24" s="244"/>
      <c r="AQ24" s="244"/>
      <c r="AR24" s="244"/>
      <c r="AS24" s="244"/>
      <c r="AT24" s="244"/>
      <c r="AU24" s="244"/>
      <c r="AV24" s="244"/>
      <c r="AW24" s="244"/>
      <c r="AX24" s="244"/>
      <c r="AY24" s="244"/>
    </row>
    <row r="25" ht="15.6" customHeight="1">
      <c r="A25" s="92"/>
      <c r="B25" s="344">
        <v>28</v>
      </c>
      <c r="C25" s="345" t="s">
        <v>47</v>
      </c>
      <c r="D25" s="370">
        <v>113.95876288659793814432989691</v>
      </c>
      <c r="E25" s="172">
        <v>138.58989431968295904887714663</v>
      </c>
      <c r="F25" s="371">
        <v>130.7068062827225130890052356</v>
      </c>
      <c r="G25" s="370"/>
      <c r="H25" s="172"/>
      <c r="I25" s="371"/>
      <c r="J25" s="370"/>
      <c r="K25" s="172"/>
      <c r="L25" s="371"/>
      <c r="M25" s="370"/>
      <c r="N25" s="172"/>
      <c r="O25" s="371"/>
      <c r="P25" s="4"/>
      <c r="Q25" s="327"/>
      <c r="R25" s="171"/>
      <c r="S25" s="328"/>
      <c r="T25" s="327"/>
      <c r="U25" s="171"/>
      <c r="V25" s="328"/>
      <c r="W25" s="327"/>
      <c r="X25" s="171"/>
      <c r="Y25" s="328"/>
      <c r="Z25" s="36"/>
      <c r="AA25" s="36"/>
      <c r="AB25" s="32"/>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row>
    <row r="26" ht="15.6" customHeight="1">
      <c r="A26" s="92"/>
      <c r="B26" s="346">
        <v>29</v>
      </c>
      <c r="C26" s="347" t="s">
        <v>48</v>
      </c>
      <c r="D26" s="378">
        <v>110.56779661016949152542372881</v>
      </c>
      <c r="E26" s="173">
        <v>138.75909200968523002421307506</v>
      </c>
      <c r="F26" s="379">
        <v>136.45771958537915984724495363</v>
      </c>
      <c r="G26" s="378"/>
      <c r="H26" s="173"/>
      <c r="I26" s="379"/>
      <c r="J26" s="378"/>
      <c r="K26" s="173"/>
      <c r="L26" s="379"/>
      <c r="M26" s="378"/>
      <c r="N26" s="173"/>
      <c r="O26" s="379"/>
      <c r="P26" s="4"/>
      <c r="Q26" s="359"/>
      <c r="R26" s="170"/>
      <c r="S26" s="360"/>
      <c r="T26" s="359"/>
      <c r="U26" s="170"/>
      <c r="V26" s="360"/>
      <c r="W26" s="359"/>
      <c r="X26" s="170"/>
      <c r="Y26" s="360"/>
      <c r="Z26" s="35"/>
      <c r="AA26" s="35"/>
      <c r="AB26" s="31"/>
      <c r="AD26" s="244"/>
      <c r="AE26" s="244"/>
      <c r="AF26" s="244"/>
      <c r="AG26" s="244"/>
      <c r="AH26" s="244"/>
      <c r="AI26" s="244"/>
      <c r="AJ26" s="244"/>
      <c r="AK26" s="244"/>
      <c r="AL26" s="244"/>
      <c r="AM26" s="244"/>
      <c r="AN26" s="244"/>
      <c r="AO26" s="244"/>
      <c r="AP26" s="244"/>
      <c r="AQ26" s="244"/>
      <c r="AR26" s="244"/>
      <c r="AS26" s="244"/>
      <c r="AT26" s="244"/>
      <c r="AU26" s="244"/>
      <c r="AV26" s="244"/>
      <c r="AW26" s="244"/>
      <c r="AX26" s="244"/>
      <c r="AY26" s="244"/>
    </row>
    <row r="27" ht="15.6" customHeight="1">
      <c r="A27" s="92"/>
      <c r="B27" s="344">
        <v>30</v>
      </c>
      <c r="C27" s="345" t="s">
        <v>50</v>
      </c>
      <c r="D27" s="370">
        <v>110.16279069767441860465116279</v>
      </c>
      <c r="E27" s="172">
        <v>138.27795454545454545454545454</v>
      </c>
      <c r="F27" s="371">
        <v>130.67163289630512514898688915</v>
      </c>
      <c r="G27" s="370"/>
      <c r="H27" s="172"/>
      <c r="I27" s="371"/>
      <c r="J27" s="370"/>
      <c r="K27" s="172"/>
      <c r="L27" s="371"/>
      <c r="M27" s="370"/>
      <c r="N27" s="172"/>
      <c r="O27" s="371"/>
      <c r="P27" s="4"/>
      <c r="Q27" s="327"/>
      <c r="R27" s="171"/>
      <c r="S27" s="328"/>
      <c r="T27" s="327"/>
      <c r="U27" s="171"/>
      <c r="V27" s="328"/>
      <c r="W27" s="327"/>
      <c r="X27" s="171"/>
      <c r="Y27" s="328"/>
      <c r="Z27" s="36"/>
      <c r="AA27" s="36"/>
      <c r="AB27" s="32"/>
      <c r="AD27" s="244"/>
      <c r="AE27" s="244"/>
      <c r="AF27" s="244"/>
      <c r="AG27" s="244"/>
      <c r="AH27" s="244"/>
      <c r="AI27" s="244"/>
      <c r="AJ27" s="244"/>
      <c r="AK27" s="244"/>
      <c r="AL27" s="244"/>
      <c r="AM27" s="244"/>
      <c r="AN27" s="244"/>
      <c r="AO27" s="244"/>
      <c r="AP27" s="244"/>
      <c r="AQ27" s="244"/>
      <c r="AR27" s="244"/>
      <c r="AS27" s="244"/>
      <c r="AT27" s="244"/>
      <c r="AU27" s="244"/>
      <c r="AV27" s="244"/>
      <c r="AW27" s="244"/>
      <c r="AX27" s="244"/>
      <c r="AY27" s="244"/>
    </row>
    <row r="28" ht="15.6" customHeight="1">
      <c r="A28" s="92"/>
      <c r="B28" s="346">
        <v>31</v>
      </c>
      <c r="C28" s="347" t="s">
        <v>51</v>
      </c>
      <c r="D28" s="378">
        <v>80.95555555555555555555555556</v>
      </c>
      <c r="E28" s="173">
        <v>130.68808467741935483870967741</v>
      </c>
      <c r="F28" s="379">
        <v>123.90666666666666666666666667</v>
      </c>
      <c r="G28" s="378"/>
      <c r="H28" s="173"/>
      <c r="I28" s="379"/>
      <c r="J28" s="378"/>
      <c r="K28" s="173"/>
      <c r="L28" s="379"/>
      <c r="M28" s="378"/>
      <c r="N28" s="173"/>
      <c r="O28" s="379"/>
      <c r="P28" s="4"/>
      <c r="Q28" s="359"/>
      <c r="R28" s="170"/>
      <c r="S28" s="360"/>
      <c r="T28" s="359"/>
      <c r="U28" s="170"/>
      <c r="V28" s="360"/>
      <c r="W28" s="359"/>
      <c r="X28" s="170"/>
      <c r="Y28" s="360"/>
      <c r="Z28" s="35"/>
      <c r="AA28" s="35"/>
      <c r="AB28" s="31"/>
      <c r="AD28" s="244"/>
      <c r="AE28" s="244"/>
      <c r="AF28" s="244"/>
      <c r="AG28" s="244"/>
      <c r="AH28" s="244"/>
      <c r="AI28" s="244"/>
      <c r="AJ28" s="244"/>
      <c r="AK28" s="244"/>
      <c r="AL28" s="244"/>
      <c r="AM28" s="244"/>
      <c r="AN28" s="244"/>
      <c r="AO28" s="244"/>
      <c r="AP28" s="244"/>
      <c r="AQ28" s="244"/>
      <c r="AR28" s="244"/>
      <c r="AS28" s="244"/>
      <c r="AT28" s="244"/>
      <c r="AU28" s="244"/>
      <c r="AV28" s="244"/>
      <c r="AW28" s="244"/>
      <c r="AX28" s="244"/>
      <c r="AY28" s="244"/>
    </row>
    <row r="29" ht="15.6" customHeight="1">
      <c r="A29" s="92" t="s">
        <v>145</v>
      </c>
      <c r="B29" s="666">
        <v>1</v>
      </c>
      <c r="C29" s="677" t="s">
        <v>52</v>
      </c>
      <c r="D29" s="678">
        <v>94.41095890410958904109589041</v>
      </c>
      <c r="E29" s="679">
        <v>131.98644793152639087018544936</v>
      </c>
      <c r="F29" s="680">
        <v>122.5</v>
      </c>
      <c r="G29" s="678"/>
      <c r="H29" s="679"/>
      <c r="I29" s="680"/>
      <c r="J29" s="678"/>
      <c r="K29" s="679"/>
      <c r="L29" s="680"/>
      <c r="M29" s="678"/>
      <c r="N29" s="679"/>
      <c r="O29" s="680"/>
      <c r="P29" s="4"/>
      <c r="Q29" s="668"/>
      <c r="R29" s="669"/>
      <c r="S29" s="670"/>
      <c r="T29" s="668"/>
      <c r="U29" s="669"/>
      <c r="V29" s="670"/>
      <c r="W29" s="668"/>
      <c r="X29" s="669"/>
      <c r="Y29" s="670"/>
      <c r="Z29" s="683"/>
      <c r="AA29" s="683"/>
      <c r="AB29" s="68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244"/>
    </row>
    <row r="30" ht="15.6" customHeight="1">
      <c r="A30" s="92"/>
      <c r="B30" s="346">
        <v>2</v>
      </c>
      <c r="C30" s="347" t="s">
        <v>53</v>
      </c>
      <c r="D30" s="378">
        <v>95.000000000</v>
      </c>
      <c r="E30" s="173">
        <v>142.08141579731743666169895677</v>
      </c>
      <c r="F30" s="379">
        <v>117.19050673508659397049390635</v>
      </c>
      <c r="G30" s="378"/>
      <c r="H30" s="173"/>
      <c r="I30" s="379"/>
      <c r="J30" s="378"/>
      <c r="K30" s="173"/>
      <c r="L30" s="379"/>
      <c r="M30" s="378"/>
      <c r="N30" s="173"/>
      <c r="O30" s="379"/>
      <c r="P30" s="4"/>
      <c r="Q30" s="359"/>
      <c r="R30" s="170"/>
      <c r="S30" s="360"/>
      <c r="T30" s="359"/>
      <c r="U30" s="170"/>
      <c r="V30" s="360"/>
      <c r="W30" s="359"/>
      <c r="X30" s="170"/>
      <c r="Y30" s="360"/>
      <c r="Z30" s="35"/>
      <c r="AA30" s="35"/>
      <c r="AB30" s="31"/>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244"/>
    </row>
    <row r="31" ht="15.6" customHeight="1">
      <c r="A31" s="92"/>
      <c r="B31" s="344">
        <v>3</v>
      </c>
      <c r="C31" s="345" t="s">
        <v>49</v>
      </c>
      <c r="D31" s="370">
        <v>87.53571428571428571428571429</v>
      </c>
      <c r="E31" s="172">
        <v>137.2228985507246376811594203</v>
      </c>
      <c r="F31" s="371">
        <v>111.38334858188472095150960659</v>
      </c>
      <c r="G31" s="370"/>
      <c r="H31" s="172"/>
      <c r="I31" s="371"/>
      <c r="J31" s="370"/>
      <c r="K31" s="172"/>
      <c r="L31" s="371"/>
      <c r="M31" s="370"/>
      <c r="N31" s="172"/>
      <c r="O31" s="371"/>
      <c r="P31" s="4"/>
      <c r="Q31" s="327"/>
      <c r="R31" s="171"/>
      <c r="S31" s="328"/>
      <c r="T31" s="327"/>
      <c r="U31" s="171"/>
      <c r="V31" s="328"/>
      <c r="W31" s="327"/>
      <c r="X31" s="171"/>
      <c r="Y31" s="328"/>
      <c r="Z31" s="36"/>
      <c r="AA31" s="36"/>
      <c r="AB31" s="32"/>
      <c r="AD31" s="244"/>
      <c r="AE31" s="244"/>
      <c r="AF31" s="244"/>
      <c r="AG31" s="244"/>
      <c r="AH31" s="244"/>
      <c r="AI31" s="244"/>
      <c r="AJ31" s="244"/>
      <c r="AK31" s="244"/>
      <c r="AL31" s="244"/>
      <c r="AM31" s="244"/>
      <c r="AN31" s="244"/>
      <c r="AO31" s="244"/>
      <c r="AP31" s="244"/>
      <c r="AQ31" s="244"/>
      <c r="AR31" s="244"/>
      <c r="AS31" s="244"/>
      <c r="AT31" s="244"/>
      <c r="AU31" s="244"/>
      <c r="AV31" s="244"/>
      <c r="AW31" s="244"/>
      <c r="AX31" s="244"/>
      <c r="AY31" s="244"/>
    </row>
    <row r="32" ht="15.6" customHeight="1">
      <c r="A32" s="92"/>
      <c r="B32" s="346">
        <v>4</v>
      </c>
      <c r="C32" s="347" t="s">
        <v>47</v>
      </c>
      <c r="D32" s="378">
        <v>100.94285714285714285714285714</v>
      </c>
      <c r="E32" s="173">
        <v>147.99785578747628083491461102</v>
      </c>
      <c r="F32" s="379">
        <v>126.96412556053811659192825112</v>
      </c>
      <c r="G32" s="378"/>
      <c r="H32" s="173"/>
      <c r="I32" s="379"/>
      <c r="J32" s="378"/>
      <c r="K32" s="173"/>
      <c r="L32" s="379"/>
      <c r="M32" s="378"/>
      <c r="N32" s="173"/>
      <c r="O32" s="379"/>
      <c r="P32" s="4"/>
      <c r="Q32" s="359"/>
      <c r="R32" s="170"/>
      <c r="S32" s="360"/>
      <c r="T32" s="359"/>
      <c r="U32" s="170"/>
      <c r="V32" s="360"/>
      <c r="W32" s="359"/>
      <c r="X32" s="170"/>
      <c r="Y32" s="360"/>
      <c r="Z32" s="35"/>
      <c r="AA32" s="35"/>
      <c r="AB32" s="31"/>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244"/>
    </row>
    <row r="33" ht="15.6" customHeight="1">
      <c r="A33" s="92"/>
      <c r="B33" s="344">
        <v>5</v>
      </c>
      <c r="C33" s="345" t="s">
        <v>48</v>
      </c>
      <c r="D33" s="370">
        <v>91.14285714285714285714285714</v>
      </c>
      <c r="E33" s="172">
        <v>139.54985739750445632798573976</v>
      </c>
      <c r="F33" s="371">
        <v>132.82102272727272727272727273</v>
      </c>
      <c r="G33" s="370"/>
      <c r="H33" s="172"/>
      <c r="I33" s="371"/>
      <c r="J33" s="370"/>
      <c r="K33" s="172"/>
      <c r="L33" s="371"/>
      <c r="M33" s="370"/>
      <c r="N33" s="172"/>
      <c r="O33" s="371"/>
      <c r="P33" s="4"/>
      <c r="Q33" s="327"/>
      <c r="R33" s="171"/>
      <c r="S33" s="328"/>
      <c r="T33" s="327"/>
      <c r="U33" s="171"/>
      <c r="V33" s="328"/>
      <c r="W33" s="327"/>
      <c r="X33" s="171"/>
      <c r="Y33" s="328"/>
      <c r="Z33" s="36"/>
      <c r="AA33" s="36"/>
      <c r="AB33" s="32"/>
      <c r="AD33" s="244"/>
      <c r="AE33" s="244"/>
      <c r="AF33" s="244"/>
      <c r="AG33" s="244"/>
      <c r="AH33" s="244"/>
      <c r="AI33" s="244"/>
      <c r="AJ33" s="244"/>
      <c r="AK33" s="244"/>
      <c r="AL33" s="244"/>
      <c r="AM33" s="244"/>
      <c r="AN33" s="244"/>
      <c r="AO33" s="244"/>
      <c r="AP33" s="244"/>
      <c r="AQ33" s="244"/>
      <c r="AR33" s="244"/>
      <c r="AS33" s="244"/>
      <c r="AT33" s="244"/>
      <c r="AU33" s="244"/>
      <c r="AV33" s="244"/>
      <c r="AW33" s="244"/>
      <c r="AX33" s="244"/>
      <c r="AY33" s="244"/>
    </row>
    <row r="34" ht="15.6" customHeight="1">
      <c r="A34" s="92"/>
      <c r="B34" s="346">
        <v>6</v>
      </c>
      <c r="C34" s="347" t="s">
        <v>50</v>
      </c>
      <c r="D34" s="378">
        <v>94.30263157894736842105263158</v>
      </c>
      <c r="E34" s="173">
        <v>143.75094876660341555977229603</v>
      </c>
      <c r="F34" s="379">
        <v>133.29552065154159394997091332</v>
      </c>
      <c r="G34" s="378"/>
      <c r="H34" s="173"/>
      <c r="I34" s="379"/>
      <c r="J34" s="378"/>
      <c r="K34" s="173"/>
      <c r="L34" s="379"/>
      <c r="M34" s="378"/>
      <c r="N34" s="173"/>
      <c r="O34" s="379"/>
      <c r="P34" s="4"/>
      <c r="Q34" s="359"/>
      <c r="R34" s="170"/>
      <c r="S34" s="360"/>
      <c r="T34" s="359"/>
      <c r="U34" s="170"/>
      <c r="V34" s="360"/>
      <c r="W34" s="359"/>
      <c r="X34" s="170"/>
      <c r="Y34" s="360"/>
      <c r="Z34" s="35"/>
      <c r="AA34" s="35"/>
      <c r="AB34" s="31"/>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244"/>
    </row>
    <row r="35" ht="15.6" customHeight="1">
      <c r="A35" s="92"/>
      <c r="B35" s="344">
        <v>7</v>
      </c>
      <c r="C35" s="345" t="s">
        <v>51</v>
      </c>
      <c r="D35" s="370">
        <v>97.45161290322580645161290323</v>
      </c>
      <c r="E35" s="172">
        <v>133.74474178403755868544600938</v>
      </c>
      <c r="F35" s="371">
        <v>124.23322259136212624584717608</v>
      </c>
      <c r="G35" s="370"/>
      <c r="H35" s="172"/>
      <c r="I35" s="371"/>
      <c r="J35" s="370"/>
      <c r="K35" s="172"/>
      <c r="L35" s="371"/>
      <c r="M35" s="370"/>
      <c r="N35" s="172"/>
      <c r="O35" s="371"/>
      <c r="P35" s="4"/>
      <c r="Q35" s="327"/>
      <c r="R35" s="171"/>
      <c r="S35" s="328"/>
      <c r="T35" s="327"/>
      <c r="U35" s="171"/>
      <c r="V35" s="328"/>
      <c r="W35" s="327"/>
      <c r="X35" s="171"/>
      <c r="Y35" s="328"/>
      <c r="Z35" s="36"/>
      <c r="AA35" s="36"/>
      <c r="AB35" s="32"/>
      <c r="AD35" s="244"/>
      <c r="AE35" s="244"/>
      <c r="AF35" s="244"/>
      <c r="AG35" s="244"/>
      <c r="AH35" s="244"/>
      <c r="AI35" s="244"/>
      <c r="AJ35" s="244"/>
      <c r="AK35" s="244"/>
      <c r="AL35" s="244"/>
      <c r="AM35" s="244"/>
      <c r="AN35" s="244"/>
      <c r="AO35" s="244"/>
      <c r="AP35" s="244"/>
      <c r="AQ35" s="244"/>
      <c r="AR35" s="244"/>
      <c r="AS35" s="244"/>
      <c r="AT35" s="244"/>
      <c r="AU35" s="244"/>
      <c r="AV35" s="244"/>
      <c r="AW35" s="244"/>
      <c r="AX35" s="244"/>
      <c r="AY35" s="244"/>
    </row>
    <row r="36" ht="15.6" customHeight="1">
      <c r="A36" s="92"/>
      <c r="B36" s="346">
        <v>8</v>
      </c>
      <c r="C36" s="347" t="s">
        <v>52</v>
      </c>
      <c r="D36" s="378">
        <v>105.56060606060606060606060606</v>
      </c>
      <c r="E36" s="173">
        <v>112.96954732510288065843621398</v>
      </c>
      <c r="F36" s="379">
        <v>120.47167409293443666454487588</v>
      </c>
      <c r="G36" s="378"/>
      <c r="H36" s="173"/>
      <c r="I36" s="379"/>
      <c r="J36" s="378"/>
      <c r="K36" s="173"/>
      <c r="L36" s="379"/>
      <c r="M36" s="378"/>
      <c r="N36" s="173"/>
      <c r="O36" s="379"/>
      <c r="P36" s="4"/>
      <c r="Q36" s="359"/>
      <c r="R36" s="170"/>
      <c r="S36" s="360"/>
      <c r="T36" s="359"/>
      <c r="U36" s="170"/>
      <c r="V36" s="360"/>
      <c r="W36" s="359"/>
      <c r="X36" s="170"/>
      <c r="Y36" s="360"/>
      <c r="Z36" s="35"/>
      <c r="AA36" s="35"/>
      <c r="AB36" s="31"/>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row>
    <row r="37" ht="15.6" customHeight="1">
      <c r="A37" s="92"/>
      <c r="B37" s="348">
        <v>9</v>
      </c>
      <c r="C37" s="349" t="s">
        <v>53</v>
      </c>
      <c r="D37" s="380">
        <v>107.97520661157024793388429752</v>
      </c>
      <c r="E37" s="383">
        <v>115.51170886075949367088607596</v>
      </c>
      <c r="F37" s="381">
        <v>120.42695924764890282131661442</v>
      </c>
      <c r="G37" s="380"/>
      <c r="H37" s="383"/>
      <c r="I37" s="381"/>
      <c r="J37" s="380"/>
      <c r="K37" s="383"/>
      <c r="L37" s="381"/>
      <c r="M37" s="380"/>
      <c r="N37" s="383"/>
      <c r="O37" s="381"/>
      <c r="P37" s="4"/>
      <c r="Q37" s="329"/>
      <c r="R37" s="330"/>
      <c r="S37" s="332"/>
      <c r="T37" s="329"/>
      <c r="U37" s="330"/>
      <c r="V37" s="332"/>
      <c r="W37" s="329"/>
      <c r="X37" s="330"/>
      <c r="Y37" s="332"/>
      <c r="Z37" s="37"/>
      <c r="AA37" s="37"/>
      <c r="AB37" s="33"/>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244"/>
    </row>
    <row r="38" ht="21" customHeight="1">
      <c r="B38" s="54"/>
      <c r="C38"/>
      <c r="D38" s="169"/>
      <c r="E38" s="169"/>
      <c r="F38" s="169"/>
      <c r="G38" s="169"/>
      <c r="H38" s="169"/>
      <c r="I38" s="169"/>
      <c r="J38" s="169"/>
      <c r="K38" s="169"/>
      <c r="L38" s="169"/>
      <c r="M38" s="169"/>
      <c r="N38" s="169"/>
      <c r="O38" s="169"/>
      <c r="P38" s="4"/>
      <c r="Q38" s="4"/>
      <c r="R38" s="4"/>
      <c r="S38" s="4"/>
      <c r="T38" s="4"/>
      <c r="U38" s="4"/>
      <c r="V38" s="4"/>
      <c r="W38" s="4"/>
      <c r="X38" s="4"/>
      <c r="Y38" s="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244"/>
    </row>
    <row r="39" ht="15.6" customHeight="1">
      <c r="A39" s="54"/>
      <c r="B39" s="53"/>
      <c r="C39" s="53" t="s">
        <v>14</v>
      </c>
      <c r="D39" s="374">
        <v>89.94776119402985074626865672</v>
      </c>
      <c r="E39" s="382">
        <v>129.99527056277056277056277057</v>
      </c>
      <c r="F39" s="375">
        <v>114.74247635425623387790197764</v>
      </c>
      <c r="G39" s="374"/>
      <c r="H39" s="382"/>
      <c r="I39" s="375"/>
      <c r="J39" s="374"/>
      <c r="K39" s="382"/>
      <c r="L39" s="375"/>
      <c r="M39" s="374"/>
      <c r="N39" s="382"/>
      <c r="O39" s="375"/>
      <c r="P39" s="4"/>
      <c r="Q39" s="354"/>
      <c r="R39" s="355"/>
      <c r="S39" s="356"/>
      <c r="T39" s="354"/>
      <c r="U39" s="355"/>
      <c r="V39" s="356"/>
      <c r="W39" s="354"/>
      <c r="X39" s="355"/>
      <c r="Y39" s="356"/>
      <c r="Z39" s="38"/>
      <c r="AA39" s="38"/>
      <c r="AB39" s="34"/>
      <c r="AD39" s="244"/>
      <c r="AE39" s="244"/>
      <c r="AF39" s="244"/>
      <c r="AG39" s="244"/>
      <c r="AH39" s="244"/>
      <c r="AI39" s="244"/>
      <c r="AJ39" s="244"/>
      <c r="AK39" s="244"/>
      <c r="AL39" s="244"/>
      <c r="AM39" s="244"/>
      <c r="AN39" s="244"/>
      <c r="AO39" s="244"/>
      <c r="AP39" s="244"/>
      <c r="AQ39" s="244"/>
      <c r="AR39" s="244"/>
      <c r="AS39" s="244"/>
      <c r="AT39" s="244"/>
      <c r="AU39" s="244"/>
      <c r="AV39" s="244"/>
      <c r="AW39" s="244"/>
      <c r="AX39" s="244"/>
      <c r="AY39" s="244"/>
    </row>
    <row r="40" ht="15.6" customHeight="1">
      <c r="A40" s="54"/>
      <c r="C40" s="53" t="s">
        <v>15</v>
      </c>
      <c r="D40" s="370">
        <v>104.84583333333333333333333333</v>
      </c>
      <c r="E40" s="172">
        <v>142.02515987210231814548361311</v>
      </c>
      <c r="F40" s="371">
        <v>130.68023255813953488372093023</v>
      </c>
      <c r="G40" s="370"/>
      <c r="H40" s="172"/>
      <c r="I40" s="371"/>
      <c r="J40" s="370"/>
      <c r="K40" s="172"/>
      <c r="L40" s="371"/>
      <c r="M40" s="370"/>
      <c r="N40" s="172"/>
      <c r="O40" s="371"/>
      <c r="P40" s="4"/>
      <c r="Q40" s="327"/>
      <c r="R40" s="171"/>
      <c r="S40" s="328"/>
      <c r="T40" s="327"/>
      <c r="U40" s="171"/>
      <c r="V40" s="328"/>
      <c r="W40" s="327"/>
      <c r="X40" s="171"/>
      <c r="Y40" s="328"/>
      <c r="Z40" s="36"/>
      <c r="AA40" s="36"/>
      <c r="AB40" s="32"/>
      <c r="AD40" s="244"/>
      <c r="AE40" s="244"/>
      <c r="AF40" s="244"/>
      <c r="AG40" s="244"/>
      <c r="AH40" s="244"/>
      <c r="AI40" s="244"/>
      <c r="AJ40" s="244"/>
      <c r="AK40" s="244"/>
      <c r="AL40" s="244"/>
      <c r="AM40" s="244"/>
      <c r="AN40" s="244"/>
      <c r="AO40" s="244"/>
      <c r="AP40" s="244"/>
      <c r="AQ40" s="244"/>
      <c r="AR40" s="244"/>
      <c r="AS40" s="244"/>
      <c r="AT40" s="244"/>
      <c r="AU40" s="244"/>
      <c r="AV40" s="244"/>
      <c r="AW40" s="244"/>
      <c r="AX40" s="244"/>
      <c r="AY40" s="244"/>
    </row>
    <row r="41" ht="15.6" customHeight="1">
      <c r="A41" s="54"/>
      <c r="B41" s="22"/>
      <c r="C41" s="53" t="s">
        <v>16</v>
      </c>
      <c r="D41" s="378">
        <v>104.617187500</v>
      </c>
      <c r="E41" s="173">
        <v>141.37342484557309540150995196</v>
      </c>
      <c r="F41" s="379">
        <v>138.72045914922349763673193788</v>
      </c>
      <c r="G41" s="378"/>
      <c r="H41" s="173"/>
      <c r="I41" s="379"/>
      <c r="J41" s="378"/>
      <c r="K41" s="173"/>
      <c r="L41" s="379"/>
      <c r="M41" s="378"/>
      <c r="N41" s="173"/>
      <c r="O41" s="379"/>
      <c r="P41" s="4"/>
      <c r="Q41" s="359"/>
      <c r="R41" s="170"/>
      <c r="S41" s="360"/>
      <c r="T41" s="359"/>
      <c r="U41" s="170"/>
      <c r="V41" s="360"/>
      <c r="W41" s="359"/>
      <c r="X41" s="170"/>
      <c r="Y41" s="360"/>
      <c r="Z41" s="35"/>
      <c r="AA41" s="35"/>
      <c r="AB41" s="31"/>
      <c r="AD41" s="244"/>
      <c r="AE41" s="244"/>
      <c r="AF41" s="244"/>
      <c r="AG41" s="244"/>
      <c r="AH41" s="244"/>
      <c r="AI41" s="244"/>
      <c r="AJ41" s="244"/>
      <c r="AK41" s="244"/>
      <c r="AL41" s="244"/>
      <c r="AM41" s="244"/>
      <c r="AN41" s="244"/>
      <c r="AO41" s="244"/>
      <c r="AP41" s="244"/>
      <c r="AQ41" s="244"/>
      <c r="AR41" s="244"/>
      <c r="AS41" s="244"/>
      <c r="AT41" s="244"/>
      <c r="AU41" s="244"/>
      <c r="AV41" s="244"/>
      <c r="AW41" s="244"/>
      <c r="AX41" s="244"/>
      <c r="AY41" s="244"/>
    </row>
    <row r="42" ht="15.6" customHeight="1">
      <c r="A42" s="54"/>
      <c r="B42" s="22"/>
      <c r="C42" s="53" t="s">
        <v>17</v>
      </c>
      <c r="D42" s="370">
        <v>104.17456359102244389027431421</v>
      </c>
      <c r="E42" s="172">
        <v>140.22159013282732447817836812</v>
      </c>
      <c r="F42" s="371">
        <v>135.85618009750501864066532836</v>
      </c>
      <c r="G42" s="370"/>
      <c r="H42" s="172"/>
      <c r="I42" s="371"/>
      <c r="J42" s="370"/>
      <c r="K42" s="172"/>
      <c r="L42" s="371"/>
      <c r="M42" s="370"/>
      <c r="N42" s="172"/>
      <c r="O42" s="371"/>
      <c r="P42" s="4"/>
      <c r="Q42" s="327"/>
      <c r="R42" s="171"/>
      <c r="S42" s="328"/>
      <c r="T42" s="327"/>
      <c r="U42" s="171"/>
      <c r="V42" s="328"/>
      <c r="W42" s="327"/>
      <c r="X42" s="171"/>
      <c r="Y42" s="328"/>
      <c r="Z42" s="36"/>
      <c r="AA42" s="36"/>
      <c r="AB42" s="32"/>
      <c r="AD42" s="244"/>
      <c r="AE42" s="244"/>
      <c r="AF42" s="244"/>
      <c r="AG42" s="244"/>
      <c r="AH42" s="244"/>
      <c r="AI42" s="244"/>
      <c r="AJ42" s="244"/>
      <c r="AK42" s="244"/>
      <c r="AL42" s="244"/>
      <c r="AM42" s="244"/>
      <c r="AN42" s="244"/>
      <c r="AO42" s="244"/>
      <c r="AP42" s="244"/>
      <c r="AQ42" s="244"/>
      <c r="AR42" s="244"/>
      <c r="AS42" s="244"/>
      <c r="AT42" s="244"/>
      <c r="AU42" s="244"/>
      <c r="AV42" s="244"/>
      <c r="AW42" s="244"/>
      <c r="AX42" s="244"/>
      <c r="AY42" s="244"/>
    </row>
    <row r="43" ht="15.6" customHeight="1">
      <c r="A43" s="54"/>
      <c r="B43" s="22"/>
      <c r="C43" s="53" t="s">
        <v>18</v>
      </c>
      <c r="D43" s="378">
        <v>89.17346938775510204081632653</v>
      </c>
      <c r="E43" s="173">
        <v>134.61857681432610744580584354</v>
      </c>
      <c r="F43" s="379">
        <v>125.3129531970995385629531971</v>
      </c>
      <c r="G43" s="378"/>
      <c r="H43" s="173"/>
      <c r="I43" s="379"/>
      <c r="J43" s="378"/>
      <c r="K43" s="173"/>
      <c r="L43" s="379"/>
      <c r="M43" s="378"/>
      <c r="N43" s="173"/>
      <c r="O43" s="379"/>
      <c r="P43" s="4"/>
      <c r="Q43" s="359"/>
      <c r="R43" s="170"/>
      <c r="S43" s="360"/>
      <c r="T43" s="359"/>
      <c r="U43" s="170"/>
      <c r="V43" s="360"/>
      <c r="W43" s="359"/>
      <c r="X43" s="170"/>
      <c r="Y43" s="360"/>
      <c r="Z43" s="35"/>
      <c r="AA43" s="35"/>
      <c r="AB43" s="31"/>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244"/>
    </row>
    <row r="44" ht="15.6" customHeight="1">
      <c r="A44" s="54"/>
      <c r="B44" s="22"/>
      <c r="C44" s="53" t="s">
        <v>19</v>
      </c>
      <c r="D44" s="370">
        <v>99.509375000</v>
      </c>
      <c r="E44" s="172">
        <v>128.79198814091384722706662016</v>
      </c>
      <c r="F44" s="371">
        <v>123.62567505014658231754358895</v>
      </c>
      <c r="G44" s="370"/>
      <c r="H44" s="172"/>
      <c r="I44" s="371"/>
      <c r="J44" s="370"/>
      <c r="K44" s="172"/>
      <c r="L44" s="371"/>
      <c r="M44" s="370"/>
      <c r="N44" s="172"/>
      <c r="O44" s="371"/>
      <c r="P44" s="4"/>
      <c r="Q44" s="327"/>
      <c r="R44" s="171"/>
      <c r="S44" s="328"/>
      <c r="T44" s="327"/>
      <c r="U44" s="171"/>
      <c r="V44" s="328"/>
      <c r="W44" s="327"/>
      <c r="X44" s="171"/>
      <c r="Y44" s="328"/>
      <c r="Z44" s="36"/>
      <c r="AA44" s="36"/>
      <c r="AB44" s="32"/>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244"/>
    </row>
    <row r="45" ht="15.6" customHeight="1">
      <c r="A45" s="54"/>
      <c r="B45" s="22"/>
      <c r="C45" s="53" t="s">
        <v>20</v>
      </c>
      <c r="D45" s="384">
        <v>102.33968253968253968253968254</v>
      </c>
      <c r="E45" s="385">
        <v>131.57702185792349726775956284</v>
      </c>
      <c r="F45" s="386">
        <v>121.95420443888715223507346046</v>
      </c>
      <c r="G45" s="384"/>
      <c r="H45" s="385"/>
      <c r="I45" s="386"/>
      <c r="J45" s="384"/>
      <c r="K45" s="385"/>
      <c r="L45" s="386"/>
      <c r="M45" s="384"/>
      <c r="N45" s="385"/>
      <c r="O45" s="386"/>
      <c r="P45" s="4"/>
      <c r="Q45" s="364"/>
      <c r="R45" s="365"/>
      <c r="S45" s="366"/>
      <c r="T45" s="364"/>
      <c r="U45" s="365"/>
      <c r="V45" s="366"/>
      <c r="W45" s="364"/>
      <c r="X45" s="365"/>
      <c r="Y45" s="366"/>
      <c r="Z45" s="56"/>
      <c r="AA45" s="56"/>
      <c r="AB45" s="55"/>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row>
    <row r="46" ht="20.25" customHeight="1">
      <c r="B46" s="54"/>
      <c r="C46"/>
      <c r="D46" s="169"/>
      <c r="E46" s="169"/>
      <c r="F46" s="169"/>
      <c r="G46" s="169"/>
      <c r="H46" s="169"/>
      <c r="I46" s="169"/>
      <c r="J46" s="169"/>
      <c r="K46" s="169"/>
      <c r="L46" s="169"/>
      <c r="M46" s="169"/>
      <c r="N46" s="169"/>
      <c r="O46" s="169"/>
      <c r="P46" s="4"/>
      <c r="Q46" s="4"/>
      <c r="R46" s="4"/>
      <c r="S46" s="4"/>
      <c r="T46" s="4"/>
      <c r="U46" s="4"/>
      <c r="V46" s="4"/>
      <c r="W46" s="4"/>
      <c r="X46" s="4"/>
      <c r="Y46" s="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244"/>
    </row>
    <row r="47" ht="15.6" customHeight="1">
      <c r="A47" s="22"/>
      <c r="B47" s="22"/>
      <c r="C47" s="53" t="s">
        <v>72</v>
      </c>
      <c r="D47" s="374">
        <v>100.45261121856866537717601547</v>
      </c>
      <c r="E47" s="382">
        <v>132.58640638119227539882451722</v>
      </c>
      <c r="F47" s="375">
        <v>125.05979266938171047760088856</v>
      </c>
      <c r="G47" s="374"/>
      <c r="H47" s="382"/>
      <c r="I47" s="375"/>
      <c r="J47" s="374"/>
      <c r="K47" s="382"/>
      <c r="L47" s="375"/>
      <c r="M47" s="374"/>
      <c r="N47" s="382"/>
      <c r="O47" s="375"/>
      <c r="P47" s="4"/>
      <c r="Q47" s="354"/>
      <c r="R47" s="355"/>
      <c r="S47" s="356"/>
      <c r="T47" s="354"/>
      <c r="U47" s="355"/>
      <c r="V47" s="356"/>
      <c r="W47" s="354"/>
      <c r="X47" s="355"/>
      <c r="Y47" s="356"/>
      <c r="Z47" s="38"/>
      <c r="AA47" s="38"/>
      <c r="AB47" s="34"/>
      <c r="AD47" s="244"/>
      <c r="AE47" s="244"/>
      <c r="AF47" s="244"/>
      <c r="AG47" s="244"/>
      <c r="AH47" s="244"/>
      <c r="AI47" s="244"/>
      <c r="AJ47" s="244"/>
      <c r="AK47" s="244"/>
      <c r="AL47" s="244"/>
      <c r="AM47" s="244"/>
      <c r="AN47" s="244"/>
      <c r="AO47" s="244"/>
      <c r="AP47" s="244"/>
      <c r="AQ47" s="244"/>
      <c r="AR47" s="244"/>
      <c r="AS47" s="244"/>
      <c r="AT47" s="244"/>
      <c r="AU47" s="244"/>
      <c r="AV47" s="244"/>
      <c r="AW47" s="244"/>
      <c r="AX47" s="244"/>
      <c r="AY47" s="244"/>
    </row>
    <row r="48" ht="15.6" customHeight="1">
      <c r="A48" s="22"/>
      <c r="B48" s="22"/>
      <c r="C48" s="53" t="s">
        <v>61</v>
      </c>
      <c r="D48" s="370">
        <v>100.86482412060301507537688442</v>
      </c>
      <c r="E48" s="172">
        <v>135.6751812977099236641221374</v>
      </c>
      <c r="F48" s="371">
        <v>128.15984872219487087678467529</v>
      </c>
      <c r="G48" s="370"/>
      <c r="H48" s="172"/>
      <c r="I48" s="371"/>
      <c r="J48" s="370"/>
      <c r="K48" s="172"/>
      <c r="L48" s="371"/>
      <c r="M48" s="370"/>
      <c r="N48" s="172"/>
      <c r="O48" s="371"/>
      <c r="P48" s="4"/>
      <c r="Q48" s="327"/>
      <c r="R48" s="171"/>
      <c r="S48" s="328"/>
      <c r="T48" s="327"/>
      <c r="U48" s="171"/>
      <c r="V48" s="328"/>
      <c r="W48" s="327"/>
      <c r="X48" s="171"/>
      <c r="Y48" s="328"/>
      <c r="Z48" s="36"/>
      <c r="AA48" s="36"/>
      <c r="AB48" s="32"/>
      <c r="AD48" s="244"/>
      <c r="AE48" s="244"/>
      <c r="AF48" s="244"/>
      <c r="AG48" s="244"/>
      <c r="AH48" s="244"/>
      <c r="AI48" s="244"/>
      <c r="AJ48" s="244"/>
      <c r="AK48" s="244"/>
      <c r="AL48" s="244"/>
      <c r="AM48" s="244"/>
      <c r="AN48" s="244"/>
      <c r="AO48" s="244"/>
      <c r="AP48" s="244"/>
      <c r="AQ48" s="244"/>
      <c r="AR48" s="244"/>
      <c r="AS48" s="244"/>
      <c r="AT48" s="244"/>
      <c r="AU48" s="244"/>
      <c r="AV48" s="244"/>
      <c r="AW48" s="244"/>
      <c r="AX48" s="244"/>
      <c r="AY48" s="244"/>
    </row>
    <row r="49" ht="15.6" customHeight="1">
      <c r="A49" s="54"/>
      <c r="B49" s="22"/>
      <c r="C49" s="53" t="s">
        <v>31</v>
      </c>
      <c r="D49" s="384">
        <v>99.0943952802359882005899705</v>
      </c>
      <c r="E49" s="385">
        <v>133.78975935288169868554095046</v>
      </c>
      <c r="F49" s="386">
        <v>123.89263384836507366151634926</v>
      </c>
      <c r="G49" s="384"/>
      <c r="H49" s="385"/>
      <c r="I49" s="386"/>
      <c r="J49" s="384"/>
      <c r="K49" s="385"/>
      <c r="L49" s="386"/>
      <c r="M49" s="384"/>
      <c r="N49" s="385"/>
      <c r="O49" s="386"/>
      <c r="P49" s="4"/>
      <c r="Q49" s="364"/>
      <c r="R49" s="365"/>
      <c r="S49" s="366"/>
      <c r="T49" s="364"/>
      <c r="U49" s="365"/>
      <c r="V49" s="366"/>
      <c r="W49" s="364"/>
      <c r="X49" s="365"/>
      <c r="Y49" s="366"/>
      <c r="Z49" s="56"/>
      <c r="AA49" s="56"/>
      <c r="AB49" s="55"/>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244"/>
    </row>
    <row r="50">
      <c r="AD50" s="244"/>
      <c r="AE50" s="244"/>
      <c r="AF50" s="244"/>
      <c r="AG50" s="244"/>
      <c r="AH50" s="244"/>
      <c r="AI50" s="244"/>
      <c r="AJ50" s="244"/>
      <c r="AK50" s="244"/>
      <c r="AL50" s="244"/>
      <c r="AM50" s="244"/>
      <c r="AN50" s="244"/>
      <c r="AO50" s="244"/>
      <c r="AP50" s="244"/>
      <c r="AQ50" s="244"/>
      <c r="AR50" s="244"/>
      <c r="AS50" s="244"/>
      <c r="AT50" s="244"/>
      <c r="AU50" s="244"/>
      <c r="AV50" s="244"/>
      <c r="AW50" s="244"/>
      <c r="AX50" s="244"/>
      <c r="AY50" s="244"/>
    </row>
    <row r="51" ht="15">
      <c r="D51" s="6" t="s">
        <v>95</v>
      </c>
      <c r="AD51" s="244"/>
      <c r="AE51" s="244"/>
      <c r="AF51" s="244"/>
      <c r="AG51" s="244"/>
      <c r="AH51" s="244"/>
      <c r="AI51" s="244"/>
      <c r="AJ51" s="244"/>
      <c r="AK51" s="244"/>
      <c r="AL51" s="244"/>
      <c r="AM51" s="244"/>
      <c r="AN51" s="244"/>
      <c r="AO51" s="244"/>
      <c r="AP51" s="244"/>
      <c r="AQ51" s="244"/>
      <c r="AR51" s="244"/>
      <c r="AS51" s="244"/>
      <c r="AT51" s="244"/>
      <c r="AU51" s="244"/>
      <c r="AV51" s="244"/>
      <c r="AW51" s="244"/>
      <c r="AX51" s="244"/>
      <c r="AY51" s="244"/>
    </row>
    <row r="52" ht="9.95" customHeight="1">
      <c r="AD52" s="244"/>
      <c r="AE52" s="244"/>
      <c r="AF52" s="244"/>
      <c r="AG52" s="244"/>
      <c r="AH52" s="244"/>
      <c r="AI52" s="244"/>
      <c r="AJ52" s="244"/>
      <c r="AK52" s="244"/>
      <c r="AL52" s="244"/>
      <c r="AM52" s="244"/>
      <c r="AN52" s="244"/>
      <c r="AO52" s="244"/>
      <c r="AP52" s="244"/>
      <c r="AQ52" s="244"/>
      <c r="AR52" s="244"/>
      <c r="AS52" s="244"/>
      <c r="AT52" s="244"/>
      <c r="AU52" s="244"/>
      <c r="AV52" s="244"/>
      <c r="AW52" s="244"/>
      <c r="AX52" s="244"/>
      <c r="AY52" s="244"/>
    </row>
    <row r="53" s="100" customFormat="1" ht="24.95" customHeight="1">
      <c r="D53" s="655" t="s">
        <v>114</v>
      </c>
      <c r="E53" s="655"/>
      <c r="F53" s="655"/>
      <c r="G53" s="655"/>
      <c r="H53" s="655"/>
      <c r="I53" s="655"/>
      <c r="J53" s="655"/>
      <c r="K53" s="655"/>
      <c r="L53" s="655"/>
      <c r="M53" s="655"/>
      <c r="N53" s="655"/>
      <c r="O53" s="655"/>
      <c r="P53" s="655"/>
      <c r="Q53" s="655"/>
      <c r="R53" s="655"/>
      <c r="S53" s="655"/>
      <c r="T53" s="655"/>
      <c r="U53" s="655"/>
      <c r="V53" s="655"/>
      <c r="W53" s="655"/>
      <c r="X53" s="655"/>
      <c r="Y53" s="655"/>
      <c r="Z53" s="426"/>
      <c r="AD53" s="427"/>
      <c r="AE53" s="427"/>
      <c r="AF53" s="427"/>
      <c r="AG53" s="427"/>
      <c r="AH53" s="427"/>
      <c r="AI53" s="427"/>
      <c r="AJ53" s="427"/>
      <c r="AK53" s="427"/>
      <c r="AL53" s="427"/>
      <c r="AM53" s="427"/>
      <c r="AN53" s="427"/>
      <c r="AO53" s="427"/>
      <c r="AP53" s="427"/>
      <c r="AQ53" s="427"/>
      <c r="AR53" s="427"/>
      <c r="AS53" s="427"/>
      <c r="AT53" s="427"/>
      <c r="AU53" s="427"/>
      <c r="AV53" s="427"/>
      <c r="AW53" s="427"/>
      <c r="AX53" s="427"/>
      <c r="AY53" s="427"/>
    </row>
    <row r="54" ht="9.95" customHeight="1">
      <c r="AD54" s="244"/>
      <c r="AE54" s="244"/>
      <c r="AF54" s="244"/>
      <c r="AG54" s="244"/>
      <c r="AH54" s="244"/>
      <c r="AI54" s="244"/>
      <c r="AJ54" s="244"/>
      <c r="AK54" s="244"/>
      <c r="AL54" s="244"/>
      <c r="AM54" s="244"/>
      <c r="AN54" s="244"/>
      <c r="AO54" s="244"/>
      <c r="AP54" s="244"/>
      <c r="AQ54" s="244"/>
      <c r="AR54" s="244"/>
      <c r="AS54" s="244"/>
      <c r="AT54" s="244"/>
      <c r="AU54" s="244"/>
      <c r="AV54" s="244"/>
      <c r="AW54" s="244"/>
      <c r="AX54" s="244"/>
      <c r="AY54" s="244"/>
    </row>
    <row r="55">
      <c r="A55" s="244"/>
      <c r="B55" s="244"/>
      <c r="C55" s="265"/>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c r="AD55" s="244"/>
      <c r="AE55" s="244"/>
      <c r="AF55" s="244"/>
      <c r="AG55" s="244"/>
      <c r="AH55" s="244"/>
      <c r="AI55" s="244"/>
      <c r="AJ55" s="244"/>
      <c r="AK55" s="244"/>
      <c r="AL55" s="244"/>
      <c r="AM55" s="244"/>
      <c r="AN55" s="244"/>
      <c r="AO55" s="244"/>
      <c r="AP55" s="244"/>
      <c r="AQ55" s="244"/>
      <c r="AR55" s="244"/>
      <c r="AS55" s="244"/>
      <c r="AT55" s="244"/>
      <c r="AU55" s="244"/>
      <c r="AV55" s="244"/>
      <c r="AW55" s="244"/>
      <c r="AX55" s="244"/>
      <c r="AY55" s="244"/>
    </row>
    <row r="56">
      <c r="A56" s="244"/>
      <c r="B56" s="244"/>
      <c r="C56" s="265"/>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c r="AD56" s="244"/>
      <c r="AE56" s="244"/>
      <c r="AF56" s="244"/>
      <c r="AG56" s="244"/>
      <c r="AH56" s="244"/>
      <c r="AI56" s="244"/>
      <c r="AJ56" s="244"/>
      <c r="AK56" s="244"/>
      <c r="AL56" s="244"/>
      <c r="AM56" s="244"/>
      <c r="AN56" s="244"/>
      <c r="AO56" s="244"/>
      <c r="AP56" s="244"/>
      <c r="AQ56" s="244"/>
      <c r="AR56" s="244"/>
      <c r="AS56" s="244"/>
      <c r="AT56" s="244"/>
      <c r="AU56" s="244"/>
      <c r="AV56" s="244"/>
      <c r="AW56" s="244"/>
      <c r="AX56" s="244"/>
      <c r="AY56" s="244"/>
    </row>
    <row r="57">
      <c r="A57" s="244"/>
      <c r="B57" s="244"/>
      <c r="C57" s="265"/>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c r="AD57" s="244"/>
      <c r="AE57" s="244"/>
      <c r="AF57" s="244"/>
      <c r="AG57" s="244"/>
      <c r="AH57" s="244"/>
      <c r="AI57" s="244"/>
      <c r="AJ57" s="244"/>
      <c r="AK57" s="244"/>
      <c r="AL57" s="244"/>
      <c r="AM57" s="244"/>
      <c r="AN57" s="244"/>
      <c r="AO57" s="244"/>
      <c r="AP57" s="244"/>
      <c r="AQ57" s="244"/>
      <c r="AR57" s="244"/>
      <c r="AS57" s="244"/>
      <c r="AT57" s="244"/>
      <c r="AU57" s="244"/>
      <c r="AV57" s="244"/>
      <c r="AW57" s="244"/>
      <c r="AX57" s="244"/>
      <c r="AY57" s="244"/>
    </row>
    <row r="58">
      <c r="A58" s="244"/>
      <c r="B58" s="244"/>
      <c r="C58" s="265"/>
      <c r="D58" s="244"/>
      <c r="E58" s="244"/>
      <c r="F58" s="244"/>
      <c r="G58" s="244"/>
      <c r="H58" s="244"/>
      <c r="I58" s="244"/>
      <c r="J58" s="244"/>
      <c r="K58" s="244"/>
      <c r="L58" s="244"/>
      <c r="M58" s="244"/>
      <c r="N58" s="244"/>
      <c r="O58" s="244"/>
      <c r="P58" s="244"/>
      <c r="Q58" s="244"/>
      <c r="R58" s="244"/>
      <c r="S58" s="244"/>
      <c r="T58" s="244"/>
      <c r="U58" s="244"/>
      <c r="V58" s="244"/>
      <c r="W58" s="244"/>
      <c r="X58" s="244"/>
      <c r="Y58" s="244"/>
      <c r="Z58" s="244"/>
      <c r="AA58" s="244"/>
      <c r="AB58" s="244"/>
      <c r="AC58" s="244"/>
      <c r="AD58" s="244"/>
      <c r="AE58" s="244"/>
      <c r="AF58" s="244"/>
      <c r="AG58" s="244"/>
      <c r="AH58" s="244"/>
      <c r="AI58" s="244"/>
      <c r="AJ58" s="244"/>
      <c r="AK58" s="244"/>
      <c r="AL58" s="244"/>
      <c r="AM58" s="244"/>
      <c r="AN58" s="244"/>
      <c r="AO58" s="244"/>
      <c r="AP58" s="244"/>
      <c r="AQ58" s="244"/>
      <c r="AR58" s="244"/>
      <c r="AS58" s="244"/>
      <c r="AT58" s="244"/>
      <c r="AU58" s="244"/>
      <c r="AV58" s="244"/>
      <c r="AW58" s="244"/>
      <c r="AX58" s="244"/>
      <c r="AY58" s="244"/>
    </row>
    <row r="59">
      <c r="A59" s="244"/>
      <c r="B59" s="244"/>
      <c r="C59" s="265"/>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44"/>
      <c r="AD59" s="244"/>
      <c r="AE59" s="244"/>
      <c r="AF59" s="244"/>
      <c r="AG59" s="244"/>
      <c r="AH59" s="244"/>
      <c r="AI59" s="244"/>
      <c r="AJ59" s="244"/>
      <c r="AK59" s="244"/>
      <c r="AL59" s="244"/>
      <c r="AM59" s="244"/>
      <c r="AN59" s="244"/>
      <c r="AO59" s="244"/>
      <c r="AP59" s="244"/>
      <c r="AQ59" s="244"/>
      <c r="AR59" s="244"/>
      <c r="AS59" s="244"/>
      <c r="AT59" s="244"/>
      <c r="AU59" s="244"/>
      <c r="AV59" s="244"/>
      <c r="AW59" s="244"/>
      <c r="AX59" s="244"/>
      <c r="AY59" s="244"/>
    </row>
    <row r="60">
      <c r="A60" s="244"/>
      <c r="B60" s="244"/>
      <c r="C60" s="265"/>
      <c r="D60" s="244"/>
      <c r="E60" s="244"/>
      <c r="F60" s="244"/>
      <c r="G60" s="244"/>
      <c r="H60" s="244"/>
      <c r="I60" s="244"/>
      <c r="J60" s="244"/>
      <c r="K60" s="244"/>
      <c r="L60" s="244"/>
      <c r="M60" s="244"/>
      <c r="N60" s="244"/>
      <c r="O60" s="244"/>
      <c r="P60" s="244"/>
      <c r="Q60" s="244"/>
      <c r="R60" s="244"/>
      <c r="S60" s="244"/>
      <c r="T60" s="244"/>
      <c r="U60" s="244"/>
      <c r="V60" s="244"/>
      <c r="W60" s="244"/>
      <c r="X60" s="244"/>
      <c r="Y60" s="244"/>
      <c r="Z60" s="244"/>
      <c r="AA60" s="244"/>
      <c r="AB60" s="244"/>
      <c r="AC60" s="244"/>
      <c r="AD60" s="244"/>
      <c r="AE60" s="244"/>
      <c r="AF60" s="244"/>
      <c r="AG60" s="244"/>
      <c r="AH60" s="244"/>
      <c r="AI60" s="244"/>
      <c r="AJ60" s="244"/>
      <c r="AK60" s="244"/>
      <c r="AL60" s="244"/>
      <c r="AM60" s="244"/>
      <c r="AN60" s="244"/>
      <c r="AO60" s="244"/>
      <c r="AP60" s="244"/>
      <c r="AQ60" s="244"/>
      <c r="AR60" s="244"/>
      <c r="AS60" s="244"/>
      <c r="AT60" s="244"/>
      <c r="AU60" s="244"/>
      <c r="AV60" s="244"/>
      <c r="AW60" s="244"/>
      <c r="AX60" s="244"/>
      <c r="AY60" s="244"/>
    </row>
    <row r="61">
      <c r="A61" s="244"/>
      <c r="B61" s="244"/>
      <c r="C61" s="265"/>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44"/>
      <c r="AD61" s="244"/>
      <c r="AE61" s="244"/>
      <c r="AF61" s="244"/>
      <c r="AG61" s="244"/>
      <c r="AH61" s="244"/>
      <c r="AI61" s="244"/>
      <c r="AJ61" s="244"/>
      <c r="AK61" s="244"/>
      <c r="AL61" s="244"/>
      <c r="AM61" s="244"/>
      <c r="AN61" s="244"/>
      <c r="AO61" s="244"/>
      <c r="AP61" s="244"/>
      <c r="AQ61" s="244"/>
      <c r="AR61" s="244"/>
      <c r="AS61" s="244"/>
      <c r="AT61" s="244"/>
      <c r="AU61" s="244"/>
      <c r="AV61" s="244"/>
      <c r="AW61" s="244"/>
      <c r="AX61" s="244"/>
      <c r="AY61" s="244"/>
    </row>
    <row r="62">
      <c r="A62" s="244"/>
      <c r="B62" s="244"/>
      <c r="C62" s="265"/>
      <c r="D62" s="244"/>
      <c r="E62" s="244"/>
      <c r="F62" s="244"/>
      <c r="G62" s="244"/>
      <c r="H62" s="244"/>
      <c r="I62" s="244"/>
      <c r="J62" s="244"/>
      <c r="K62" s="244"/>
      <c r="L62" s="244"/>
      <c r="M62" s="244"/>
      <c r="N62" s="244"/>
      <c r="O62" s="244"/>
      <c r="P62" s="244"/>
      <c r="Q62" s="244"/>
      <c r="R62" s="244"/>
      <c r="S62" s="244"/>
      <c r="T62" s="244"/>
      <c r="U62" s="244"/>
      <c r="V62" s="244"/>
      <c r="W62" s="244"/>
      <c r="X62" s="244"/>
      <c r="Y62" s="244"/>
      <c r="Z62" s="244"/>
      <c r="AA62" s="244"/>
      <c r="AB62" s="244"/>
      <c r="AC62" s="244"/>
      <c r="AD62" s="244"/>
      <c r="AE62" s="244"/>
      <c r="AF62" s="244"/>
      <c r="AG62" s="244"/>
      <c r="AH62" s="244"/>
      <c r="AI62" s="244"/>
      <c r="AJ62" s="244"/>
      <c r="AK62" s="244"/>
      <c r="AL62" s="244"/>
      <c r="AM62" s="244"/>
      <c r="AN62" s="244"/>
      <c r="AO62" s="244"/>
      <c r="AP62" s="244"/>
      <c r="AQ62" s="244"/>
      <c r="AR62" s="244"/>
      <c r="AS62" s="244"/>
      <c r="AT62" s="244"/>
      <c r="AU62" s="244"/>
      <c r="AV62" s="244"/>
      <c r="AW62" s="244"/>
      <c r="AX62" s="244"/>
      <c r="AY62" s="244"/>
    </row>
    <row r="63">
      <c r="A63" s="244"/>
      <c r="B63" s="244"/>
      <c r="C63" s="265"/>
      <c r="D63" s="244"/>
      <c r="E63" s="244"/>
      <c r="F63" s="244"/>
      <c r="G63" s="244"/>
      <c r="H63" s="244"/>
      <c r="I63" s="244"/>
      <c r="J63" s="244"/>
      <c r="K63" s="244"/>
      <c r="L63" s="244"/>
      <c r="M63" s="244"/>
      <c r="N63" s="244"/>
      <c r="O63" s="244"/>
      <c r="P63" s="244"/>
      <c r="Q63" s="244"/>
      <c r="R63" s="244"/>
      <c r="S63" s="244"/>
      <c r="T63" s="244"/>
      <c r="U63" s="244"/>
      <c r="V63" s="244"/>
      <c r="W63" s="244"/>
      <c r="X63" s="244"/>
      <c r="Y63" s="244"/>
      <c r="Z63" s="244"/>
      <c r="AA63" s="244"/>
      <c r="AB63" s="244"/>
      <c r="AC63" s="244"/>
      <c r="AD63" s="244"/>
      <c r="AE63" s="244"/>
      <c r="AF63" s="244"/>
      <c r="AG63" s="244"/>
      <c r="AH63" s="244"/>
      <c r="AI63" s="244"/>
      <c r="AJ63" s="244"/>
      <c r="AK63" s="244"/>
      <c r="AL63" s="244"/>
      <c r="AM63" s="244"/>
      <c r="AN63" s="244"/>
      <c r="AO63" s="244"/>
      <c r="AP63" s="244"/>
      <c r="AQ63" s="244"/>
      <c r="AR63" s="244"/>
      <c r="AS63" s="244"/>
      <c r="AT63" s="244"/>
      <c r="AU63" s="244"/>
      <c r="AV63" s="244"/>
      <c r="AW63" s="244"/>
      <c r="AX63" s="244"/>
      <c r="AY63" s="244"/>
    </row>
    <row r="64">
      <c r="A64" s="244"/>
      <c r="B64" s="244"/>
      <c r="C64" s="265"/>
      <c r="D64" s="244"/>
      <c r="E64" s="244"/>
      <c r="F64" s="244"/>
      <c r="G64" s="244"/>
      <c r="H64" s="244"/>
      <c r="I64" s="244"/>
      <c r="J64" s="244"/>
      <c r="K64" s="244"/>
      <c r="L64" s="244"/>
      <c r="M64" s="244"/>
      <c r="N64" s="244"/>
      <c r="O64" s="244"/>
      <c r="P64" s="244"/>
      <c r="Q64" s="244"/>
      <c r="R64" s="244"/>
      <c r="S64" s="244"/>
      <c r="T64" s="244"/>
      <c r="U64" s="244"/>
      <c r="V64" s="244"/>
      <c r="W64" s="244"/>
      <c r="X64" s="244"/>
      <c r="Y64" s="244"/>
      <c r="Z64" s="244"/>
      <c r="AA64" s="244"/>
      <c r="AB64" s="244"/>
      <c r="AC64" s="244"/>
      <c r="AD64" s="244"/>
      <c r="AE64" s="244"/>
      <c r="AF64" s="244"/>
      <c r="AG64" s="244"/>
      <c r="AH64" s="244"/>
      <c r="AI64" s="244"/>
      <c r="AJ64" s="244"/>
      <c r="AK64" s="244"/>
      <c r="AL64" s="244"/>
      <c r="AM64" s="244"/>
      <c r="AN64" s="244"/>
      <c r="AO64" s="244"/>
      <c r="AP64" s="244"/>
      <c r="AQ64" s="244"/>
      <c r="AR64" s="244"/>
      <c r="AS64" s="244"/>
      <c r="AT64" s="244"/>
      <c r="AU64" s="244"/>
      <c r="AV64" s="244"/>
      <c r="AW64" s="244"/>
      <c r="AX64" s="244"/>
      <c r="AY64" s="244"/>
    </row>
    <row r="65">
      <c r="A65" s="244"/>
      <c r="B65" s="244"/>
      <c r="C65" s="265"/>
      <c r="D65" s="244"/>
      <c r="E65" s="244"/>
      <c r="F65" s="244"/>
      <c r="G65" s="244"/>
      <c r="H65" s="244"/>
      <c r="I65" s="244"/>
      <c r="J65" s="244"/>
      <c r="K65" s="244"/>
      <c r="L65" s="244"/>
      <c r="M65" s="244"/>
      <c r="N65" s="244"/>
      <c r="O65" s="244"/>
      <c r="P65" s="244"/>
      <c r="Q65" s="244"/>
      <c r="R65" s="244"/>
      <c r="S65" s="244"/>
      <c r="T65" s="244"/>
      <c r="U65" s="244"/>
      <c r="V65" s="244"/>
      <c r="W65" s="244"/>
      <c r="X65" s="244"/>
      <c r="Y65" s="244"/>
      <c r="Z65" s="244"/>
      <c r="AA65" s="244"/>
      <c r="AB65" s="244"/>
      <c r="AC65" s="244"/>
      <c r="AD65" s="244"/>
      <c r="AE65" s="244"/>
      <c r="AF65" s="244"/>
      <c r="AG65" s="244"/>
      <c r="AH65" s="244"/>
      <c r="AI65" s="244"/>
      <c r="AJ65" s="244"/>
      <c r="AK65" s="244"/>
      <c r="AL65" s="244"/>
      <c r="AM65" s="244"/>
      <c r="AN65" s="244"/>
      <c r="AO65" s="244"/>
      <c r="AP65" s="244"/>
      <c r="AQ65" s="244"/>
      <c r="AR65" s="244"/>
      <c r="AS65" s="244"/>
      <c r="AT65" s="244"/>
      <c r="AU65" s="244"/>
      <c r="AV65" s="244"/>
      <c r="AW65" s="244"/>
      <c r="AX65" s="244"/>
      <c r="AY65" s="244"/>
    </row>
    <row r="66">
      <c r="A66" s="244"/>
      <c r="B66" s="244"/>
      <c r="C66" s="265"/>
      <c r="D66" s="244"/>
      <c r="E66" s="244"/>
      <c r="F66" s="244"/>
      <c r="G66" s="244"/>
      <c r="H66" s="244"/>
      <c r="I66" s="244"/>
      <c r="J66" s="244"/>
      <c r="K66" s="244"/>
      <c r="L66" s="244"/>
      <c r="M66" s="244"/>
      <c r="N66" s="244"/>
      <c r="O66" s="244"/>
      <c r="P66" s="244"/>
      <c r="Q66" s="244"/>
      <c r="R66" s="244"/>
      <c r="S66" s="244"/>
      <c r="T66" s="244"/>
      <c r="U66" s="244"/>
      <c r="V66" s="244"/>
      <c r="W66" s="244"/>
      <c r="X66" s="244"/>
      <c r="Y66" s="244"/>
      <c r="Z66" s="244"/>
      <c r="AA66" s="244"/>
      <c r="AB66" s="244"/>
      <c r="AC66" s="244"/>
      <c r="AD66" s="244"/>
      <c r="AE66" s="244"/>
      <c r="AF66" s="244"/>
      <c r="AG66" s="244"/>
      <c r="AH66" s="244"/>
      <c r="AI66" s="244"/>
      <c r="AJ66" s="244"/>
      <c r="AK66" s="244"/>
      <c r="AL66" s="244"/>
      <c r="AM66" s="244"/>
      <c r="AN66" s="244"/>
      <c r="AO66" s="244"/>
      <c r="AP66" s="244"/>
      <c r="AQ66" s="244"/>
      <c r="AR66" s="244"/>
      <c r="AS66" s="244"/>
      <c r="AT66" s="244"/>
      <c r="AU66" s="244"/>
      <c r="AV66" s="244"/>
      <c r="AW66" s="244"/>
      <c r="AX66" s="244"/>
      <c r="AY66" s="244"/>
    </row>
    <row r="67">
      <c r="A67" s="244"/>
      <c r="B67" s="244"/>
      <c r="C67" s="265"/>
      <c r="D67" s="244"/>
      <c r="E67" s="244"/>
      <c r="F67" s="244"/>
      <c r="G67" s="244"/>
      <c r="H67" s="244"/>
      <c r="I67" s="244"/>
      <c r="J67" s="244"/>
      <c r="K67" s="244"/>
      <c r="L67" s="244"/>
      <c r="M67" s="244"/>
      <c r="N67" s="244"/>
      <c r="O67" s="244"/>
      <c r="P67" s="244"/>
      <c r="Q67" s="244"/>
      <c r="R67" s="244"/>
      <c r="S67" s="244"/>
      <c r="T67" s="244"/>
      <c r="U67" s="244"/>
      <c r="V67" s="244"/>
      <c r="W67" s="244"/>
      <c r="X67" s="244"/>
      <c r="Y67" s="244"/>
      <c r="Z67" s="244"/>
      <c r="AA67" s="244"/>
      <c r="AB67" s="244"/>
      <c r="AC67" s="244"/>
      <c r="AD67" s="244"/>
      <c r="AE67" s="244"/>
      <c r="AF67" s="244"/>
      <c r="AG67" s="244"/>
      <c r="AH67" s="244"/>
      <c r="AI67" s="244"/>
      <c r="AJ67" s="244"/>
      <c r="AK67" s="244"/>
      <c r="AL67" s="244"/>
      <c r="AM67" s="244"/>
      <c r="AN67" s="244"/>
      <c r="AO67" s="244"/>
      <c r="AP67" s="244"/>
      <c r="AQ67" s="244"/>
      <c r="AR67" s="244"/>
      <c r="AS67" s="244"/>
      <c r="AT67" s="244"/>
      <c r="AU67" s="244"/>
      <c r="AV67" s="244"/>
      <c r="AW67" s="244"/>
      <c r="AX67" s="244"/>
      <c r="AY67" s="244"/>
    </row>
    <row r="68">
      <c r="A68" s="244"/>
      <c r="B68" s="244"/>
      <c r="C68" s="265"/>
      <c r="D68" s="244"/>
      <c r="E68" s="244"/>
      <c r="F68" s="244"/>
      <c r="G68" s="244"/>
      <c r="H68" s="244"/>
      <c r="I68" s="244"/>
      <c r="J68" s="244"/>
      <c r="K68" s="244"/>
      <c r="L68" s="244"/>
      <c r="M68" s="244"/>
      <c r="N68" s="244"/>
      <c r="O68" s="244"/>
      <c r="P68" s="244"/>
      <c r="Q68" s="244"/>
      <c r="R68" s="244"/>
      <c r="S68" s="244"/>
      <c r="T68" s="244"/>
      <c r="U68" s="244"/>
      <c r="V68" s="244"/>
      <c r="W68" s="244"/>
      <c r="X68" s="244"/>
      <c r="Y68" s="244"/>
      <c r="Z68" s="244"/>
      <c r="AA68" s="244"/>
      <c r="AB68" s="244"/>
      <c r="AC68" s="244"/>
      <c r="AD68" s="244"/>
      <c r="AE68" s="244"/>
      <c r="AF68" s="244"/>
      <c r="AG68" s="244"/>
      <c r="AH68" s="244"/>
      <c r="AI68" s="244"/>
      <c r="AJ68" s="244"/>
      <c r="AK68" s="244"/>
      <c r="AL68" s="244"/>
      <c r="AM68" s="244"/>
      <c r="AN68" s="244"/>
      <c r="AO68" s="244"/>
      <c r="AP68" s="244"/>
      <c r="AQ68" s="244"/>
      <c r="AR68" s="244"/>
      <c r="AS68" s="244"/>
      <c r="AT68" s="244"/>
      <c r="AU68" s="244"/>
      <c r="AV68" s="244"/>
      <c r="AW68" s="244"/>
      <c r="AX68" s="244"/>
      <c r="AY68" s="244"/>
    </row>
    <row r="69">
      <c r="A69" s="244"/>
      <c r="B69" s="244"/>
      <c r="C69" s="265"/>
      <c r="D69" s="244"/>
      <c r="E69" s="244"/>
      <c r="F69" s="244"/>
      <c r="G69" s="244"/>
      <c r="H69" s="244"/>
      <c r="I69" s="244"/>
      <c r="J69" s="244"/>
      <c r="K69" s="244"/>
      <c r="L69" s="244"/>
      <c r="M69" s="244"/>
      <c r="N69" s="244"/>
      <c r="O69" s="244"/>
      <c r="P69" s="244"/>
      <c r="Q69" s="244"/>
      <c r="R69" s="244"/>
      <c r="S69" s="244"/>
      <c r="T69" s="244"/>
      <c r="U69" s="244"/>
      <c r="V69" s="244"/>
      <c r="W69" s="244"/>
      <c r="X69" s="244"/>
      <c r="Y69" s="244"/>
      <c r="Z69" s="244"/>
      <c r="AA69" s="244"/>
      <c r="AB69" s="244"/>
      <c r="AC69" s="244"/>
      <c r="AD69" s="244"/>
      <c r="AE69" s="244"/>
      <c r="AF69" s="244"/>
      <c r="AG69" s="244"/>
      <c r="AH69" s="244"/>
      <c r="AI69" s="244"/>
      <c r="AJ69" s="244"/>
      <c r="AK69" s="244"/>
      <c r="AL69" s="244"/>
      <c r="AM69" s="244"/>
      <c r="AN69" s="244"/>
      <c r="AO69" s="244"/>
      <c r="AP69" s="244"/>
      <c r="AQ69" s="244"/>
      <c r="AR69" s="244"/>
      <c r="AS69" s="244"/>
      <c r="AT69" s="244"/>
      <c r="AU69" s="244"/>
      <c r="AV69" s="244"/>
      <c r="AW69" s="244"/>
      <c r="AX69" s="244"/>
      <c r="AY69" s="244"/>
    </row>
    <row r="70">
      <c r="A70" s="244"/>
      <c r="B70" s="244"/>
      <c r="C70" s="265"/>
      <c r="D70" s="244"/>
      <c r="E70" s="244"/>
      <c r="F70" s="244"/>
      <c r="G70" s="244"/>
      <c r="H70" s="244"/>
      <c r="I70" s="244"/>
      <c r="J70" s="244"/>
      <c r="K70" s="244"/>
      <c r="L70" s="244"/>
      <c r="M70" s="244"/>
      <c r="N70" s="244"/>
      <c r="O70" s="244"/>
      <c r="P70" s="244"/>
      <c r="Q70" s="244"/>
      <c r="R70" s="244"/>
      <c r="S70" s="244"/>
      <c r="T70" s="244"/>
      <c r="U70" s="244"/>
      <c r="V70" s="244"/>
      <c r="W70" s="244"/>
      <c r="X70" s="244"/>
      <c r="Y70" s="244"/>
      <c r="Z70" s="244"/>
      <c r="AA70" s="244"/>
      <c r="AB70" s="244"/>
      <c r="AC70" s="244"/>
      <c r="AD70" s="244"/>
      <c r="AE70" s="244"/>
      <c r="AF70" s="244"/>
      <c r="AG70" s="244"/>
      <c r="AH70" s="244"/>
      <c r="AI70" s="244"/>
      <c r="AJ70" s="244"/>
      <c r="AK70" s="244"/>
      <c r="AL70" s="244"/>
      <c r="AM70" s="244"/>
      <c r="AN70" s="244"/>
      <c r="AO70" s="244"/>
      <c r="AP70" s="244"/>
      <c r="AQ70" s="244"/>
      <c r="AR70" s="244"/>
      <c r="AS70" s="244"/>
      <c r="AT70" s="244"/>
      <c r="AU70" s="244"/>
      <c r="AV70" s="244"/>
      <c r="AW70" s="244"/>
      <c r="AX70" s="244"/>
      <c r="AY70" s="244"/>
    </row>
    <row r="71">
      <c r="A71" s="244"/>
      <c r="B71" s="244"/>
      <c r="C71" s="265"/>
      <c r="D71" s="244"/>
      <c r="E71" s="244"/>
      <c r="F71" s="244"/>
      <c r="G71" s="244"/>
      <c r="H71" s="244"/>
      <c r="I71" s="244"/>
      <c r="J71" s="244"/>
      <c r="K71" s="244"/>
      <c r="L71" s="244"/>
      <c r="M71" s="244"/>
      <c r="N71" s="244"/>
      <c r="O71" s="244"/>
      <c r="P71" s="244"/>
      <c r="Q71" s="244"/>
      <c r="R71" s="244"/>
      <c r="S71" s="244"/>
      <c r="T71" s="244"/>
      <c r="U71" s="244"/>
      <c r="V71" s="244"/>
      <c r="W71" s="244"/>
      <c r="X71" s="244"/>
      <c r="Y71" s="244"/>
      <c r="Z71" s="244"/>
      <c r="AA71" s="244"/>
      <c r="AB71" s="244"/>
      <c r="AC71" s="244"/>
      <c r="AD71" s="244"/>
      <c r="AE71" s="244"/>
      <c r="AF71" s="244"/>
      <c r="AG71" s="244"/>
      <c r="AH71" s="244"/>
      <c r="AI71" s="244"/>
      <c r="AJ71" s="244"/>
      <c r="AK71" s="244"/>
      <c r="AL71" s="244"/>
      <c r="AM71" s="244"/>
      <c r="AN71" s="244"/>
      <c r="AO71" s="244"/>
      <c r="AP71" s="244"/>
      <c r="AQ71" s="244"/>
      <c r="AR71" s="244"/>
      <c r="AS71" s="244"/>
      <c r="AT71" s="244"/>
      <c r="AU71" s="244"/>
      <c r="AV71" s="244"/>
      <c r="AW71" s="244"/>
      <c r="AX71" s="244"/>
      <c r="AY71" s="244"/>
    </row>
    <row r="72">
      <c r="A72" s="244"/>
      <c r="B72" s="244"/>
      <c r="C72" s="265"/>
      <c r="D72" s="244"/>
      <c r="E72" s="244"/>
      <c r="F72" s="244"/>
      <c r="G72" s="244"/>
      <c r="H72" s="244"/>
      <c r="I72" s="244"/>
      <c r="J72" s="244"/>
      <c r="K72" s="244"/>
      <c r="L72" s="244"/>
      <c r="M72" s="244"/>
      <c r="N72" s="244"/>
      <c r="O72" s="244"/>
      <c r="P72" s="244"/>
      <c r="Q72" s="244"/>
      <c r="R72" s="244"/>
      <c r="S72" s="244"/>
      <c r="T72" s="244"/>
      <c r="U72" s="244"/>
      <c r="V72" s="244"/>
      <c r="W72" s="244"/>
      <c r="X72" s="244"/>
      <c r="Y72" s="244"/>
      <c r="Z72" s="244"/>
      <c r="AA72" s="244"/>
      <c r="AB72" s="244"/>
      <c r="AC72" s="244"/>
      <c r="AD72" s="244"/>
      <c r="AE72" s="244"/>
      <c r="AF72" s="244"/>
      <c r="AG72" s="244"/>
      <c r="AH72" s="244"/>
      <c r="AI72" s="244"/>
      <c r="AJ72" s="244"/>
      <c r="AK72" s="244"/>
      <c r="AL72" s="244"/>
      <c r="AM72" s="244"/>
      <c r="AN72" s="244"/>
      <c r="AO72" s="244"/>
      <c r="AP72" s="244"/>
      <c r="AQ72" s="244"/>
      <c r="AR72" s="244"/>
      <c r="AS72" s="244"/>
      <c r="AT72" s="244"/>
      <c r="AU72" s="244"/>
      <c r="AV72" s="244"/>
      <c r="AW72" s="244"/>
      <c r="AX72" s="244"/>
      <c r="AY72" s="244"/>
    </row>
    <row r="73">
      <c r="A73" s="244"/>
      <c r="B73" s="244"/>
      <c r="C73" s="265"/>
      <c r="D73" s="244"/>
      <c r="E73" s="244"/>
      <c r="F73" s="244"/>
      <c r="G73" s="244"/>
      <c r="H73" s="244"/>
      <c r="I73" s="244"/>
      <c r="J73" s="244"/>
      <c r="K73" s="244"/>
      <c r="L73" s="244"/>
      <c r="M73" s="244"/>
      <c r="N73" s="244"/>
      <c r="O73" s="244"/>
      <c r="P73" s="244"/>
      <c r="Q73" s="244"/>
      <c r="R73" s="244"/>
      <c r="S73" s="244"/>
      <c r="T73" s="244"/>
      <c r="U73" s="244"/>
      <c r="V73" s="244"/>
      <c r="W73" s="244"/>
      <c r="X73" s="244"/>
      <c r="Y73" s="244"/>
      <c r="Z73" s="244"/>
      <c r="AA73" s="244"/>
      <c r="AB73" s="244"/>
      <c r="AC73" s="244"/>
      <c r="AD73" s="244"/>
      <c r="AE73" s="244"/>
      <c r="AF73" s="244"/>
      <c r="AG73" s="244"/>
      <c r="AH73" s="244"/>
      <c r="AI73" s="244"/>
      <c r="AJ73" s="244"/>
      <c r="AK73" s="244"/>
      <c r="AL73" s="244"/>
      <c r="AM73" s="244"/>
      <c r="AN73" s="244"/>
      <c r="AO73" s="244"/>
      <c r="AP73" s="244"/>
      <c r="AQ73" s="244"/>
      <c r="AR73" s="244"/>
      <c r="AS73" s="244"/>
      <c r="AT73" s="244"/>
      <c r="AU73" s="244"/>
      <c r="AV73" s="244"/>
      <c r="AW73" s="244"/>
      <c r="AX73" s="244"/>
      <c r="AY73" s="244"/>
    </row>
    <row r="74">
      <c r="A74" s="244"/>
      <c r="B74" s="244"/>
      <c r="C74" s="265"/>
      <c r="D74" s="244"/>
      <c r="E74" s="244"/>
      <c r="F74" s="244"/>
      <c r="G74" s="244"/>
      <c r="H74" s="244"/>
      <c r="I74" s="244"/>
      <c r="J74" s="244"/>
      <c r="K74" s="244"/>
      <c r="L74" s="244"/>
      <c r="M74" s="244"/>
      <c r="N74" s="244"/>
      <c r="O74" s="244"/>
      <c r="P74" s="244"/>
      <c r="Q74" s="244"/>
      <c r="R74" s="244"/>
      <c r="S74" s="244"/>
      <c r="T74" s="244"/>
      <c r="U74" s="244"/>
      <c r="V74" s="244"/>
      <c r="W74" s="244"/>
      <c r="X74" s="244"/>
      <c r="Y74" s="244"/>
      <c r="Z74" s="244"/>
      <c r="AA74" s="244"/>
      <c r="AB74" s="244"/>
      <c r="AC74" s="244"/>
      <c r="AD74" s="244"/>
      <c r="AE74" s="244"/>
      <c r="AF74" s="244"/>
      <c r="AG74" s="244"/>
      <c r="AH74" s="244"/>
      <c r="AI74" s="244"/>
      <c r="AJ74" s="244"/>
      <c r="AK74" s="244"/>
      <c r="AL74" s="244"/>
      <c r="AM74" s="244"/>
      <c r="AN74" s="244"/>
      <c r="AO74" s="244"/>
      <c r="AP74" s="244"/>
      <c r="AQ74" s="244"/>
      <c r="AR74" s="244"/>
      <c r="AS74" s="244"/>
      <c r="AT74" s="244"/>
      <c r="AU74" s="244"/>
      <c r="AV74" s="244"/>
      <c r="AW74" s="244"/>
      <c r="AX74" s="244"/>
      <c r="AY74" s="244"/>
    </row>
    <row r="75">
      <c r="A75" s="244"/>
      <c r="B75" s="244"/>
      <c r="C75" s="265"/>
      <c r="D75" s="244"/>
      <c r="E75" s="244"/>
      <c r="F75" s="244"/>
      <c r="G75" s="244"/>
      <c r="H75" s="244"/>
      <c r="I75" s="244"/>
      <c r="J75" s="244"/>
      <c r="K75" s="244"/>
      <c r="L75" s="244"/>
      <c r="M75" s="244"/>
      <c r="N75" s="244"/>
      <c r="O75" s="244"/>
      <c r="P75" s="244"/>
      <c r="Q75" s="244"/>
      <c r="R75" s="244"/>
      <c r="S75" s="244"/>
      <c r="T75" s="244"/>
      <c r="U75" s="244"/>
      <c r="V75" s="244"/>
      <c r="W75" s="244"/>
      <c r="X75" s="244"/>
      <c r="Y75" s="244"/>
      <c r="Z75" s="244"/>
      <c r="AA75" s="244"/>
      <c r="AB75" s="244"/>
      <c r="AC75" s="244"/>
      <c r="AD75" s="244"/>
      <c r="AE75" s="244"/>
      <c r="AF75" s="244"/>
      <c r="AG75" s="244"/>
      <c r="AH75" s="244"/>
      <c r="AI75" s="244"/>
      <c r="AJ75" s="244"/>
      <c r="AK75" s="244"/>
      <c r="AL75" s="244"/>
      <c r="AM75" s="244"/>
      <c r="AN75" s="244"/>
      <c r="AO75" s="244"/>
      <c r="AP75" s="244"/>
      <c r="AQ75" s="244"/>
      <c r="AR75" s="244"/>
      <c r="AS75" s="244"/>
      <c r="AT75" s="244"/>
      <c r="AU75" s="244"/>
      <c r="AV75" s="244"/>
      <c r="AW75" s="244"/>
      <c r="AX75" s="244"/>
      <c r="AY75" s="244"/>
    </row>
    <row r="76">
      <c r="A76" s="244"/>
      <c r="B76" s="244"/>
      <c r="C76" s="265"/>
      <c r="D76" s="244"/>
      <c r="E76" s="244"/>
      <c r="F76" s="244"/>
      <c r="G76" s="244"/>
      <c r="H76" s="244"/>
      <c r="I76" s="244"/>
      <c r="J76" s="244"/>
      <c r="K76" s="244"/>
      <c r="L76" s="244"/>
      <c r="M76" s="244"/>
      <c r="N76" s="244"/>
      <c r="O76" s="244"/>
      <c r="P76" s="244"/>
      <c r="Q76" s="244"/>
      <c r="R76" s="244"/>
      <c r="S76" s="244"/>
      <c r="T76" s="244"/>
      <c r="U76" s="244"/>
      <c r="V76" s="244"/>
      <c r="W76" s="244"/>
      <c r="X76" s="244"/>
      <c r="Y76" s="244"/>
      <c r="Z76" s="244"/>
      <c r="AA76" s="244"/>
      <c r="AB76" s="244"/>
      <c r="AC76" s="244"/>
      <c r="AD76" s="244"/>
      <c r="AE76" s="244"/>
      <c r="AF76" s="244"/>
      <c r="AG76" s="244"/>
      <c r="AH76" s="244"/>
      <c r="AI76" s="244"/>
      <c r="AJ76" s="244"/>
      <c r="AK76" s="244"/>
      <c r="AL76" s="244"/>
      <c r="AM76" s="244"/>
      <c r="AN76" s="244"/>
      <c r="AO76" s="244"/>
      <c r="AP76" s="244"/>
      <c r="AQ76" s="244"/>
      <c r="AR76" s="244"/>
      <c r="AS76" s="244"/>
      <c r="AT76" s="244"/>
      <c r="AU76" s="244"/>
      <c r="AV76" s="244"/>
      <c r="AW76" s="244"/>
      <c r="AX76" s="244"/>
      <c r="AY76" s="244"/>
    </row>
    <row r="77">
      <c r="A77" s="244"/>
      <c r="B77" s="244"/>
      <c r="C77" s="265"/>
      <c r="D77" s="244"/>
      <c r="E77" s="244"/>
      <c r="F77" s="244"/>
      <c r="G77" s="244"/>
      <c r="H77" s="244"/>
      <c r="I77" s="244"/>
      <c r="J77" s="244"/>
      <c r="K77" s="244"/>
      <c r="L77" s="244"/>
      <c r="M77" s="244"/>
      <c r="N77" s="244"/>
      <c r="O77" s="244"/>
      <c r="P77" s="244"/>
      <c r="Q77" s="244"/>
      <c r="R77" s="244"/>
      <c r="S77" s="244"/>
      <c r="T77" s="244"/>
      <c r="U77" s="244"/>
      <c r="V77" s="244"/>
      <c r="W77" s="244"/>
      <c r="X77" s="244"/>
      <c r="Y77" s="244"/>
      <c r="Z77" s="244"/>
      <c r="AA77" s="244"/>
      <c r="AB77" s="244"/>
      <c r="AC77" s="244"/>
      <c r="AD77" s="244"/>
      <c r="AE77" s="244"/>
      <c r="AF77" s="244"/>
      <c r="AG77" s="244"/>
      <c r="AH77" s="244"/>
      <c r="AI77" s="244"/>
      <c r="AJ77" s="244"/>
      <c r="AK77" s="244"/>
      <c r="AL77" s="244"/>
      <c r="AM77" s="244"/>
      <c r="AN77" s="244"/>
      <c r="AO77" s="244"/>
      <c r="AP77" s="244"/>
      <c r="AQ77" s="244"/>
      <c r="AR77" s="244"/>
      <c r="AS77" s="244"/>
      <c r="AT77" s="244"/>
      <c r="AU77" s="244"/>
      <c r="AV77" s="244"/>
      <c r="AW77" s="244"/>
      <c r="AX77" s="244"/>
      <c r="AY77" s="244"/>
    </row>
    <row r="78">
      <c r="A78" s="244"/>
      <c r="B78" s="244"/>
      <c r="C78" s="265"/>
      <c r="D78" s="244"/>
      <c r="E78" s="244"/>
      <c r="F78" s="244"/>
      <c r="G78" s="244"/>
      <c r="H78" s="244"/>
      <c r="I78" s="244"/>
      <c r="J78" s="244"/>
      <c r="K78" s="244"/>
      <c r="L78" s="244"/>
      <c r="M78" s="244"/>
      <c r="N78" s="244"/>
      <c r="O78" s="244"/>
      <c r="P78" s="244"/>
      <c r="Q78" s="244"/>
      <c r="R78" s="244"/>
      <c r="S78" s="244"/>
      <c r="T78" s="244"/>
      <c r="U78" s="244"/>
      <c r="V78" s="244"/>
      <c r="W78" s="244"/>
      <c r="X78" s="244"/>
      <c r="Y78" s="244"/>
      <c r="Z78" s="244"/>
      <c r="AA78" s="244"/>
      <c r="AB78" s="244"/>
      <c r="AC78" s="244"/>
      <c r="AD78" s="244"/>
      <c r="AE78" s="244"/>
      <c r="AF78" s="244"/>
      <c r="AG78" s="244"/>
      <c r="AH78" s="244"/>
      <c r="AI78" s="244"/>
      <c r="AJ78" s="244"/>
      <c r="AK78" s="244"/>
      <c r="AL78" s="244"/>
      <c r="AM78" s="244"/>
      <c r="AN78" s="244"/>
      <c r="AO78" s="244"/>
      <c r="AP78" s="244"/>
      <c r="AQ78" s="244"/>
      <c r="AR78" s="244"/>
      <c r="AS78" s="244"/>
      <c r="AT78" s="244"/>
      <c r="AU78" s="244"/>
      <c r="AV78" s="244"/>
      <c r="AW78" s="244"/>
      <c r="AX78" s="244"/>
      <c r="AY78" s="244"/>
    </row>
    <row r="79">
      <c r="A79" s="244"/>
      <c r="B79" s="244"/>
      <c r="C79" s="265"/>
      <c r="D79" s="244"/>
      <c r="E79" s="244"/>
      <c r="F79" s="244"/>
      <c r="G79" s="244"/>
      <c r="H79" s="244"/>
      <c r="I79" s="244"/>
      <c r="J79" s="244"/>
      <c r="K79" s="244"/>
      <c r="L79" s="244"/>
      <c r="M79" s="244"/>
      <c r="N79" s="244"/>
      <c r="O79" s="244"/>
      <c r="P79" s="244"/>
      <c r="Q79" s="244"/>
      <c r="R79" s="244"/>
      <c r="S79" s="244"/>
      <c r="T79" s="244"/>
      <c r="U79" s="244"/>
      <c r="V79" s="244"/>
      <c r="W79" s="244"/>
      <c r="X79" s="244"/>
      <c r="Y79" s="244"/>
      <c r="Z79" s="244"/>
      <c r="AA79" s="244"/>
      <c r="AB79" s="244"/>
      <c r="AC79" s="244"/>
      <c r="AD79" s="244"/>
      <c r="AE79" s="244"/>
      <c r="AF79" s="244"/>
      <c r="AG79" s="244"/>
      <c r="AH79" s="244"/>
      <c r="AI79" s="244"/>
      <c r="AJ79" s="244"/>
      <c r="AK79" s="244"/>
      <c r="AL79" s="244"/>
      <c r="AM79" s="244"/>
      <c r="AN79" s="244"/>
      <c r="AO79" s="244"/>
      <c r="AP79" s="244"/>
      <c r="AQ79" s="244"/>
      <c r="AR79" s="244"/>
      <c r="AS79" s="244"/>
      <c r="AT79" s="244"/>
      <c r="AU79" s="244"/>
      <c r="AV79" s="244"/>
      <c r="AW79" s="244"/>
      <c r="AX79" s="244"/>
      <c r="AY79" s="244"/>
    </row>
    <row r="80">
      <c r="A80" s="244"/>
      <c r="B80" s="244"/>
      <c r="C80" s="265"/>
      <c r="D80" s="244"/>
      <c r="E80" s="244"/>
      <c r="F80" s="244"/>
      <c r="G80" s="244"/>
      <c r="H80" s="244"/>
      <c r="I80" s="244"/>
      <c r="J80" s="244"/>
      <c r="K80" s="244"/>
      <c r="L80" s="244"/>
      <c r="M80" s="244"/>
      <c r="N80" s="244"/>
      <c r="O80" s="244"/>
      <c r="P80" s="244"/>
      <c r="Q80" s="244"/>
      <c r="R80" s="244"/>
      <c r="S80" s="244"/>
      <c r="T80" s="244"/>
      <c r="U80" s="244"/>
      <c r="V80" s="244"/>
      <c r="W80" s="244"/>
      <c r="X80" s="244"/>
      <c r="Y80" s="244"/>
      <c r="Z80" s="244"/>
      <c r="AA80" s="244"/>
      <c r="AB80" s="244"/>
      <c r="AC80" s="244"/>
      <c r="AD80" s="244"/>
      <c r="AE80" s="244"/>
      <c r="AF80" s="244"/>
      <c r="AG80" s="244"/>
      <c r="AH80" s="244"/>
      <c r="AI80" s="244"/>
      <c r="AJ80" s="244"/>
      <c r="AK80" s="244"/>
      <c r="AL80" s="244"/>
      <c r="AM80" s="244"/>
      <c r="AN80" s="244"/>
      <c r="AO80" s="244"/>
      <c r="AP80" s="244"/>
      <c r="AQ80" s="244"/>
      <c r="AR80" s="244"/>
      <c r="AS80" s="244"/>
      <c r="AT80" s="244"/>
      <c r="AU80" s="244"/>
      <c r="AV80" s="244"/>
      <c r="AW80" s="244"/>
      <c r="AX80" s="244"/>
      <c r="AY80" s="244"/>
    </row>
    <row r="81">
      <c r="A81" s="244"/>
      <c r="B81" s="244"/>
      <c r="C81" s="265"/>
      <c r="D81" s="244"/>
      <c r="E81" s="244"/>
      <c r="F81" s="244"/>
      <c r="G81" s="244"/>
      <c r="H81" s="244"/>
      <c r="I81" s="244"/>
      <c r="J81" s="244"/>
      <c r="K81" s="244"/>
      <c r="L81" s="244"/>
      <c r="M81" s="244"/>
      <c r="N81" s="244"/>
      <c r="O81" s="244"/>
      <c r="P81" s="244"/>
      <c r="Q81" s="244"/>
      <c r="R81" s="244"/>
      <c r="S81" s="244"/>
      <c r="T81" s="244"/>
      <c r="U81" s="244"/>
      <c r="V81" s="244"/>
      <c r="W81" s="244"/>
      <c r="X81" s="244"/>
      <c r="Y81" s="244"/>
      <c r="Z81" s="244"/>
      <c r="AA81" s="244"/>
      <c r="AB81" s="244"/>
      <c r="AC81" s="244"/>
      <c r="AD81" s="244"/>
      <c r="AE81" s="244"/>
      <c r="AF81" s="244"/>
      <c r="AG81" s="244"/>
      <c r="AH81" s="244"/>
      <c r="AI81" s="244"/>
      <c r="AJ81" s="244"/>
      <c r="AK81" s="244"/>
      <c r="AL81" s="244"/>
      <c r="AM81" s="244"/>
      <c r="AN81" s="244"/>
      <c r="AO81" s="244"/>
      <c r="AP81" s="244"/>
      <c r="AQ81" s="244"/>
      <c r="AR81" s="244"/>
      <c r="AS81" s="244"/>
      <c r="AT81" s="244"/>
      <c r="AU81" s="244"/>
      <c r="AV81" s="244"/>
      <c r="AW81" s="244"/>
      <c r="AX81" s="244"/>
      <c r="AY81" s="244"/>
    </row>
    <row r="82">
      <c r="A82" s="244"/>
      <c r="B82" s="244"/>
      <c r="C82" s="265"/>
      <c r="D82" s="244"/>
      <c r="E82" s="244"/>
      <c r="F82" s="244"/>
      <c r="G82" s="244"/>
      <c r="H82" s="244"/>
      <c r="I82" s="244"/>
      <c r="J82" s="244"/>
      <c r="K82" s="244"/>
      <c r="L82" s="244"/>
      <c r="M82" s="244"/>
      <c r="N82" s="244"/>
      <c r="O82" s="244"/>
      <c r="P82" s="244"/>
      <c r="Q82" s="244"/>
      <c r="R82" s="244"/>
      <c r="S82" s="244"/>
      <c r="T82" s="244"/>
      <c r="U82" s="244"/>
      <c r="V82" s="244"/>
      <c r="W82" s="244"/>
      <c r="X82" s="244"/>
      <c r="Y82" s="244"/>
      <c r="Z82" s="244"/>
      <c r="AA82" s="244"/>
      <c r="AB82" s="244"/>
      <c r="AC82" s="244"/>
      <c r="AD82" s="244"/>
      <c r="AE82" s="244"/>
      <c r="AF82" s="244"/>
      <c r="AG82" s="244"/>
      <c r="AH82" s="244"/>
      <c r="AI82" s="244"/>
      <c r="AJ82" s="244"/>
      <c r="AK82" s="244"/>
      <c r="AL82" s="244"/>
      <c r="AM82" s="244"/>
      <c r="AN82" s="244"/>
      <c r="AO82" s="244"/>
      <c r="AP82" s="244"/>
      <c r="AQ82" s="244"/>
      <c r="AR82" s="244"/>
      <c r="AS82" s="244"/>
      <c r="AT82" s="244"/>
      <c r="AU82" s="244"/>
      <c r="AV82" s="244"/>
      <c r="AW82" s="244"/>
      <c r="AX82" s="244"/>
      <c r="AY82" s="244"/>
    </row>
    <row r="83">
      <c r="A83" s="244"/>
      <c r="B83" s="244"/>
      <c r="C83" s="265"/>
      <c r="D83" s="244"/>
      <c r="E83" s="244"/>
      <c r="F83" s="244"/>
      <c r="G83" s="244"/>
      <c r="H83" s="244"/>
      <c r="I83" s="244"/>
      <c r="J83" s="244"/>
      <c r="K83" s="244"/>
      <c r="L83" s="244"/>
      <c r="M83" s="244"/>
      <c r="N83" s="244"/>
      <c r="O83" s="244"/>
      <c r="P83" s="244"/>
      <c r="Q83" s="244"/>
      <c r="R83" s="244"/>
      <c r="S83" s="244"/>
      <c r="T83" s="244"/>
      <c r="U83" s="244"/>
      <c r="V83" s="244"/>
      <c r="W83" s="244"/>
      <c r="X83" s="244"/>
      <c r="Y83" s="244"/>
      <c r="Z83" s="244"/>
      <c r="AA83" s="244"/>
      <c r="AB83" s="244"/>
      <c r="AC83" s="244"/>
      <c r="AD83" s="244"/>
      <c r="AE83" s="244"/>
      <c r="AF83" s="244"/>
      <c r="AG83" s="244"/>
      <c r="AH83" s="244"/>
      <c r="AI83" s="244"/>
      <c r="AJ83" s="244"/>
      <c r="AK83" s="244"/>
      <c r="AL83" s="244"/>
      <c r="AM83" s="244"/>
      <c r="AN83" s="244"/>
      <c r="AO83" s="244"/>
      <c r="AP83" s="244"/>
      <c r="AQ83" s="244"/>
      <c r="AR83" s="244"/>
      <c r="AS83" s="244"/>
      <c r="AT83" s="244"/>
      <c r="AU83" s="244"/>
      <c r="AV83" s="244"/>
      <c r="AW83" s="244"/>
      <c r="AX83" s="244"/>
      <c r="AY83" s="244"/>
    </row>
    <row r="84">
      <c r="A84" s="244"/>
      <c r="B84" s="244"/>
      <c r="C84" s="265"/>
      <c r="D84" s="244"/>
      <c r="E84" s="244"/>
      <c r="F84" s="244"/>
      <c r="G84" s="244"/>
      <c r="H84" s="244"/>
      <c r="I84" s="244"/>
      <c r="J84" s="244"/>
      <c r="K84" s="244"/>
      <c r="L84" s="244"/>
      <c r="M84" s="244"/>
      <c r="N84" s="244"/>
      <c r="O84" s="244"/>
      <c r="P84" s="244"/>
      <c r="Q84" s="244"/>
      <c r="R84" s="244"/>
      <c r="S84" s="244"/>
      <c r="T84" s="244"/>
      <c r="U84" s="244"/>
      <c r="V84" s="244"/>
      <c r="W84" s="244"/>
      <c r="X84" s="244"/>
      <c r="Y84" s="244"/>
      <c r="Z84" s="244"/>
      <c r="AA84" s="244"/>
      <c r="AB84" s="244"/>
      <c r="AC84" s="244"/>
      <c r="AD84" s="244"/>
      <c r="AE84" s="244"/>
      <c r="AF84" s="244"/>
      <c r="AG84" s="244"/>
      <c r="AH84" s="244"/>
      <c r="AI84" s="244"/>
      <c r="AJ84" s="244"/>
      <c r="AK84" s="244"/>
      <c r="AL84" s="244"/>
      <c r="AM84" s="244"/>
      <c r="AN84" s="244"/>
      <c r="AO84" s="244"/>
      <c r="AP84" s="244"/>
      <c r="AQ84" s="244"/>
      <c r="AR84" s="244"/>
      <c r="AS84" s="244"/>
      <c r="AT84" s="244"/>
      <c r="AU84" s="244"/>
      <c r="AV84" s="244"/>
      <c r="AW84" s="244"/>
      <c r="AX84" s="244"/>
      <c r="AY84" s="244"/>
    </row>
    <row r="85">
      <c r="A85" s="244"/>
      <c r="B85" s="244"/>
      <c r="C85" s="265"/>
      <c r="D85" s="244"/>
      <c r="E85" s="244"/>
      <c r="F85" s="244"/>
      <c r="G85" s="244"/>
      <c r="H85" s="244"/>
      <c r="I85" s="244"/>
      <c r="J85" s="244"/>
      <c r="K85" s="244"/>
      <c r="L85" s="244"/>
      <c r="M85" s="244"/>
      <c r="N85" s="244"/>
      <c r="O85" s="244"/>
      <c r="P85" s="244"/>
      <c r="Q85" s="244"/>
      <c r="R85" s="244"/>
      <c r="S85" s="244"/>
      <c r="T85" s="244"/>
      <c r="U85" s="244"/>
      <c r="V85" s="244"/>
      <c r="W85" s="244"/>
      <c r="X85" s="244"/>
      <c r="Y85" s="244"/>
      <c r="Z85" s="244"/>
      <c r="AA85" s="244"/>
      <c r="AB85" s="244"/>
      <c r="AC85" s="244"/>
      <c r="AD85" s="244"/>
      <c r="AE85" s="244"/>
      <c r="AF85" s="244"/>
      <c r="AG85" s="244"/>
      <c r="AH85" s="244"/>
      <c r="AI85" s="244"/>
      <c r="AJ85" s="244"/>
      <c r="AK85" s="244"/>
      <c r="AL85" s="244"/>
      <c r="AM85" s="244"/>
      <c r="AN85" s="244"/>
      <c r="AO85" s="244"/>
      <c r="AP85" s="244"/>
      <c r="AQ85" s="244"/>
      <c r="AR85" s="244"/>
      <c r="AS85" s="244"/>
      <c r="AT85" s="244"/>
      <c r="AU85" s="244"/>
      <c r="AV85" s="244"/>
      <c r="AW85" s="244"/>
      <c r="AX85" s="244"/>
      <c r="AY85" s="244"/>
    </row>
    <row r="86">
      <c r="A86" s="244"/>
      <c r="B86" s="244"/>
      <c r="C86" s="265"/>
      <c r="D86" s="244"/>
      <c r="E86" s="244"/>
      <c r="F86" s="244"/>
      <c r="G86" s="244"/>
      <c r="H86" s="244"/>
      <c r="I86" s="244"/>
      <c r="J86" s="244"/>
      <c r="K86" s="244"/>
      <c r="L86" s="244"/>
      <c r="M86" s="244"/>
      <c r="N86" s="244"/>
      <c r="O86" s="244"/>
      <c r="P86" s="244"/>
      <c r="Q86" s="244"/>
      <c r="R86" s="244"/>
      <c r="S86" s="244"/>
      <c r="T86" s="244"/>
      <c r="U86" s="244"/>
      <c r="V86" s="244"/>
      <c r="W86" s="244"/>
      <c r="X86" s="244"/>
      <c r="Y86" s="244"/>
      <c r="Z86" s="244"/>
      <c r="AA86" s="244"/>
      <c r="AB86" s="244"/>
      <c r="AC86" s="244"/>
      <c r="AD86" s="244"/>
      <c r="AE86" s="244"/>
      <c r="AF86" s="244"/>
      <c r="AG86" s="244"/>
      <c r="AH86" s="244"/>
      <c r="AI86" s="244"/>
      <c r="AJ86" s="244"/>
      <c r="AK86" s="244"/>
      <c r="AL86" s="244"/>
      <c r="AM86" s="244"/>
      <c r="AN86" s="244"/>
      <c r="AO86" s="244"/>
      <c r="AP86" s="244"/>
      <c r="AQ86" s="244"/>
      <c r="AR86" s="244"/>
      <c r="AS86" s="244"/>
      <c r="AT86" s="244"/>
      <c r="AU86" s="244"/>
      <c r="AV86" s="244"/>
      <c r="AW86" s="244"/>
      <c r="AX86" s="244"/>
      <c r="AY86" s="244"/>
    </row>
    <row r="87">
      <c r="A87" s="244"/>
      <c r="B87" s="244"/>
      <c r="C87" s="265"/>
      <c r="D87" s="244"/>
      <c r="E87" s="244"/>
      <c r="F87" s="244"/>
      <c r="G87" s="244"/>
      <c r="H87" s="244"/>
      <c r="I87" s="244"/>
      <c r="J87" s="244"/>
      <c r="K87" s="244"/>
      <c r="L87" s="244"/>
      <c r="M87" s="244"/>
      <c r="N87" s="244"/>
      <c r="O87" s="244"/>
      <c r="P87" s="244"/>
      <c r="Q87" s="244"/>
      <c r="R87" s="244"/>
      <c r="S87" s="244"/>
      <c r="T87" s="244"/>
      <c r="U87" s="244"/>
      <c r="V87" s="244"/>
      <c r="W87" s="244"/>
      <c r="X87" s="244"/>
      <c r="Y87" s="244"/>
      <c r="Z87" s="244"/>
      <c r="AA87" s="244"/>
      <c r="AB87" s="244"/>
      <c r="AC87" s="244"/>
      <c r="AD87" s="244"/>
      <c r="AE87" s="244"/>
      <c r="AF87" s="244"/>
      <c r="AG87" s="244"/>
      <c r="AH87" s="244"/>
      <c r="AI87" s="244"/>
      <c r="AJ87" s="244"/>
      <c r="AK87" s="244"/>
      <c r="AL87" s="244"/>
      <c r="AM87" s="244"/>
      <c r="AN87" s="244"/>
      <c r="AO87" s="244"/>
      <c r="AP87" s="244"/>
      <c r="AQ87" s="244"/>
      <c r="AR87" s="244"/>
      <c r="AS87" s="244"/>
      <c r="AT87" s="244"/>
      <c r="AU87" s="244"/>
      <c r="AV87" s="244"/>
      <c r="AW87" s="244"/>
      <c r="AX87" s="244"/>
      <c r="AY87" s="244"/>
    </row>
    <row r="88">
      <c r="A88" s="244"/>
      <c r="B88" s="244"/>
      <c r="C88" s="265"/>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c r="AD88" s="244"/>
      <c r="AE88" s="244"/>
      <c r="AF88" s="244"/>
      <c r="AG88" s="244"/>
      <c r="AH88" s="244"/>
      <c r="AI88" s="244"/>
      <c r="AJ88" s="244"/>
      <c r="AK88" s="244"/>
      <c r="AL88" s="244"/>
      <c r="AM88" s="244"/>
      <c r="AN88" s="244"/>
      <c r="AO88" s="244"/>
      <c r="AP88" s="244"/>
      <c r="AQ88" s="244"/>
      <c r="AR88" s="244"/>
      <c r="AS88" s="244"/>
      <c r="AT88" s="244"/>
      <c r="AU88" s="244"/>
      <c r="AV88" s="244"/>
      <c r="AW88" s="244"/>
      <c r="AX88" s="244"/>
      <c r="AY88" s="244"/>
    </row>
    <row r="89">
      <c r="A89" s="244"/>
      <c r="B89" s="244"/>
      <c r="C89" s="265"/>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c r="AD89" s="244"/>
      <c r="AE89" s="244"/>
      <c r="AF89" s="244"/>
      <c r="AG89" s="244"/>
      <c r="AH89" s="244"/>
      <c r="AI89" s="244"/>
      <c r="AJ89" s="244"/>
      <c r="AK89" s="244"/>
      <c r="AL89" s="244"/>
      <c r="AM89" s="244"/>
      <c r="AN89" s="244"/>
      <c r="AO89" s="244"/>
      <c r="AP89" s="244"/>
      <c r="AQ89" s="244"/>
      <c r="AR89" s="244"/>
      <c r="AS89" s="244"/>
      <c r="AT89" s="244"/>
      <c r="AU89" s="244"/>
      <c r="AV89" s="244"/>
      <c r="AW89" s="244"/>
      <c r="AX89" s="244"/>
      <c r="AY89" s="244"/>
    </row>
    <row r="90">
      <c r="A90" s="244"/>
      <c r="B90" s="244"/>
      <c r="C90" s="265"/>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c r="AD90" s="244"/>
      <c r="AE90" s="244"/>
      <c r="AF90" s="244"/>
      <c r="AG90" s="244"/>
      <c r="AH90" s="244"/>
      <c r="AI90" s="244"/>
      <c r="AJ90" s="244"/>
      <c r="AK90" s="244"/>
      <c r="AL90" s="244"/>
      <c r="AM90" s="244"/>
      <c r="AN90" s="244"/>
      <c r="AO90" s="244"/>
      <c r="AP90" s="244"/>
      <c r="AQ90" s="244"/>
      <c r="AR90" s="244"/>
      <c r="AS90" s="244"/>
      <c r="AT90" s="244"/>
      <c r="AU90" s="244"/>
      <c r="AV90" s="244"/>
      <c r="AW90" s="244"/>
      <c r="AX90" s="244"/>
      <c r="AY90" s="244"/>
    </row>
    <row r="91">
      <c r="A91" s="244"/>
      <c r="B91" s="244"/>
      <c r="C91" s="265"/>
      <c r="D91" s="244"/>
      <c r="E91" s="244"/>
      <c r="F91" s="244"/>
      <c r="G91" s="244"/>
      <c r="H91" s="244"/>
      <c r="I91" s="244"/>
      <c r="J91" s="244"/>
      <c r="K91" s="244"/>
      <c r="L91" s="244"/>
      <c r="M91" s="244"/>
      <c r="N91" s="244"/>
      <c r="O91" s="244"/>
      <c r="P91" s="244"/>
      <c r="Q91" s="244"/>
      <c r="R91" s="244"/>
      <c r="S91" s="244"/>
      <c r="T91" s="244"/>
      <c r="U91" s="244"/>
      <c r="V91" s="244"/>
      <c r="W91" s="244"/>
      <c r="X91" s="244"/>
      <c r="Y91" s="244"/>
      <c r="Z91" s="244"/>
      <c r="AA91" s="244"/>
      <c r="AB91" s="244"/>
      <c r="AC91" s="244"/>
      <c r="AD91" s="244"/>
      <c r="AE91" s="244"/>
      <c r="AF91" s="244"/>
      <c r="AG91" s="244"/>
      <c r="AH91" s="244"/>
      <c r="AI91" s="244"/>
      <c r="AJ91" s="244"/>
      <c r="AK91" s="244"/>
      <c r="AL91" s="244"/>
      <c r="AM91" s="244"/>
      <c r="AN91" s="244"/>
      <c r="AO91" s="244"/>
      <c r="AP91" s="244"/>
      <c r="AQ91" s="244"/>
      <c r="AR91" s="244"/>
      <c r="AS91" s="244"/>
      <c r="AT91" s="244"/>
      <c r="AU91" s="244"/>
      <c r="AV91" s="244"/>
      <c r="AW91" s="244"/>
      <c r="AX91" s="244"/>
      <c r="AY91" s="244"/>
    </row>
    <row r="92">
      <c r="A92" s="244"/>
      <c r="B92" s="244"/>
      <c r="C92" s="265"/>
      <c r="D92" s="244"/>
      <c r="E92" s="244"/>
      <c r="F92" s="244"/>
      <c r="G92" s="244"/>
      <c r="H92" s="244"/>
      <c r="I92" s="244"/>
      <c r="J92" s="244"/>
      <c r="K92" s="244"/>
      <c r="L92" s="244"/>
      <c r="M92" s="244"/>
      <c r="N92" s="244"/>
      <c r="O92" s="244"/>
      <c r="P92" s="244"/>
      <c r="Q92" s="244"/>
      <c r="R92" s="244"/>
      <c r="S92" s="244"/>
      <c r="T92" s="244"/>
      <c r="U92" s="244"/>
      <c r="V92" s="244"/>
      <c r="W92" s="244"/>
      <c r="X92" s="244"/>
      <c r="Y92" s="244"/>
      <c r="Z92" s="244"/>
      <c r="AA92" s="244"/>
      <c r="AB92" s="244"/>
      <c r="AC92" s="244"/>
      <c r="AD92" s="244"/>
      <c r="AE92" s="244"/>
      <c r="AF92" s="244"/>
      <c r="AG92" s="244"/>
      <c r="AH92" s="244"/>
      <c r="AI92" s="244"/>
      <c r="AJ92" s="244"/>
      <c r="AK92" s="244"/>
      <c r="AL92" s="244"/>
      <c r="AM92" s="244"/>
      <c r="AN92" s="244"/>
      <c r="AO92" s="244"/>
      <c r="AP92" s="244"/>
      <c r="AQ92" s="244"/>
      <c r="AR92" s="244"/>
      <c r="AS92" s="244"/>
      <c r="AT92" s="244"/>
      <c r="AU92" s="244"/>
      <c r="AV92" s="244"/>
      <c r="AW92" s="244"/>
      <c r="AX92" s="244"/>
      <c r="AY92" s="244"/>
    </row>
    <row r="93">
      <c r="A93" s="244"/>
      <c r="B93" s="244"/>
      <c r="C93" s="265"/>
      <c r="D93" s="244"/>
      <c r="E93" s="244"/>
      <c r="F93" s="244"/>
      <c r="G93" s="244"/>
      <c r="H93" s="244"/>
      <c r="I93" s="244"/>
      <c r="J93" s="244"/>
      <c r="K93" s="244"/>
      <c r="L93" s="244"/>
      <c r="M93" s="244"/>
      <c r="N93" s="244"/>
      <c r="O93" s="244"/>
      <c r="P93" s="244"/>
      <c r="Q93" s="244"/>
      <c r="R93" s="244"/>
      <c r="S93" s="244"/>
      <c r="T93" s="244"/>
      <c r="U93" s="244"/>
      <c r="V93" s="244"/>
      <c r="W93" s="244"/>
      <c r="X93" s="244"/>
      <c r="Y93" s="244"/>
      <c r="Z93" s="244"/>
      <c r="AA93" s="244"/>
      <c r="AB93" s="244"/>
      <c r="AC93" s="244"/>
      <c r="AD93" s="244"/>
      <c r="AE93" s="244"/>
      <c r="AF93" s="244"/>
      <c r="AG93" s="244"/>
      <c r="AH93" s="244"/>
      <c r="AI93" s="244"/>
      <c r="AJ93" s="244"/>
      <c r="AK93" s="244"/>
      <c r="AL93" s="244"/>
      <c r="AM93" s="244"/>
      <c r="AN93" s="244"/>
      <c r="AO93" s="244"/>
      <c r="AP93" s="244"/>
      <c r="AQ93" s="244"/>
      <c r="AR93" s="244"/>
      <c r="AS93" s="244"/>
      <c r="AT93" s="244"/>
      <c r="AU93" s="244"/>
      <c r="AV93" s="244"/>
      <c r="AW93" s="244"/>
      <c r="AX93" s="244"/>
      <c r="AY93" s="244"/>
    </row>
    <row r="94">
      <c r="A94" s="244"/>
      <c r="B94" s="244"/>
      <c r="C94" s="265"/>
      <c r="D94" s="244"/>
      <c r="E94" s="244"/>
      <c r="F94" s="244"/>
      <c r="G94" s="244"/>
      <c r="H94" s="244"/>
      <c r="I94" s="244"/>
      <c r="J94" s="244"/>
      <c r="K94" s="244"/>
      <c r="L94" s="244"/>
      <c r="M94" s="244"/>
      <c r="N94" s="244"/>
      <c r="O94" s="244"/>
      <c r="P94" s="244"/>
      <c r="Q94" s="244"/>
      <c r="R94" s="244"/>
      <c r="S94" s="244"/>
      <c r="T94" s="244"/>
      <c r="U94" s="244"/>
      <c r="V94" s="244"/>
      <c r="W94" s="244"/>
      <c r="X94" s="244"/>
      <c r="Y94" s="244"/>
      <c r="Z94" s="244"/>
      <c r="AA94" s="244"/>
      <c r="AB94" s="244"/>
      <c r="AC94" s="244"/>
      <c r="AD94" s="244"/>
      <c r="AE94" s="244"/>
      <c r="AF94" s="244"/>
      <c r="AG94" s="244"/>
      <c r="AH94" s="244"/>
      <c r="AI94" s="244"/>
      <c r="AJ94" s="244"/>
      <c r="AK94" s="244"/>
      <c r="AL94" s="244"/>
      <c r="AM94" s="244"/>
      <c r="AN94" s="244"/>
      <c r="AO94" s="244"/>
      <c r="AP94" s="244"/>
      <c r="AQ94" s="244"/>
      <c r="AR94" s="244"/>
      <c r="AS94" s="244"/>
      <c r="AT94" s="244"/>
      <c r="AU94" s="244"/>
      <c r="AV94" s="244"/>
      <c r="AW94" s="244"/>
      <c r="AX94" s="244"/>
      <c r="AY94" s="244"/>
    </row>
    <row r="95">
      <c r="A95" s="244"/>
      <c r="B95" s="244"/>
      <c r="C95" s="265"/>
      <c r="D95" s="244"/>
      <c r="E95" s="244"/>
      <c r="F95" s="244"/>
      <c r="G95" s="244"/>
      <c r="H95" s="244"/>
      <c r="I95" s="244"/>
      <c r="J95" s="244"/>
      <c r="K95" s="244"/>
      <c r="L95" s="244"/>
      <c r="M95" s="244"/>
      <c r="N95" s="244"/>
      <c r="O95" s="244"/>
      <c r="P95" s="244"/>
      <c r="Q95" s="244"/>
      <c r="R95" s="244"/>
      <c r="S95" s="244"/>
      <c r="T95" s="244"/>
      <c r="U95" s="244"/>
      <c r="V95" s="244"/>
      <c r="W95" s="244"/>
      <c r="X95" s="244"/>
      <c r="Y95" s="244"/>
      <c r="Z95" s="244"/>
      <c r="AA95" s="244"/>
      <c r="AB95" s="244"/>
      <c r="AC95" s="244"/>
      <c r="AD95" s="244"/>
      <c r="AE95" s="244"/>
      <c r="AF95" s="244"/>
      <c r="AG95" s="244"/>
      <c r="AH95" s="244"/>
      <c r="AI95" s="244"/>
      <c r="AJ95" s="244"/>
      <c r="AK95" s="244"/>
      <c r="AL95" s="244"/>
      <c r="AM95" s="244"/>
      <c r="AN95" s="244"/>
      <c r="AO95" s="244"/>
      <c r="AP95" s="244"/>
      <c r="AQ95" s="244"/>
      <c r="AR95" s="244"/>
      <c r="AS95" s="244"/>
      <c r="AT95" s="244"/>
      <c r="AU95" s="244"/>
      <c r="AV95" s="244"/>
      <c r="AW95" s="244"/>
      <c r="AX95" s="244"/>
      <c r="AY95" s="244"/>
    </row>
    <row r="96">
      <c r="A96" s="244"/>
      <c r="B96" s="244"/>
      <c r="C96" s="265"/>
      <c r="D96" s="244"/>
      <c r="E96" s="244"/>
      <c r="F96" s="244"/>
      <c r="G96" s="244"/>
      <c r="H96" s="244"/>
      <c r="I96" s="244"/>
      <c r="J96" s="244"/>
      <c r="K96" s="244"/>
      <c r="L96" s="244"/>
      <c r="M96" s="244"/>
      <c r="N96" s="244"/>
      <c r="O96" s="244"/>
      <c r="P96" s="244"/>
      <c r="Q96" s="244"/>
      <c r="R96" s="244"/>
      <c r="S96" s="244"/>
      <c r="T96" s="244"/>
      <c r="U96" s="244"/>
      <c r="V96" s="244"/>
      <c r="W96" s="244"/>
      <c r="X96" s="244"/>
      <c r="Y96" s="244"/>
      <c r="Z96" s="244"/>
      <c r="AA96" s="244"/>
      <c r="AB96" s="244"/>
      <c r="AC96" s="244"/>
      <c r="AD96" s="244"/>
      <c r="AE96" s="244"/>
      <c r="AF96" s="244"/>
      <c r="AG96" s="244"/>
      <c r="AH96" s="244"/>
      <c r="AI96" s="244"/>
      <c r="AJ96" s="244"/>
      <c r="AK96" s="244"/>
      <c r="AL96" s="244"/>
      <c r="AM96" s="244"/>
      <c r="AN96" s="244"/>
      <c r="AO96" s="244"/>
      <c r="AP96" s="244"/>
      <c r="AQ96" s="244"/>
      <c r="AR96" s="244"/>
      <c r="AS96" s="244"/>
      <c r="AT96" s="244"/>
      <c r="AU96" s="244"/>
      <c r="AV96" s="244"/>
      <c r="AW96" s="244"/>
      <c r="AX96" s="244"/>
      <c r="AY96" s="244"/>
    </row>
    <row r="97">
      <c r="A97" s="244"/>
      <c r="B97" s="244"/>
      <c r="C97" s="265"/>
      <c r="D97" s="244"/>
      <c r="E97" s="244"/>
      <c r="F97" s="244"/>
      <c r="G97" s="244"/>
      <c r="H97" s="244"/>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4"/>
      <c r="AX97" s="244"/>
      <c r="AY97" s="244"/>
    </row>
    <row r="98">
      <c r="A98" s="244"/>
      <c r="B98" s="244"/>
      <c r="C98" s="265"/>
      <c r="D98" s="244"/>
      <c r="E98" s="244"/>
      <c r="F98" s="244"/>
      <c r="G98" s="244"/>
      <c r="H98" s="244"/>
      <c r="I98" s="244"/>
      <c r="J98" s="244"/>
      <c r="K98" s="244"/>
      <c r="L98" s="244"/>
      <c r="M98" s="244"/>
      <c r="N98" s="244"/>
      <c r="O98" s="244"/>
      <c r="P98" s="244"/>
      <c r="Q98" s="244"/>
      <c r="R98" s="244"/>
      <c r="S98" s="244"/>
      <c r="T98" s="244"/>
      <c r="U98" s="244"/>
      <c r="V98" s="244"/>
      <c r="W98" s="244"/>
      <c r="X98" s="244"/>
      <c r="Y98" s="244"/>
      <c r="Z98" s="244"/>
      <c r="AA98" s="244"/>
      <c r="AB98" s="244"/>
      <c r="AC98" s="244"/>
      <c r="AD98" s="244"/>
      <c r="AE98" s="244"/>
      <c r="AF98" s="244"/>
      <c r="AG98" s="244"/>
      <c r="AH98" s="244"/>
      <c r="AI98" s="244"/>
      <c r="AJ98" s="244"/>
      <c r="AK98" s="244"/>
      <c r="AL98" s="244"/>
      <c r="AM98" s="244"/>
      <c r="AN98" s="244"/>
      <c r="AO98" s="244"/>
      <c r="AP98" s="244"/>
      <c r="AQ98" s="244"/>
      <c r="AR98" s="244"/>
      <c r="AS98" s="244"/>
      <c r="AT98" s="244"/>
      <c r="AU98" s="244"/>
      <c r="AV98" s="244"/>
      <c r="AW98" s="244"/>
      <c r="AX98" s="244"/>
      <c r="AY98" s="244"/>
    </row>
    <row r="99">
      <c r="A99" s="244"/>
      <c r="B99" s="244"/>
      <c r="C99" s="265"/>
      <c r="D99" s="244"/>
      <c r="E99" s="244"/>
      <c r="F99" s="244"/>
      <c r="G99" s="244"/>
      <c r="H99" s="244"/>
      <c r="I99" s="244"/>
      <c r="J99" s="244"/>
      <c r="K99" s="244"/>
      <c r="L99" s="244"/>
      <c r="M99" s="244"/>
      <c r="N99" s="244"/>
      <c r="O99" s="244"/>
      <c r="P99" s="244"/>
      <c r="Q99" s="244"/>
      <c r="R99" s="244"/>
      <c r="S99" s="244"/>
      <c r="T99" s="244"/>
      <c r="U99" s="244"/>
      <c r="V99" s="244"/>
      <c r="W99" s="244"/>
      <c r="X99" s="244"/>
      <c r="Y99" s="244"/>
      <c r="Z99" s="244"/>
      <c r="AA99" s="244"/>
      <c r="AB99" s="244"/>
      <c r="AC99" s="244"/>
      <c r="AD99" s="244"/>
      <c r="AE99" s="244"/>
      <c r="AF99" s="244"/>
      <c r="AG99" s="244"/>
      <c r="AH99" s="244"/>
      <c r="AI99" s="244"/>
      <c r="AJ99" s="244"/>
      <c r="AK99" s="244"/>
      <c r="AL99" s="244"/>
      <c r="AM99" s="244"/>
      <c r="AN99" s="244"/>
      <c r="AO99" s="244"/>
      <c r="AP99" s="244"/>
      <c r="AQ99" s="244"/>
      <c r="AR99" s="244"/>
      <c r="AS99" s="244"/>
      <c r="AT99" s="244"/>
      <c r="AU99" s="244"/>
      <c r="AV99" s="244"/>
      <c r="AW99" s="244"/>
      <c r="AX99" s="244"/>
      <c r="AY99" s="244"/>
    </row>
    <row r="100">
      <c r="A100" s="244"/>
      <c r="B100" s="244"/>
      <c r="C100" s="265"/>
      <c r="D100" s="244"/>
      <c r="E100" s="244"/>
      <c r="F100" s="244"/>
      <c r="G100" s="244"/>
      <c r="H100" s="244"/>
      <c r="I100" s="244"/>
      <c r="J100" s="244"/>
      <c r="K100" s="244"/>
      <c r="L100" s="244"/>
      <c r="M100" s="244"/>
      <c r="N100" s="244"/>
      <c r="O100" s="244"/>
      <c r="P100" s="244"/>
      <c r="Q100" s="244"/>
      <c r="R100" s="244"/>
      <c r="S100" s="244"/>
      <c r="T100" s="244"/>
      <c r="U100" s="244"/>
      <c r="V100" s="244"/>
      <c r="W100" s="244"/>
      <c r="X100" s="244"/>
      <c r="Y100" s="244"/>
      <c r="Z100" s="244"/>
      <c r="AA100" s="244"/>
      <c r="AB100" s="244"/>
      <c r="AC100" s="244"/>
      <c r="AD100" s="244"/>
      <c r="AE100" s="244"/>
      <c r="AF100" s="244"/>
      <c r="AG100" s="244"/>
      <c r="AH100" s="244"/>
      <c r="AI100" s="244"/>
      <c r="AJ100" s="244"/>
      <c r="AK100" s="244"/>
      <c r="AL100" s="244"/>
      <c r="AM100" s="244"/>
      <c r="AN100" s="244"/>
      <c r="AO100" s="244"/>
      <c r="AP100" s="244"/>
      <c r="AQ100" s="244"/>
      <c r="AR100" s="244"/>
      <c r="AS100" s="244"/>
      <c r="AT100" s="244"/>
      <c r="AU100" s="244"/>
      <c r="AV100" s="244"/>
      <c r="AW100" s="244"/>
      <c r="AX100" s="244"/>
      <c r="AY100" s="244"/>
    </row>
    <row r="101">
      <c r="A101" s="244"/>
      <c r="B101" s="244"/>
      <c r="C101" s="265"/>
      <c r="D101" s="244"/>
      <c r="E101" s="244"/>
      <c r="F101" s="244"/>
      <c r="G101" s="244"/>
      <c r="H101" s="244"/>
      <c r="I101" s="244"/>
      <c r="J101" s="244"/>
      <c r="K101" s="244"/>
      <c r="L101" s="244"/>
      <c r="M101" s="244"/>
      <c r="N101" s="244"/>
      <c r="O101" s="244"/>
      <c r="P101" s="244"/>
      <c r="Q101" s="244"/>
      <c r="R101" s="244"/>
      <c r="S101" s="244"/>
      <c r="T101" s="244"/>
      <c r="U101" s="244"/>
      <c r="V101" s="244"/>
      <c r="W101" s="244"/>
      <c r="X101" s="244"/>
      <c r="Y101" s="244"/>
      <c r="Z101" s="244"/>
      <c r="AA101" s="244"/>
      <c r="AB101" s="244"/>
      <c r="AC101" s="244"/>
      <c r="AD101" s="244"/>
      <c r="AE101" s="244"/>
      <c r="AF101" s="244"/>
      <c r="AG101" s="244"/>
      <c r="AH101" s="244"/>
      <c r="AI101" s="244"/>
      <c r="AJ101" s="244"/>
      <c r="AK101" s="244"/>
      <c r="AL101" s="244"/>
      <c r="AM101" s="244"/>
      <c r="AN101" s="244"/>
      <c r="AO101" s="244"/>
      <c r="AP101" s="244"/>
      <c r="AQ101" s="244"/>
      <c r="AR101" s="244"/>
      <c r="AS101" s="244"/>
      <c r="AT101" s="244"/>
      <c r="AU101" s="244"/>
      <c r="AV101" s="244"/>
      <c r="AW101" s="244"/>
      <c r="AX101" s="244"/>
      <c r="AY101" s="244"/>
    </row>
    <row r="102">
      <c r="A102" s="244"/>
      <c r="B102" s="244"/>
      <c r="C102" s="265"/>
      <c r="D102" s="244"/>
      <c r="E102" s="244"/>
      <c r="F102" s="244"/>
      <c r="G102" s="244"/>
      <c r="H102" s="244"/>
      <c r="I102" s="244"/>
      <c r="J102" s="244"/>
      <c r="K102" s="244"/>
      <c r="L102" s="244"/>
      <c r="M102" s="244"/>
      <c r="N102" s="244"/>
      <c r="O102" s="244"/>
      <c r="P102" s="244"/>
      <c r="Q102" s="244"/>
      <c r="R102" s="244"/>
      <c r="S102" s="244"/>
      <c r="T102" s="244"/>
      <c r="U102" s="244"/>
      <c r="V102" s="244"/>
      <c r="W102" s="244"/>
      <c r="X102" s="244"/>
      <c r="Y102" s="244"/>
      <c r="Z102" s="244"/>
      <c r="AA102" s="244"/>
      <c r="AB102" s="244"/>
      <c r="AC102" s="244"/>
      <c r="AD102" s="244"/>
      <c r="AE102" s="244"/>
      <c r="AF102" s="244"/>
      <c r="AG102" s="244"/>
      <c r="AH102" s="244"/>
      <c r="AI102" s="244"/>
      <c r="AJ102" s="244"/>
      <c r="AK102" s="244"/>
      <c r="AL102" s="244"/>
      <c r="AM102" s="244"/>
      <c r="AN102" s="244"/>
      <c r="AO102" s="244"/>
      <c r="AP102" s="244"/>
      <c r="AQ102" s="244"/>
      <c r="AR102" s="244"/>
      <c r="AS102" s="244"/>
      <c r="AT102" s="244"/>
      <c r="AU102" s="244"/>
      <c r="AV102" s="244"/>
      <c r="AW102" s="244"/>
      <c r="AX102" s="244"/>
      <c r="AY102" s="244"/>
    </row>
    <row r="103">
      <c r="A103" s="244"/>
      <c r="B103" s="244"/>
      <c r="C103" s="265"/>
      <c r="D103" s="244"/>
      <c r="E103" s="244"/>
      <c r="F103" s="244"/>
      <c r="G103" s="244"/>
      <c r="H103" s="244"/>
      <c r="I103" s="244"/>
      <c r="J103" s="244"/>
      <c r="K103" s="244"/>
      <c r="L103" s="244"/>
      <c r="M103" s="244"/>
      <c r="N103" s="244"/>
      <c r="O103" s="244"/>
      <c r="P103" s="244"/>
      <c r="Q103" s="244"/>
      <c r="R103" s="244"/>
      <c r="S103" s="244"/>
      <c r="T103" s="244"/>
      <c r="U103" s="244"/>
      <c r="V103" s="244"/>
      <c r="W103" s="244"/>
      <c r="X103" s="244"/>
      <c r="Y103" s="244"/>
      <c r="Z103" s="244"/>
      <c r="AA103" s="244"/>
      <c r="AB103" s="244"/>
      <c r="AC103" s="244"/>
      <c r="AD103" s="244"/>
      <c r="AE103" s="244"/>
      <c r="AF103" s="244"/>
      <c r="AG103" s="244"/>
      <c r="AH103" s="244"/>
      <c r="AI103" s="244"/>
      <c r="AJ103" s="244"/>
      <c r="AK103" s="244"/>
      <c r="AL103" s="244"/>
      <c r="AM103" s="244"/>
      <c r="AN103" s="244"/>
      <c r="AO103" s="244"/>
      <c r="AP103" s="244"/>
      <c r="AQ103" s="244"/>
      <c r="AR103" s="244"/>
      <c r="AS103" s="244"/>
      <c r="AT103" s="244"/>
      <c r="AU103" s="244"/>
      <c r="AV103" s="244"/>
      <c r="AW103" s="244"/>
      <c r="AX103" s="244"/>
      <c r="AY103" s="244"/>
    </row>
    <row r="104">
      <c r="A104" s="244"/>
      <c r="B104" s="244"/>
      <c r="C104" s="265"/>
      <c r="D104" s="244"/>
      <c r="E104" s="244"/>
      <c r="F104" s="244"/>
      <c r="G104" s="244"/>
      <c r="H104" s="244"/>
      <c r="I104" s="244"/>
      <c r="J104" s="244"/>
      <c r="K104" s="244"/>
      <c r="L104" s="244"/>
      <c r="M104" s="244"/>
      <c r="N104" s="244"/>
      <c r="O104" s="244"/>
      <c r="P104" s="244"/>
      <c r="Q104" s="244"/>
      <c r="R104" s="244"/>
      <c r="S104" s="244"/>
      <c r="T104" s="244"/>
      <c r="U104" s="244"/>
      <c r="V104" s="244"/>
      <c r="W104" s="244"/>
      <c r="X104" s="244"/>
      <c r="Y104" s="244"/>
      <c r="Z104" s="244"/>
      <c r="AA104" s="244"/>
      <c r="AB104" s="244"/>
      <c r="AC104" s="244"/>
      <c r="AD104" s="244"/>
      <c r="AE104" s="244"/>
      <c r="AF104" s="244"/>
      <c r="AG104" s="244"/>
      <c r="AH104" s="244"/>
      <c r="AI104" s="244"/>
      <c r="AJ104" s="244"/>
      <c r="AK104" s="244"/>
      <c r="AL104" s="244"/>
      <c r="AM104" s="244"/>
      <c r="AN104" s="244"/>
      <c r="AO104" s="244"/>
      <c r="AP104" s="244"/>
      <c r="AQ104" s="244"/>
      <c r="AR104" s="244"/>
      <c r="AS104" s="244"/>
      <c r="AT104" s="244"/>
      <c r="AU104" s="244"/>
      <c r="AV104" s="244"/>
      <c r="AW104" s="244"/>
      <c r="AX104" s="244"/>
      <c r="AY104" s="244"/>
    </row>
    <row r="105">
      <c r="A105" s="244"/>
      <c r="B105" s="244"/>
      <c r="C105" s="265"/>
      <c r="D105" s="244"/>
      <c r="E105" s="244"/>
      <c r="F105" s="244"/>
      <c r="G105" s="244"/>
      <c r="H105" s="244"/>
      <c r="I105" s="244"/>
      <c r="J105" s="244"/>
      <c r="K105" s="244"/>
      <c r="L105" s="244"/>
      <c r="M105" s="244"/>
      <c r="N105" s="244"/>
      <c r="O105" s="244"/>
      <c r="P105" s="244"/>
      <c r="Q105" s="244"/>
      <c r="R105" s="244"/>
      <c r="S105" s="244"/>
      <c r="T105" s="244"/>
      <c r="U105" s="244"/>
      <c r="V105" s="244"/>
      <c r="W105" s="244"/>
      <c r="X105" s="244"/>
      <c r="Y105" s="244"/>
      <c r="Z105" s="244"/>
      <c r="AA105" s="244"/>
      <c r="AB105" s="244"/>
      <c r="AC105" s="244"/>
      <c r="AD105" s="244"/>
      <c r="AE105" s="244"/>
      <c r="AF105" s="244"/>
      <c r="AG105" s="244"/>
      <c r="AH105" s="244"/>
      <c r="AI105" s="244"/>
      <c r="AJ105" s="244"/>
      <c r="AK105" s="244"/>
      <c r="AL105" s="244"/>
      <c r="AM105" s="244"/>
      <c r="AN105" s="244"/>
      <c r="AO105" s="244"/>
      <c r="AP105" s="244"/>
      <c r="AQ105" s="244"/>
      <c r="AR105" s="244"/>
      <c r="AS105" s="244"/>
      <c r="AT105" s="244"/>
      <c r="AU105" s="244"/>
      <c r="AV105" s="244"/>
      <c r="AW105" s="244"/>
      <c r="AX105" s="244"/>
      <c r="AY105" s="244"/>
    </row>
  </sheetData>
  <mergeCells count="12">
    <mergeCell ref="Z8:AB8"/>
    <mergeCell ref="D53:Y53"/>
    <mergeCell ref="Q4:X4"/>
    <mergeCell ref="D7:O7"/>
    <mergeCell ref="Q7:AB7"/>
    <mergeCell ref="D8:F8"/>
    <mergeCell ref="G8:I8"/>
    <mergeCell ref="J8:L8"/>
    <mergeCell ref="M8:O8"/>
    <mergeCell ref="Q8:S8"/>
    <mergeCell ref="T8:V8"/>
    <mergeCell ref="W8:Y8"/>
  </mergeCells>
  <phoneticPr fontId="0" type="noConversion"/>
  <printOptions horizontalCentered="1" verticalCentered="1"/>
  <pageMargins left="0.25" right="0.25" top="0.25" bottom="0.25" header="0.25" footer="0.28"/>
  <pageSetup scale="65" orientation="landscape" r:id="rId1"/>
  <headerFooter alignWithMargins="0">
    <oddHeader/>
    <oddFooter/>
  </headerFooter>
  <drawing r:id="rId46"/>
</worksheet>
</file>

<file path=xl/worksheets/sheet46.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pageSetUpPr fitToPage="1"/>
  </sheetPr>
  <dimension ref="A1:CF148"/>
  <sheetViews>
    <sheetView showGridLines="0" zoomScale="80" workbookViewId="0"/>
  </sheetViews>
  <sheetFormatPr defaultRowHeight="12.75"/>
  <cols>
    <col min="1" max="1" width="1" customWidth="1"/>
    <col min="2" max="2" width="1.28515625" style="21" customWidth="1"/>
    <col min="3" max="3" width="8.28515625" customWidth="1"/>
    <col min="4" max="4" width="51.5703125" customWidth="1"/>
    <col min="5" max="5" width="23.7109375" customWidth="1"/>
    <col min="6" max="6" width="11.7109375" customWidth="1"/>
    <col min="7" max="7" width="14.7109375" customWidth="1"/>
    <col min="8" max="8" width="7.7109375" customWidth="1"/>
    <col min="9" max="38" width="2.7109375" customWidth="1"/>
    <col min="39" max="69" width="2.42578125" customWidth="1"/>
  </cols>
  <sheetData>
    <row r="1" ht="23.25" customHeight="1">
      <c r="B1" s="5" t="s">
        <v>134</v>
      </c>
      <c r="D1" s="5"/>
      <c r="E1" s="5"/>
      <c r="F1" s="5"/>
      <c r="G1" s="5"/>
      <c r="AS1" s="244"/>
      <c r="AT1" s="244"/>
      <c r="AU1" s="244"/>
      <c r="AV1" s="244"/>
      <c r="AW1" s="244"/>
      <c r="AX1" s="244"/>
      <c r="AY1" s="244"/>
      <c r="AZ1" s="244"/>
      <c r="BA1" s="244"/>
      <c r="BB1" s="244"/>
      <c r="BC1" s="244"/>
      <c r="BD1" s="244"/>
      <c r="BE1" s="244"/>
      <c r="BF1" s="244"/>
      <c r="BG1" s="244"/>
      <c r="BH1" s="244"/>
      <c r="BI1" s="244"/>
      <c r="BJ1" s="244"/>
      <c r="BK1" s="244"/>
      <c r="BL1" s="244"/>
      <c r="BM1" s="244"/>
      <c r="BN1" s="244"/>
      <c r="BO1" s="244"/>
      <c r="BP1" s="244"/>
      <c r="BQ1" s="244"/>
      <c r="BR1" s="244"/>
      <c r="BS1" s="244"/>
      <c r="BT1" s="244"/>
      <c r="BU1" s="244"/>
      <c r="BV1" s="244"/>
      <c r="BW1" s="244"/>
      <c r="BX1" s="244"/>
      <c r="BY1" s="244"/>
      <c r="BZ1" s="244"/>
      <c r="CA1" s="244"/>
      <c r="CB1" s="244"/>
      <c r="CC1" s="244"/>
      <c r="CD1" s="244"/>
      <c r="CE1" s="244"/>
      <c r="CF1" s="244"/>
    </row>
    <row r="2" ht="15" customHeight="1">
      <c r="C2" s="99" t="s">
        <v>141</v>
      </c>
      <c r="D2" s="100"/>
      <c r="E2" s="100"/>
      <c r="F2" s="100"/>
      <c r="G2" s="100"/>
      <c r="AS2" s="244"/>
      <c r="AT2" s="244"/>
      <c r="AU2" s="244"/>
      <c r="AV2" s="244"/>
      <c r="AW2" s="244"/>
      <c r="AX2" s="244"/>
      <c r="AY2" s="244"/>
      <c r="AZ2" s="244"/>
      <c r="BA2" s="244"/>
      <c r="BB2" s="244"/>
      <c r="BC2" s="244"/>
      <c r="BD2" s="244"/>
      <c r="BE2" s="244"/>
      <c r="BF2" s="244"/>
      <c r="BG2" s="244"/>
      <c r="BH2" s="244"/>
      <c r="BI2" s="244"/>
      <c r="BJ2" s="244"/>
      <c r="BK2" s="244"/>
      <c r="BL2" s="244"/>
      <c r="BM2" s="244"/>
      <c r="BN2" s="244"/>
      <c r="BO2" s="244"/>
      <c r="BP2" s="244"/>
      <c r="BQ2" s="244"/>
      <c r="BR2" s="244"/>
      <c r="BS2" s="244"/>
      <c r="BT2" s="244"/>
      <c r="BU2" s="244"/>
      <c r="BV2" s="244"/>
      <c r="BW2" s="244"/>
      <c r="BX2" s="244"/>
      <c r="BY2" s="244"/>
      <c r="BZ2" s="244"/>
      <c r="CA2" s="244"/>
      <c r="CB2" s="244"/>
      <c r="CC2" s="244"/>
      <c r="CD2" s="244"/>
      <c r="CE2" s="244"/>
      <c r="CF2" s="244"/>
    </row>
    <row r="3" ht="15" customHeight="1">
      <c r="C3" s="99" t="s">
        <v>142</v>
      </c>
      <c r="D3" s="100"/>
      <c r="E3" s="100"/>
      <c r="F3" s="100"/>
      <c r="G3" s="100"/>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c r="BU3" s="244"/>
      <c r="BV3" s="244"/>
      <c r="BW3" s="244"/>
      <c r="BX3" s="244"/>
      <c r="BY3" s="244"/>
      <c r="BZ3" s="244"/>
      <c r="CA3" s="244"/>
      <c r="CB3" s="244"/>
      <c r="CC3" s="244"/>
      <c r="CD3" s="244"/>
      <c r="CE3" s="244"/>
      <c r="CF3" s="244"/>
    </row>
    <row r="4" ht="15" customHeight="1">
      <c r="C4" s="0" t="s">
        <v>158</v>
      </c>
      <c r="D4" s="100"/>
      <c r="E4" s="100"/>
      <c r="F4" s="100"/>
      <c r="G4" s="100"/>
      <c r="AS4" s="244"/>
      <c r="AT4" s="244"/>
      <c r="AU4" s="244"/>
      <c r="AV4" s="244"/>
      <c r="AW4" s="244"/>
      <c r="AX4" s="244"/>
      <c r="AY4" s="244"/>
      <c r="AZ4" s="244"/>
      <c r="BA4" s="244"/>
      <c r="BB4" s="244"/>
      <c r="BC4" s="244"/>
      <c r="BD4" s="244"/>
      <c r="BE4" s="244"/>
      <c r="BF4" s="244"/>
      <c r="BG4" s="244"/>
      <c r="BH4" s="244"/>
      <c r="BI4" s="244"/>
      <c r="BJ4" s="244"/>
      <c r="BK4" s="244"/>
      <c r="BL4" s="244"/>
      <c r="BM4" s="244"/>
      <c r="BN4" s="244"/>
      <c r="BO4" s="244"/>
      <c r="BP4" s="244"/>
      <c r="BQ4" s="244"/>
      <c r="BR4" s="244"/>
      <c r="BS4" s="244"/>
      <c r="BT4" s="244"/>
      <c r="BU4" s="244"/>
      <c r="BV4" s="244"/>
      <c r="BW4" s="244"/>
      <c r="BX4" s="244"/>
      <c r="BY4" s="244"/>
      <c r="BZ4" s="244"/>
      <c r="CA4" s="244"/>
      <c r="CB4" s="244"/>
      <c r="CC4" s="244"/>
      <c r="CD4" s="244"/>
      <c r="CE4" s="244"/>
      <c r="CF4" s="244"/>
    </row>
    <row r="5" ht="21" customHeight="1">
      <c r="B5" s="101" t="s">
        <v>7</v>
      </c>
      <c r="D5" s="102"/>
      <c r="H5" s="685" t="s">
        <v>196</v>
      </c>
      <c r="I5" s="685"/>
      <c r="J5" s="685"/>
      <c r="K5" s="685"/>
      <c r="L5" s="685"/>
      <c r="M5" s="685"/>
      <c r="N5" s="685"/>
      <c r="O5" s="685"/>
      <c r="P5" s="685"/>
      <c r="Q5" s="685"/>
      <c r="R5" s="685"/>
      <c r="S5" s="685"/>
      <c r="T5" s="685"/>
      <c r="U5" s="685"/>
      <c r="V5" s="685"/>
      <c r="AB5" s="685" t="s">
        <v>199</v>
      </c>
      <c r="AC5" s="685"/>
      <c r="AD5" s="685"/>
      <c r="AE5" s="685"/>
      <c r="AF5" s="685"/>
      <c r="AG5" s="685"/>
      <c r="AH5" s="685"/>
      <c r="AI5" s="685"/>
      <c r="AJ5" s="685"/>
      <c r="AK5" s="685"/>
      <c r="AL5" s="685"/>
      <c r="AM5" s="685"/>
      <c r="AN5" s="685"/>
      <c r="AO5" s="685"/>
      <c r="AP5" s="685"/>
      <c r="AS5" s="244"/>
      <c r="AT5" s="244"/>
      <c r="AU5" s="244"/>
      <c r="AV5" s="244"/>
      <c r="AW5" s="244"/>
      <c r="AX5" s="244"/>
      <c r="AY5" s="244"/>
      <c r="AZ5" s="244"/>
      <c r="BA5" s="244"/>
      <c r="BB5" s="244"/>
      <c r="BC5" s="244"/>
      <c r="BD5" s="244"/>
      <c r="BE5" s="244"/>
      <c r="BF5" s="244"/>
      <c r="BG5" s="244"/>
      <c r="BH5" s="244"/>
      <c r="BI5" s="244"/>
      <c r="BJ5" s="244"/>
      <c r="BK5" s="244"/>
      <c r="BL5" s="244"/>
      <c r="BM5" s="244"/>
      <c r="BN5" s="244"/>
      <c r="BO5" s="244"/>
      <c r="BP5" s="244"/>
      <c r="BQ5" s="244"/>
      <c r="BR5" s="244"/>
      <c r="BS5" s="244"/>
      <c r="BT5" s="244"/>
      <c r="BU5" s="244"/>
      <c r="BV5" s="244"/>
      <c r="BW5" s="244"/>
      <c r="BX5" s="244"/>
      <c r="BY5" s="244"/>
      <c r="BZ5" s="244"/>
      <c r="CA5" s="244"/>
      <c r="CB5" s="244"/>
      <c r="CC5" s="244"/>
      <c r="CD5" s="244"/>
      <c r="CE5" s="244"/>
      <c r="CF5" s="244"/>
    </row>
    <row r="6" ht="12.75" customHeight="1">
      <c r="C6" s="30" t="s">
        <v>200</v>
      </c>
      <c r="D6" s="104" t="s">
        <v>201</v>
      </c>
      <c r="I6" s="686" t="s">
        <v>0</v>
      </c>
      <c r="J6" s="686"/>
      <c r="K6" s="686" t="s">
        <v>1</v>
      </c>
      <c r="L6" s="686"/>
      <c r="M6" s="686" t="s">
        <v>2</v>
      </c>
      <c r="N6" s="686"/>
      <c r="O6" s="686" t="s">
        <v>3</v>
      </c>
      <c r="P6" s="686"/>
      <c r="Q6" s="686" t="s">
        <v>4</v>
      </c>
      <c r="R6" s="686"/>
      <c r="S6" s="686" t="s">
        <v>5</v>
      </c>
      <c r="T6" s="686"/>
      <c r="U6" s="686" t="s">
        <v>6</v>
      </c>
      <c r="V6" s="686"/>
      <c r="AC6" s="686" t="s">
        <v>0</v>
      </c>
      <c r="AD6" s="686"/>
      <c r="AE6" s="686" t="s">
        <v>1</v>
      </c>
      <c r="AF6" s="686"/>
      <c r="AG6" s="686" t="s">
        <v>2</v>
      </c>
      <c r="AH6" s="686"/>
      <c r="AI6" s="686" t="s">
        <v>3</v>
      </c>
      <c r="AJ6" s="686"/>
      <c r="AK6" s="686" t="s">
        <v>4</v>
      </c>
      <c r="AL6" s="686"/>
      <c r="AM6" s="686" t="s">
        <v>5</v>
      </c>
      <c r="AN6" s="686"/>
      <c r="AO6" s="686" t="s">
        <v>6</v>
      </c>
      <c r="AP6" s="686"/>
      <c r="AS6" s="244"/>
      <c r="AT6" s="244"/>
      <c r="AU6" s="244"/>
      <c r="AV6" s="244"/>
      <c r="AW6" s="244"/>
      <c r="AX6" s="244"/>
      <c r="AY6" s="244"/>
      <c r="AZ6" s="244"/>
      <c r="BA6" s="244"/>
      <c r="BB6" s="244"/>
      <c r="BC6" s="244"/>
      <c r="BD6" s="244"/>
      <c r="BE6" s="244"/>
      <c r="BF6" s="244"/>
      <c r="BG6" s="244"/>
      <c r="BH6" s="244"/>
      <c r="BI6" s="244"/>
      <c r="BJ6" s="244"/>
      <c r="BK6" s="244"/>
      <c r="BL6" s="244"/>
      <c r="BM6" s="244"/>
      <c r="BN6" s="244"/>
      <c r="BO6" s="244"/>
      <c r="BP6" s="244"/>
      <c r="BQ6" s="244"/>
      <c r="BR6" s="244"/>
      <c r="BS6" s="244"/>
      <c r="BT6" s="244"/>
      <c r="BU6" s="244"/>
      <c r="BV6" s="244"/>
      <c r="BW6" s="244"/>
      <c r="BX6" s="244"/>
      <c r="BY6" s="244"/>
      <c r="BZ6" s="244"/>
      <c r="CA6" s="244"/>
      <c r="CB6" s="244"/>
      <c r="CC6" s="244"/>
      <c r="CD6" s="244"/>
      <c r="CE6" s="244"/>
      <c r="CF6" s="244"/>
    </row>
    <row r="7" ht="12.75" customHeight="1">
      <c r="C7" s="105"/>
      <c r="D7" s="104"/>
      <c r="E7" s="104"/>
      <c r="F7" s="104"/>
      <c r="G7" s="104"/>
      <c r="H7" s="97" t="s">
        <v>197</v>
      </c>
      <c r="I7" s="687">
        <v>29</v>
      </c>
      <c r="J7" s="687"/>
      <c r="K7" s="688">
        <v>30</v>
      </c>
      <c r="L7" s="688"/>
      <c r="M7" s="688">
        <v>1</v>
      </c>
      <c r="N7" s="688"/>
      <c r="O7" s="688">
        <v>2</v>
      </c>
      <c r="P7" s="688"/>
      <c r="Q7" s="688">
        <v>3</v>
      </c>
      <c r="R7" s="688"/>
      <c r="S7" s="688">
        <v>4</v>
      </c>
      <c r="T7" s="688"/>
      <c r="U7" s="689">
        <v>5</v>
      </c>
      <c r="V7" s="689"/>
      <c r="Y7" s="3"/>
      <c r="AB7" s="97" t="s">
        <v>197</v>
      </c>
      <c r="AC7" s="687">
        <v>30</v>
      </c>
      <c r="AD7" s="687"/>
      <c r="AE7" s="688">
        <v>1</v>
      </c>
      <c r="AF7" s="688"/>
      <c r="AG7" s="688">
        <v>2</v>
      </c>
      <c r="AH7" s="688"/>
      <c r="AI7" s="688">
        <v>3</v>
      </c>
      <c r="AJ7" s="688"/>
      <c r="AK7" s="688">
        <v>4</v>
      </c>
      <c r="AL7" s="688"/>
      <c r="AM7" s="688">
        <v>5</v>
      </c>
      <c r="AN7" s="688"/>
      <c r="AO7" s="689">
        <v>6</v>
      </c>
      <c r="AP7" s="689"/>
      <c r="AS7" s="244"/>
      <c r="AT7" s="244"/>
      <c r="AU7" s="244"/>
      <c r="AV7" s="244"/>
      <c r="AW7" s="244"/>
      <c r="AX7" s="244"/>
      <c r="AY7" s="244"/>
      <c r="AZ7" s="244"/>
      <c r="BA7" s="244"/>
      <c r="BB7" s="244"/>
      <c r="BC7" s="244"/>
      <c r="BD7" s="244"/>
      <c r="BE7" s="244"/>
      <c r="BF7" s="244"/>
      <c r="BG7" s="244"/>
      <c r="BH7" s="244"/>
      <c r="BI7" s="244"/>
      <c r="BJ7" s="244"/>
      <c r="BK7" s="244"/>
      <c r="BL7" s="244"/>
      <c r="BM7" s="244"/>
      <c r="BN7" s="244"/>
      <c r="BO7" s="244"/>
      <c r="BP7" s="244"/>
      <c r="BQ7" s="244"/>
      <c r="BR7" s="244"/>
      <c r="BS7" s="244"/>
      <c r="BT7" s="244"/>
      <c r="BU7" s="244"/>
      <c r="BV7" s="244"/>
      <c r="BW7" s="244"/>
      <c r="BX7" s="244"/>
      <c r="BY7" s="244"/>
      <c r="BZ7" s="244"/>
      <c r="CA7" s="244"/>
      <c r="CB7" s="244"/>
      <c r="CC7" s="244"/>
      <c r="CD7" s="244"/>
      <c r="CE7" s="244"/>
      <c r="CF7" s="244"/>
    </row>
    <row r="8" ht="12.75" customHeight="1">
      <c r="H8" s="97" t="s">
        <v>148</v>
      </c>
      <c r="I8" s="690">
        <v>6</v>
      </c>
      <c r="J8" s="690"/>
      <c r="K8" s="691">
        <v>7</v>
      </c>
      <c r="L8" s="691"/>
      <c r="M8" s="691">
        <v>8</v>
      </c>
      <c r="N8" s="691"/>
      <c r="O8" s="691">
        <v>9</v>
      </c>
      <c r="P8" s="691"/>
      <c r="Q8" s="691">
        <v>10</v>
      </c>
      <c r="R8" s="691"/>
      <c r="S8" s="691">
        <v>11</v>
      </c>
      <c r="T8" s="691"/>
      <c r="U8" s="692">
        <v>12</v>
      </c>
      <c r="V8" s="692"/>
      <c r="Y8" s="3"/>
      <c r="AB8" s="97" t="s">
        <v>148</v>
      </c>
      <c r="AC8" s="690">
        <v>7</v>
      </c>
      <c r="AD8" s="690"/>
      <c r="AE8" s="691">
        <v>8</v>
      </c>
      <c r="AF8" s="691"/>
      <c r="AG8" s="691">
        <v>9</v>
      </c>
      <c r="AH8" s="691"/>
      <c r="AI8" s="691">
        <v>10</v>
      </c>
      <c r="AJ8" s="691"/>
      <c r="AK8" s="691">
        <v>11</v>
      </c>
      <c r="AL8" s="691"/>
      <c r="AM8" s="691">
        <v>12</v>
      </c>
      <c r="AN8" s="691"/>
      <c r="AO8" s="692">
        <v>13</v>
      </c>
      <c r="AP8" s="692"/>
      <c r="AS8" s="244"/>
      <c r="AT8" s="244"/>
      <c r="AU8" s="244"/>
      <c r="AV8" s="244"/>
      <c r="AW8" s="244"/>
      <c r="AX8" s="244"/>
      <c r="AY8" s="244"/>
      <c r="AZ8" s="244"/>
      <c r="BA8" s="244"/>
      <c r="BB8" s="244"/>
      <c r="BC8" s="244"/>
      <c r="BD8" s="244"/>
      <c r="BE8" s="244"/>
      <c r="BF8" s="244"/>
      <c r="BG8" s="244"/>
      <c r="BH8" s="244"/>
      <c r="BI8" s="244"/>
      <c r="BJ8" s="244"/>
      <c r="BK8" s="244"/>
      <c r="BL8" s="244"/>
      <c r="BM8" s="244"/>
      <c r="BN8" s="244"/>
      <c r="BO8" s="244"/>
      <c r="BP8" s="244"/>
      <c r="BQ8" s="244"/>
      <c r="BR8" s="244"/>
      <c r="BS8" s="244"/>
      <c r="BT8" s="244"/>
      <c r="BU8" s="244"/>
      <c r="BV8" s="244"/>
      <c r="BW8" s="244"/>
      <c r="BX8" s="244"/>
      <c r="BY8" s="244"/>
      <c r="BZ8" s="244"/>
      <c r="CA8" s="244"/>
      <c r="CB8" s="244"/>
      <c r="CC8" s="244"/>
      <c r="CD8" s="244"/>
      <c r="CE8" s="244"/>
      <c r="CF8" s="244"/>
    </row>
    <row r="9" ht="12.75" customHeight="1">
      <c r="H9" s="97" t="s">
        <v>148</v>
      </c>
      <c r="I9" s="693">
        <v>13</v>
      </c>
      <c r="J9" s="693"/>
      <c r="K9" s="694">
        <v>14</v>
      </c>
      <c r="L9" s="694"/>
      <c r="M9" s="694">
        <v>15</v>
      </c>
      <c r="N9" s="694"/>
      <c r="O9" s="694">
        <v>16</v>
      </c>
      <c r="P9" s="694"/>
      <c r="Q9" s="694">
        <v>17</v>
      </c>
      <c r="R9" s="694"/>
      <c r="S9" s="694">
        <v>18</v>
      </c>
      <c r="T9" s="694"/>
      <c r="U9" s="695">
        <v>19</v>
      </c>
      <c r="V9" s="695"/>
      <c r="Y9" s="3"/>
      <c r="AB9" s="97" t="s">
        <v>148</v>
      </c>
      <c r="AC9" s="693">
        <v>14</v>
      </c>
      <c r="AD9" s="693"/>
      <c r="AE9" s="694">
        <v>15</v>
      </c>
      <c r="AF9" s="694"/>
      <c r="AG9" s="694">
        <v>16</v>
      </c>
      <c r="AH9" s="694"/>
      <c r="AI9" s="694">
        <v>17</v>
      </c>
      <c r="AJ9" s="694"/>
      <c r="AK9" s="694">
        <v>18</v>
      </c>
      <c r="AL9" s="694"/>
      <c r="AM9" s="694">
        <v>19</v>
      </c>
      <c r="AN9" s="694"/>
      <c r="AO9" s="695">
        <v>20</v>
      </c>
      <c r="AP9" s="695"/>
      <c r="AS9" s="244"/>
      <c r="AT9" s="244"/>
      <c r="AU9" s="244"/>
      <c r="AV9" s="244"/>
      <c r="AW9" s="244"/>
      <c r="AX9" s="244"/>
      <c r="AY9" s="244"/>
      <c r="AZ9" s="244"/>
      <c r="BA9" s="244"/>
      <c r="BB9" s="244"/>
      <c r="BC9" s="244"/>
      <c r="BD9" s="244"/>
      <c r="BE9" s="244"/>
      <c r="BF9" s="244"/>
      <c r="BG9" s="244"/>
      <c r="BH9" s="244"/>
      <c r="BI9" s="244"/>
      <c r="BJ9" s="244"/>
      <c r="BK9" s="244"/>
      <c r="BL9" s="244"/>
      <c r="BM9" s="244"/>
      <c r="BN9" s="244"/>
      <c r="BO9" s="244"/>
      <c r="BP9" s="244"/>
      <c r="BQ9" s="244"/>
      <c r="BR9" s="244"/>
      <c r="BS9" s="244"/>
      <c r="BT9" s="244"/>
      <c r="BU9" s="244"/>
      <c r="BV9" s="244"/>
      <c r="BW9" s="244"/>
      <c r="BX9" s="244"/>
      <c r="BY9" s="244"/>
      <c r="BZ9" s="244"/>
      <c r="CA9" s="244"/>
      <c r="CB9" s="244"/>
      <c r="CC9" s="244"/>
      <c r="CD9" s="244"/>
      <c r="CE9" s="244"/>
      <c r="CF9" s="244"/>
    </row>
    <row r="10" ht="12.75" customHeight="1">
      <c r="H10" s="97" t="s">
        <v>148</v>
      </c>
      <c r="I10" s="690">
        <v>20</v>
      </c>
      <c r="J10" s="690"/>
      <c r="K10" s="691">
        <v>21</v>
      </c>
      <c r="L10" s="691"/>
      <c r="M10" s="691">
        <v>22</v>
      </c>
      <c r="N10" s="691"/>
      <c r="O10" s="691">
        <v>23</v>
      </c>
      <c r="P10" s="691"/>
      <c r="Q10" s="691">
        <v>24</v>
      </c>
      <c r="R10" s="691"/>
      <c r="S10" s="691">
        <v>25</v>
      </c>
      <c r="T10" s="691"/>
      <c r="U10" s="692">
        <v>26</v>
      </c>
      <c r="V10" s="692"/>
      <c r="Y10" s="3"/>
      <c r="AB10" s="97" t="s">
        <v>148</v>
      </c>
      <c r="AC10" s="690">
        <v>21</v>
      </c>
      <c r="AD10" s="690"/>
      <c r="AE10" s="691">
        <v>22</v>
      </c>
      <c r="AF10" s="691"/>
      <c r="AG10" s="691">
        <v>23</v>
      </c>
      <c r="AH10" s="691"/>
      <c r="AI10" s="691">
        <v>24</v>
      </c>
      <c r="AJ10" s="691"/>
      <c r="AK10" s="691">
        <v>25</v>
      </c>
      <c r="AL10" s="691"/>
      <c r="AM10" s="691">
        <v>26</v>
      </c>
      <c r="AN10" s="691"/>
      <c r="AO10" s="692">
        <v>27</v>
      </c>
      <c r="AP10" s="692"/>
      <c r="AS10" s="244"/>
      <c r="AT10" s="244"/>
      <c r="AU10" s="244"/>
      <c r="AV10" s="244"/>
      <c r="AW10" s="244"/>
      <c r="AX10" s="244"/>
      <c r="AY10" s="244"/>
      <c r="AZ10" s="244"/>
      <c r="BA10" s="244"/>
      <c r="BB10" s="244"/>
      <c r="BC10" s="244"/>
      <c r="BD10" s="244"/>
      <c r="BE10" s="244"/>
      <c r="BF10" s="244"/>
      <c r="BG10" s="244"/>
      <c r="BH10" s="244"/>
      <c r="BI10" s="244"/>
      <c r="BJ10" s="244"/>
      <c r="BK10" s="244"/>
      <c r="BL10" s="244"/>
      <c r="BM10" s="244"/>
      <c r="BN10" s="244"/>
      <c r="BO10" s="244"/>
      <c r="BP10" s="244"/>
      <c r="BQ10" s="244"/>
      <c r="BR10" s="244"/>
      <c r="BS10" s="244"/>
      <c r="BT10" s="244"/>
      <c r="BU10" s="244"/>
      <c r="BV10" s="244"/>
      <c r="BW10" s="244"/>
      <c r="BX10" s="244"/>
      <c r="BY10" s="244"/>
      <c r="BZ10" s="244"/>
      <c r="CA10" s="244"/>
      <c r="CB10" s="244"/>
      <c r="CC10" s="244"/>
      <c r="CD10" s="244"/>
      <c r="CE10" s="244"/>
      <c r="CF10" s="244"/>
    </row>
    <row r="11" ht="12.75" customHeight="1">
      <c r="A11" s="101"/>
      <c r="H11" s="97" t="s">
        <v>198</v>
      </c>
      <c r="I11" s="693">
        <v>27</v>
      </c>
      <c r="J11" s="693"/>
      <c r="K11" s="694">
        <v>28</v>
      </c>
      <c r="L11" s="694"/>
      <c r="M11" s="694">
        <v>29</v>
      </c>
      <c r="N11" s="694"/>
      <c r="O11" s="694">
        <v>30</v>
      </c>
      <c r="P11" s="694"/>
      <c r="Q11" s="694">
        <v>31</v>
      </c>
      <c r="R11" s="694"/>
      <c r="S11" s="694">
        <v>1</v>
      </c>
      <c r="T11" s="694"/>
      <c r="U11" s="695">
        <v>2</v>
      </c>
      <c r="V11" s="695"/>
      <c r="Y11" s="3"/>
      <c r="AB11" s="97" t="s">
        <v>198</v>
      </c>
      <c r="AC11" s="693">
        <v>28</v>
      </c>
      <c r="AD11" s="693"/>
      <c r="AE11" s="694">
        <v>29</v>
      </c>
      <c r="AF11" s="694"/>
      <c r="AG11" s="694">
        <v>30</v>
      </c>
      <c r="AH11" s="694"/>
      <c r="AI11" s="694">
        <v>31</v>
      </c>
      <c r="AJ11" s="694"/>
      <c r="AK11" s="694">
        <v>1</v>
      </c>
      <c r="AL11" s="694"/>
      <c r="AM11" s="694">
        <v>2</v>
      </c>
      <c r="AN11" s="694"/>
      <c r="AO11" s="695">
        <v>3</v>
      </c>
      <c r="AP11" s="695"/>
      <c r="AS11" s="244"/>
      <c r="AT11" s="244"/>
      <c r="AU11" s="244"/>
      <c r="AV11" s="244"/>
      <c r="AW11" s="244"/>
      <c r="AX11" s="244"/>
      <c r="AY11" s="244"/>
      <c r="AZ11" s="244"/>
      <c r="BA11" s="244"/>
      <c r="BB11" s="244"/>
      <c r="BC11" s="244"/>
      <c r="BD11" s="244"/>
      <c r="BE11" s="244"/>
      <c r="BF11" s="244"/>
      <c r="BG11" s="244"/>
      <c r="BH11" s="244"/>
      <c r="BI11" s="244"/>
      <c r="BJ11" s="244"/>
      <c r="BK11" s="244"/>
      <c r="BL11" s="244"/>
      <c r="BM11" s="244"/>
      <c r="BN11" s="244"/>
      <c r="BO11" s="244"/>
      <c r="BP11" s="244"/>
      <c r="BQ11" s="244"/>
      <c r="BR11" s="244"/>
      <c r="BS11" s="244"/>
      <c r="BT11" s="244"/>
      <c r="BU11" s="244"/>
      <c r="BV11" s="244"/>
      <c r="BW11" s="244"/>
      <c r="BX11" s="244"/>
      <c r="BY11" s="244"/>
      <c r="BZ11" s="244"/>
      <c r="CA11" s="244"/>
      <c r="CB11" s="244"/>
      <c r="CC11" s="244"/>
      <c r="CD11" s="244"/>
      <c r="CE11" s="244"/>
      <c r="CF11" s="244"/>
    </row>
    <row r="12" ht="12.75" customHeight="1">
      <c r="C12" s="30"/>
      <c r="D12" s="106"/>
      <c r="E12" s="106"/>
      <c r="F12" s="106"/>
      <c r="G12" s="106"/>
      <c r="H12" s="97" t="s">
        <v>145</v>
      </c>
      <c r="I12" s="696">
        <v>3</v>
      </c>
      <c r="J12" s="696"/>
      <c r="K12" s="697">
        <v>4</v>
      </c>
      <c r="L12" s="697"/>
      <c r="M12" s="697">
        <v>5</v>
      </c>
      <c r="N12" s="697"/>
      <c r="O12" s="697">
        <v>6</v>
      </c>
      <c r="P12" s="697"/>
      <c r="Q12" s="697">
        <v>7</v>
      </c>
      <c r="R12" s="697"/>
      <c r="S12" s="697">
        <v>8</v>
      </c>
      <c r="T12" s="697"/>
      <c r="U12" s="698">
        <v>9</v>
      </c>
      <c r="V12" s="698"/>
      <c r="Y12" s="3"/>
      <c r="AB12" s="97" t="s">
        <v>145</v>
      </c>
      <c r="AC12" s="696">
        <v>4</v>
      </c>
      <c r="AD12" s="696"/>
      <c r="AE12" s="697">
        <v>5</v>
      </c>
      <c r="AF12" s="697"/>
      <c r="AG12" s="697">
        <v>6</v>
      </c>
      <c r="AH12" s="697"/>
      <c r="AI12" s="697">
        <v>7</v>
      </c>
      <c r="AJ12" s="697"/>
      <c r="AK12" s="697">
        <v>8</v>
      </c>
      <c r="AL12" s="697"/>
      <c r="AM12" s="697">
        <v>9</v>
      </c>
      <c r="AN12" s="697"/>
      <c r="AO12" s="698">
        <v>10</v>
      </c>
      <c r="AP12" s="698"/>
      <c r="AS12" s="244"/>
      <c r="AT12" s="244"/>
      <c r="AU12" s="244"/>
      <c r="AV12" s="244"/>
      <c r="AW12" s="244"/>
      <c r="AX12" s="244"/>
      <c r="AY12" s="244"/>
      <c r="AZ12" s="244"/>
      <c r="BA12" s="244"/>
      <c r="BB12" s="244"/>
      <c r="BC12" s="244"/>
      <c r="BD12" s="244"/>
      <c r="BE12" s="244"/>
      <c r="BF12" s="244"/>
      <c r="BG12" s="244"/>
      <c r="BH12" s="244"/>
      <c r="BI12" s="244"/>
      <c r="BJ12" s="244"/>
      <c r="BK12" s="244"/>
      <c r="BL12" s="244"/>
      <c r="BM12" s="244"/>
      <c r="BN12" s="244"/>
      <c r="BO12" s="244"/>
      <c r="BP12" s="244"/>
      <c r="BQ12" s="244"/>
      <c r="BR12" s="244"/>
      <c r="BS12" s="244"/>
      <c r="BT12" s="244"/>
      <c r="BU12" s="244"/>
      <c r="BV12" s="244"/>
      <c r="BW12" s="244"/>
      <c r="BX12" s="244"/>
      <c r="BY12" s="244"/>
      <c r="BZ12" s="244"/>
      <c r="CA12" s="244"/>
      <c r="CB12" s="244"/>
      <c r="CC12" s="244"/>
      <c r="CD12" s="244"/>
      <c r="CE12" s="244"/>
      <c r="CF12" s="244"/>
    </row>
    <row r="13" ht="12.75" customHeight="1">
      <c r="A13" s="101"/>
      <c r="B13" s="101" t="s">
        <v>8</v>
      </c>
      <c r="H13" s="97"/>
      <c r="AS13" s="244"/>
      <c r="AT13" s="244"/>
      <c r="AU13" s="244"/>
      <c r="AV13" s="244"/>
      <c r="AW13" s="244"/>
      <c r="AX13" s="244"/>
      <c r="AY13" s="244"/>
      <c r="AZ13" s="244"/>
      <c r="BA13" s="244"/>
      <c r="BB13" s="244"/>
      <c r="BC13" s="244"/>
      <c r="BD13" s="244"/>
      <c r="BE13" s="244"/>
      <c r="BF13" s="244"/>
      <c r="BG13" s="244"/>
      <c r="BH13" s="244"/>
      <c r="BI13" s="244"/>
      <c r="BJ13" s="244"/>
      <c r="BK13" s="244"/>
      <c r="BL13" s="244"/>
      <c r="BM13" s="244"/>
      <c r="BN13" s="244"/>
      <c r="BO13" s="244"/>
      <c r="BP13" s="244"/>
      <c r="BQ13" s="244"/>
      <c r="BR13" s="244"/>
      <c r="BS13" s="244"/>
      <c r="BT13" s="244"/>
      <c r="BU13" s="244"/>
      <c r="BV13" s="244"/>
      <c r="BW13" s="244"/>
      <c r="BX13" s="244"/>
      <c r="BY13" s="244"/>
      <c r="BZ13" s="244"/>
      <c r="CA13" s="244"/>
      <c r="CB13" s="244"/>
      <c r="CC13" s="244"/>
      <c r="CD13" s="244"/>
      <c r="CE13" s="244"/>
      <c r="CF13" s="244"/>
    </row>
    <row r="14" ht="12.75" customHeight="1">
      <c r="C14" s="30" t="s">
        <v>200</v>
      </c>
      <c r="D14" s="106" t="s">
        <v>201</v>
      </c>
      <c r="H14" s="97"/>
      <c r="O14" s="699"/>
      <c r="P14" s="699"/>
      <c r="Q14" s="699"/>
      <c r="R14" s="699"/>
      <c r="S14" s="699"/>
      <c r="T14" s="699"/>
      <c r="U14" s="699"/>
      <c r="W14" s="699"/>
      <c r="X14" s="699"/>
      <c r="Y14" s="699"/>
      <c r="Z14" s="699"/>
      <c r="AA14" s="699"/>
      <c r="AB14" s="699"/>
      <c r="AC14" s="699"/>
      <c r="AE14" s="699"/>
      <c r="AF14" s="699"/>
      <c r="AG14" s="699"/>
      <c r="AH14" s="699"/>
      <c r="AI14" s="699"/>
      <c r="AJ14" s="699"/>
      <c r="AK14" s="699"/>
      <c r="AS14" s="244"/>
      <c r="AT14" s="244"/>
      <c r="AU14" s="244"/>
      <c r="AV14" s="244"/>
      <c r="AW14" s="244"/>
      <c r="AX14" s="244"/>
      <c r="AY14" s="244"/>
      <c r="AZ14" s="244"/>
      <c r="BA14" s="244"/>
      <c r="BB14" s="244"/>
      <c r="BC14" s="244"/>
      <c r="BD14" s="244"/>
      <c r="BE14" s="244"/>
      <c r="BF14" s="244"/>
      <c r="BG14" s="244"/>
      <c r="BH14" s="244"/>
      <c r="BI14" s="244"/>
      <c r="BJ14" s="244"/>
      <c r="BK14" s="244"/>
      <c r="BL14" s="244"/>
      <c r="BM14" s="244"/>
      <c r="BN14" s="244"/>
      <c r="BO14" s="244"/>
      <c r="BP14" s="244"/>
      <c r="BQ14" s="244"/>
      <c r="BR14" s="244"/>
      <c r="BS14" s="244"/>
      <c r="BT14" s="244"/>
      <c r="BU14" s="244"/>
      <c r="BV14" s="244"/>
      <c r="BW14" s="244"/>
      <c r="BX14" s="244"/>
      <c r="BY14" s="244"/>
      <c r="BZ14" s="244"/>
      <c r="CA14" s="244"/>
      <c r="CB14" s="244"/>
      <c r="CC14" s="244"/>
      <c r="CD14" s="244"/>
      <c r="CE14" s="244"/>
      <c r="CF14" s="244"/>
    </row>
    <row r="15" ht="12.75" customHeight="1">
      <c r="C15" s="30" t="s">
        <v>202</v>
      </c>
      <c r="D15" s="104" t="s">
        <v>203</v>
      </c>
      <c r="H15" s="97"/>
      <c r="O15" s="21"/>
      <c r="P15" s="21"/>
      <c r="Q15" s="21"/>
      <c r="R15" s="21"/>
      <c r="S15" s="21"/>
      <c r="T15" s="21"/>
      <c r="U15" s="21"/>
      <c r="W15" s="21"/>
      <c r="X15" s="21"/>
      <c r="Y15" s="21"/>
      <c r="Z15" s="21"/>
      <c r="AA15" s="21"/>
      <c r="AB15" s="21"/>
      <c r="AC15" s="21"/>
      <c r="AE15" s="21"/>
      <c r="AF15" s="21"/>
      <c r="AG15" s="21"/>
      <c r="AH15" s="21"/>
      <c r="AI15" s="21"/>
      <c r="AJ15" s="21"/>
      <c r="AK15" s="21"/>
      <c r="AS15" s="244"/>
      <c r="AT15" s="244"/>
      <c r="AU15" s="244"/>
      <c r="AV15" s="244"/>
      <c r="AW15" s="244"/>
      <c r="AX15" s="244"/>
      <c r="AY15" s="244"/>
      <c r="AZ15" s="244"/>
      <c r="BA15" s="244"/>
      <c r="BB15" s="244"/>
      <c r="BC15" s="244"/>
      <c r="BD15" s="244"/>
      <c r="BE15" s="244"/>
      <c r="BF15" s="244"/>
      <c r="BG15" s="244"/>
      <c r="BH15" s="244"/>
      <c r="BI15" s="244"/>
      <c r="BJ15" s="244"/>
      <c r="BK15" s="244"/>
      <c r="BL15" s="244"/>
      <c r="BM15" s="244"/>
      <c r="BN15" s="244"/>
      <c r="BO15" s="244"/>
      <c r="BP15" s="244"/>
      <c r="BQ15" s="244"/>
      <c r="BR15" s="244"/>
      <c r="BS15" s="244"/>
      <c r="BT15" s="244"/>
      <c r="BU15" s="244"/>
      <c r="BV15" s="244"/>
      <c r="BW15" s="244"/>
      <c r="BX15" s="244"/>
      <c r="BY15" s="244"/>
      <c r="BZ15" s="244"/>
      <c r="CA15" s="244"/>
      <c r="CB15" s="244"/>
      <c r="CC15" s="244"/>
      <c r="CD15" s="244"/>
      <c r="CE15" s="244"/>
      <c r="CF15" s="244"/>
    </row>
    <row r="16" ht="12.75" customHeight="1">
      <c r="C16" s="105" t="s">
        <v>204</v>
      </c>
      <c r="D16" s="104" t="s">
        <v>205</v>
      </c>
      <c r="H16" s="97"/>
      <c r="O16" s="21"/>
      <c r="P16" s="21"/>
      <c r="Q16" s="21"/>
      <c r="R16" s="21"/>
      <c r="S16" s="21"/>
      <c r="T16" s="21"/>
      <c r="U16" s="21"/>
      <c r="W16" s="21"/>
      <c r="X16" s="21"/>
      <c r="Y16" s="21"/>
      <c r="Z16" s="21"/>
      <c r="AA16" s="21"/>
      <c r="AB16" s="21"/>
      <c r="AC16" s="21"/>
      <c r="AE16" s="21"/>
      <c r="AF16" s="21"/>
      <c r="AG16" s="21"/>
      <c r="AH16" s="21"/>
      <c r="AI16" s="21"/>
      <c r="AJ16" s="21"/>
      <c r="AK16" s="21"/>
      <c r="AS16" s="244"/>
      <c r="AT16" s="244"/>
      <c r="AU16" s="244"/>
      <c r="AV16" s="244"/>
      <c r="AW16" s="244"/>
      <c r="AX16" s="244"/>
      <c r="AY16" s="244"/>
      <c r="AZ16" s="244"/>
      <c r="BA16" s="244"/>
      <c r="BB16" s="244"/>
      <c r="BC16" s="244"/>
      <c r="BD16" s="244"/>
      <c r="BE16" s="244"/>
      <c r="BF16" s="244"/>
      <c r="BG16" s="244"/>
      <c r="BH16" s="244"/>
      <c r="BI16" s="244"/>
      <c r="BJ16" s="244"/>
      <c r="BK16" s="244"/>
      <c r="BL16" s="244"/>
      <c r="BM16" s="244"/>
      <c r="BN16" s="244"/>
      <c r="BO16" s="244"/>
      <c r="BP16" s="244"/>
      <c r="BQ16" s="244"/>
      <c r="BR16" s="244"/>
      <c r="BS16" s="244"/>
      <c r="BT16" s="244"/>
      <c r="BU16" s="244"/>
      <c r="BV16" s="244"/>
      <c r="BW16" s="244"/>
      <c r="BX16" s="244"/>
      <c r="BY16" s="244"/>
      <c r="BZ16" s="244"/>
      <c r="CA16" s="244"/>
      <c r="CB16" s="244"/>
      <c r="CC16" s="244"/>
      <c r="CD16" s="244"/>
      <c r="CE16" s="244"/>
      <c r="CF16" s="244"/>
    </row>
    <row r="17" ht="12.75" customHeight="1">
      <c r="C17" s="105" t="s">
        <v>206</v>
      </c>
      <c r="D17" s="104" t="s">
        <v>207</v>
      </c>
      <c r="H17" s="97"/>
      <c r="O17" s="21"/>
      <c r="P17" s="21"/>
      <c r="Q17" s="21"/>
      <c r="R17" s="21"/>
      <c r="S17" s="21"/>
      <c r="T17" s="21"/>
      <c r="U17" s="21"/>
      <c r="W17" s="21"/>
      <c r="X17" s="21"/>
      <c r="Y17" s="21"/>
      <c r="Z17" s="21"/>
      <c r="AA17" s="21"/>
      <c r="AB17" s="21"/>
      <c r="AC17" s="21"/>
      <c r="AE17" s="21"/>
      <c r="AF17" s="21"/>
      <c r="AG17" s="21"/>
      <c r="AH17" s="21"/>
      <c r="AI17" s="21"/>
      <c r="AJ17" s="21"/>
      <c r="AK17" s="21"/>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4"/>
      <c r="BU17" s="244"/>
      <c r="BV17" s="244"/>
      <c r="BW17" s="244"/>
      <c r="BX17" s="244"/>
      <c r="BY17" s="244"/>
      <c r="BZ17" s="244"/>
      <c r="CA17" s="244"/>
      <c r="CB17" s="244"/>
      <c r="CC17" s="244"/>
      <c r="CD17" s="244"/>
      <c r="CE17" s="244"/>
      <c r="CF17" s="244"/>
    </row>
    <row r="18" ht="12.75" customHeight="1">
      <c r="C18" s="105" t="s">
        <v>208</v>
      </c>
      <c r="D18" s="104" t="s">
        <v>209</v>
      </c>
      <c r="H18" s="97"/>
      <c r="O18" s="21"/>
      <c r="P18" s="21"/>
      <c r="Q18" s="21"/>
      <c r="R18" s="21"/>
      <c r="S18" s="21"/>
      <c r="T18" s="21"/>
      <c r="U18" s="21"/>
      <c r="W18" s="21"/>
      <c r="X18" s="21"/>
      <c r="Y18" s="21"/>
      <c r="Z18" s="21"/>
      <c r="AA18" s="21"/>
      <c r="AB18" s="21"/>
      <c r="AC18" s="21"/>
      <c r="AE18" s="21"/>
      <c r="AF18" s="21"/>
      <c r="AG18" s="21"/>
      <c r="AH18" s="21"/>
      <c r="AI18" s="21"/>
      <c r="AJ18" s="21"/>
      <c r="AK18" s="21"/>
      <c r="AS18" s="244"/>
      <c r="AT18" s="244"/>
      <c r="AU18" s="244"/>
      <c r="AV18" s="244"/>
      <c r="AW18" s="244"/>
      <c r="AX18" s="244"/>
      <c r="AY18" s="244"/>
      <c r="AZ18" s="244"/>
      <c r="BA18" s="244"/>
      <c r="BB18" s="244"/>
      <c r="BC18" s="244"/>
      <c r="BD18" s="244"/>
      <c r="BE18" s="244"/>
      <c r="BF18" s="244"/>
      <c r="BG18" s="244"/>
      <c r="BH18" s="244"/>
      <c r="BI18" s="244"/>
      <c r="BJ18" s="244"/>
      <c r="BK18" s="244"/>
      <c r="BL18" s="244"/>
      <c r="BM18" s="244"/>
      <c r="BN18" s="244"/>
      <c r="BO18" s="244"/>
      <c r="BP18" s="244"/>
      <c r="BQ18" s="244"/>
      <c r="BR18" s="244"/>
      <c r="BS18" s="244"/>
      <c r="BT18" s="244"/>
      <c r="BU18" s="244"/>
      <c r="BV18" s="244"/>
      <c r="BW18" s="244"/>
      <c r="BX18" s="244"/>
      <c r="BY18" s="244"/>
      <c r="BZ18" s="244"/>
      <c r="CA18" s="244"/>
      <c r="CB18" s="244"/>
      <c r="CC18" s="244"/>
      <c r="CD18" s="244"/>
      <c r="CE18" s="244"/>
      <c r="CF18" s="244"/>
    </row>
    <row r="19" ht="12.75" customHeight="1">
      <c r="C19" s="105" t="s">
        <v>210</v>
      </c>
      <c r="D19" s="104" t="s">
        <v>211</v>
      </c>
      <c r="H19" s="97"/>
      <c r="O19" s="21"/>
      <c r="P19" s="21"/>
      <c r="Q19" s="645" t="s">
        <v>90</v>
      </c>
      <c r="R19" s="645"/>
      <c r="S19" s="645"/>
      <c r="T19" s="645"/>
      <c r="U19" s="645"/>
      <c r="V19" s="645"/>
      <c r="W19" s="645"/>
      <c r="X19" s="21"/>
      <c r="Y19" s="21"/>
      <c r="Z19" s="645" t="s">
        <v>84</v>
      </c>
      <c r="AA19" s="645"/>
      <c r="AB19" s="645"/>
      <c r="AC19" s="645"/>
      <c r="AD19" s="645"/>
      <c r="AE19" s="645"/>
      <c r="AF19" s="645"/>
      <c r="AG19" s="21"/>
      <c r="AH19" s="21"/>
      <c r="AI19" s="645" t="s">
        <v>85</v>
      </c>
      <c r="AJ19" s="645"/>
      <c r="AK19" s="645"/>
      <c r="AL19" s="645"/>
      <c r="AM19" s="645"/>
      <c r="AN19" s="645"/>
      <c r="AO19" s="645"/>
      <c r="AS19" s="244"/>
      <c r="AT19" s="244"/>
      <c r="AU19" s="244"/>
      <c r="AV19" s="244"/>
      <c r="AW19" s="244"/>
      <c r="AX19" s="244"/>
      <c r="AY19" s="244"/>
      <c r="AZ19" s="244"/>
      <c r="BA19" s="244"/>
      <c r="BB19" s="244"/>
      <c r="BC19" s="244"/>
      <c r="BD19" s="244"/>
      <c r="BE19" s="244"/>
      <c r="BF19" s="244"/>
      <c r="BG19" s="244"/>
      <c r="BH19" s="244"/>
      <c r="BI19" s="244"/>
      <c r="BJ19" s="244"/>
      <c r="BK19" s="244"/>
      <c r="BL19" s="244"/>
      <c r="BM19" s="244"/>
      <c r="BN19" s="244"/>
      <c r="BO19" s="244"/>
      <c r="BP19" s="244"/>
      <c r="BQ19" s="244"/>
      <c r="BR19" s="244"/>
      <c r="BS19" s="244"/>
      <c r="BT19" s="244"/>
      <c r="BU19" s="244"/>
      <c r="BV19" s="244"/>
      <c r="BW19" s="244"/>
      <c r="BX19" s="244"/>
      <c r="BY19" s="244"/>
      <c r="BZ19" s="244"/>
      <c r="CA19" s="244"/>
      <c r="CB19" s="244"/>
      <c r="CC19" s="244"/>
      <c r="CD19" s="244"/>
      <c r="CE19" s="244"/>
      <c r="CF19" s="244"/>
    </row>
    <row r="20" ht="15" customHeight="1">
      <c r="Q20" s="645"/>
      <c r="R20" s="645"/>
      <c r="S20" s="645"/>
      <c r="T20" s="645"/>
      <c r="U20" s="645"/>
      <c r="V20" s="645"/>
      <c r="W20" s="645"/>
      <c r="X20" s="107"/>
      <c r="Y20" s="107"/>
      <c r="Z20" s="645"/>
      <c r="AA20" s="645"/>
      <c r="AB20" s="645"/>
      <c r="AC20" s="645"/>
      <c r="AD20" s="645"/>
      <c r="AE20" s="645"/>
      <c r="AF20" s="645"/>
      <c r="AG20" s="107"/>
      <c r="AH20" s="6"/>
      <c r="AI20" s="645"/>
      <c r="AJ20" s="645"/>
      <c r="AK20" s="645"/>
      <c r="AL20" s="645"/>
      <c r="AM20" s="645"/>
      <c r="AN20" s="645"/>
      <c r="AO20" s="645"/>
      <c r="AS20" s="244"/>
      <c r="AT20" s="244"/>
      <c r="AU20" s="244"/>
      <c r="AV20" s="700"/>
      <c r="AW20" s="700"/>
      <c r="AX20" s="700"/>
      <c r="AY20" s="700"/>
      <c r="AZ20" s="700"/>
      <c r="BA20" s="700"/>
      <c r="BB20" s="700"/>
      <c r="BC20" s="244"/>
      <c r="BD20" s="244"/>
      <c r="BE20" s="244"/>
      <c r="BF20" s="244"/>
      <c r="BG20" s="244"/>
      <c r="BH20" s="244"/>
      <c r="BI20" s="244"/>
      <c r="BJ20" s="244"/>
      <c r="BK20" s="244"/>
      <c r="BL20" s="244"/>
      <c r="BM20" s="244"/>
      <c r="BN20" s="244"/>
      <c r="BO20" s="244"/>
      <c r="BP20" s="244"/>
      <c r="BQ20" s="244"/>
      <c r="BR20" s="244"/>
      <c r="BS20" s="244"/>
      <c r="BT20" s="244"/>
      <c r="BU20" s="244"/>
      <c r="BV20" s="244"/>
      <c r="BW20" s="244"/>
      <c r="BX20" s="244"/>
      <c r="BY20" s="244"/>
      <c r="BZ20" s="244"/>
      <c r="CA20" s="244"/>
      <c r="CB20" s="244"/>
      <c r="CC20" s="244"/>
      <c r="CD20" s="244"/>
      <c r="CE20" s="244"/>
      <c r="CF20" s="244"/>
    </row>
    <row r="21" s="0" customFormat="1" ht="60" customHeight="1">
      <c r="B21" s="110"/>
      <c r="C21" s="101" t="s">
        <v>34</v>
      </c>
      <c r="D21" s="101" t="s">
        <v>35</v>
      </c>
      <c r="E21" s="111" t="s">
        <v>36</v>
      </c>
      <c r="F21" s="111" t="s">
        <v>74</v>
      </c>
      <c r="G21" s="111" t="s">
        <v>73</v>
      </c>
      <c r="H21" s="111" t="s">
        <v>70</v>
      </c>
      <c r="I21" s="111" t="s">
        <v>71</v>
      </c>
      <c r="Q21" s="119">
        <v>45872</v>
      </c>
      <c r="R21" s="119">
        <v>45873</v>
      </c>
      <c r="S21" s="119">
        <v>45874</v>
      </c>
      <c r="T21" s="119">
        <v>45875</v>
      </c>
      <c r="U21" s="119">
        <v>45876</v>
      </c>
      <c r="V21" s="119">
        <v>45877</v>
      </c>
      <c r="W21" s="119">
        <v>45878</v>
      </c>
      <c r="X21" s="120"/>
      <c r="Y21" s="120"/>
      <c r="Z21" s="119">
        <v>45872</v>
      </c>
      <c r="AA21" s="119">
        <v>45873</v>
      </c>
      <c r="AB21" s="119">
        <v>45874</v>
      </c>
      <c r="AC21" s="119">
        <v>45875</v>
      </c>
      <c r="AD21" s="119">
        <v>45876</v>
      </c>
      <c r="AE21" s="119">
        <v>45877</v>
      </c>
      <c r="AF21" s="119">
        <v>45878</v>
      </c>
      <c r="AG21" s="120"/>
      <c r="AH21" s="120"/>
      <c r="AI21" s="119">
        <v>45872</v>
      </c>
      <c r="AJ21" s="119">
        <v>45873</v>
      </c>
      <c r="AK21" s="119">
        <v>45874</v>
      </c>
      <c r="AL21" s="119">
        <v>45875</v>
      </c>
      <c r="AM21" s="119">
        <v>45876</v>
      </c>
      <c r="AN21" s="119">
        <v>45877</v>
      </c>
      <c r="AO21" s="119">
        <v>45878</v>
      </c>
      <c r="AP21" s="112"/>
      <c r="AQ21" s="112"/>
      <c r="AR21" s="112"/>
      <c r="AS21" s="270"/>
      <c r="AT21" s="270"/>
      <c r="AU21" s="244"/>
      <c r="AV21" s="244"/>
      <c r="AW21" s="244"/>
      <c r="AX21" s="244"/>
      <c r="AY21" s="244"/>
      <c r="AZ21" s="244"/>
      <c r="BA21" s="244"/>
      <c r="BB21" s="244"/>
      <c r="BC21" s="244"/>
      <c r="BD21" s="244"/>
      <c r="BE21" s="244"/>
      <c r="BF21" s="244"/>
      <c r="BG21" s="244"/>
      <c r="BH21" s="244"/>
      <c r="BI21" s="244"/>
      <c r="BJ21" s="244"/>
      <c r="BK21" s="244"/>
      <c r="BL21" s="244"/>
      <c r="BM21" s="244"/>
      <c r="BN21" s="244"/>
      <c r="BO21" s="244"/>
      <c r="BP21" s="244"/>
      <c r="BQ21" s="244"/>
      <c r="BR21" s="244"/>
      <c r="BS21" s="244"/>
      <c r="BT21" s="244"/>
      <c r="BU21" s="244"/>
      <c r="BV21" s="244"/>
      <c r="BW21" s="244"/>
      <c r="BX21" s="244"/>
      <c r="BY21" s="244"/>
      <c r="BZ21" s="244"/>
      <c r="CA21" s="244"/>
      <c r="CB21" s="244"/>
      <c r="CC21" s="244"/>
      <c r="CD21" s="244"/>
      <c r="CE21" s="244"/>
      <c r="CF21" s="244"/>
    </row>
    <row r="22" ht="18" customHeight="1">
      <c r="C22" s="701">
        <v>60180</v>
      </c>
      <c r="D22" s="701" t="s">
        <v>159</v>
      </c>
      <c r="E22" s="701" t="s">
        <v>160</v>
      </c>
      <c r="F22" s="701" t="s">
        <v>161</v>
      </c>
      <c r="G22" s="701" t="s">
        <v>162</v>
      </c>
      <c r="H22" s="702">
        <v>186</v>
      </c>
      <c r="I22" s="702" t="s">
        <v>163</v>
      </c>
      <c r="J22" s="702"/>
      <c r="K22" s="702"/>
      <c r="L22" s="702"/>
      <c r="M22" s="702"/>
      <c r="N22" s="702"/>
      <c r="O22" s="113"/>
      <c r="Q22" s="703" t="s">
        <v>164</v>
      </c>
      <c r="R22" s="704" t="s">
        <v>164</v>
      </c>
      <c r="S22" s="704" t="s">
        <v>164</v>
      </c>
      <c r="T22" s="704" t="s">
        <v>164</v>
      </c>
      <c r="U22" s="704" t="s">
        <v>164</v>
      </c>
      <c r="V22" s="704" t="s">
        <v>164</v>
      </c>
      <c r="W22" s="705" t="s">
        <v>164</v>
      </c>
      <c r="Z22" s="703" t="s">
        <v>164</v>
      </c>
      <c r="AA22" s="704" t="s">
        <v>164</v>
      </c>
      <c r="AB22" s="704" t="s">
        <v>164</v>
      </c>
      <c r="AC22" s="704" t="s">
        <v>164</v>
      </c>
      <c r="AD22" s="704" t="s">
        <v>164</v>
      </c>
      <c r="AE22" s="704" t="s">
        <v>164</v>
      </c>
      <c r="AF22" s="705" t="s">
        <v>164</v>
      </c>
      <c r="AI22" s="703" t="s">
        <v>165</v>
      </c>
      <c r="AJ22" s="704" t="s">
        <v>165</v>
      </c>
      <c r="AK22" s="704" t="s">
        <v>165</v>
      </c>
      <c r="AL22" s="704" t="s">
        <v>165</v>
      </c>
      <c r="AM22" s="704" t="s">
        <v>165</v>
      </c>
      <c r="AN22" s="704" t="s">
        <v>165</v>
      </c>
      <c r="AO22" s="705" t="s">
        <v>165</v>
      </c>
      <c r="AP22" s="213"/>
      <c r="AQ22" s="213"/>
      <c r="AR22" s="213"/>
      <c r="AS22" s="271"/>
      <c r="AT22" s="271"/>
      <c r="AU22" s="244"/>
      <c r="AV22" s="244"/>
      <c r="AW22" s="244"/>
      <c r="AX22" s="244"/>
      <c r="AY22" s="244"/>
      <c r="AZ22" s="244"/>
      <c r="BA22" s="244"/>
      <c r="BB22" s="244"/>
      <c r="BC22" s="244"/>
      <c r="BD22" s="244"/>
      <c r="BE22" s="244"/>
      <c r="BF22" s="244"/>
      <c r="BG22" s="244"/>
      <c r="BH22" s="244"/>
      <c r="BI22" s="244"/>
      <c r="BJ22" s="244"/>
      <c r="BK22" s="244"/>
      <c r="BL22" s="244"/>
      <c r="BM22" s="244"/>
      <c r="BN22" s="244"/>
      <c r="BO22" s="244"/>
      <c r="BP22" s="244"/>
      <c r="BQ22" s="244"/>
      <c r="BR22" s="244"/>
      <c r="BS22" s="244"/>
      <c r="BT22" s="244"/>
      <c r="BU22" s="244"/>
      <c r="BV22" s="244"/>
      <c r="BW22" s="244"/>
      <c r="BX22" s="244"/>
      <c r="BY22" s="244"/>
      <c r="BZ22" s="244"/>
      <c r="CA22" s="244"/>
      <c r="CB22" s="244"/>
      <c r="CC22" s="244"/>
      <c r="CD22" s="244"/>
      <c r="CE22" s="244"/>
      <c r="CF22" s="244"/>
    </row>
    <row r="23" ht="18" customHeight="1">
      <c r="C23" s="706">
        <v>7790</v>
      </c>
      <c r="D23" s="706" t="s">
        <v>166</v>
      </c>
      <c r="E23" s="706" t="s">
        <v>160</v>
      </c>
      <c r="F23" s="706" t="s">
        <v>167</v>
      </c>
      <c r="G23" s="706" t="s">
        <v>168</v>
      </c>
      <c r="H23" s="707">
        <v>276</v>
      </c>
      <c r="I23" s="707" t="s">
        <v>169</v>
      </c>
      <c r="J23" s="707"/>
      <c r="K23" s="707"/>
      <c r="L23" s="707"/>
      <c r="M23" s="707"/>
      <c r="N23" s="707"/>
      <c r="O23" s="113"/>
      <c r="Q23" s="708" t="s">
        <v>164</v>
      </c>
      <c r="R23" s="709" t="s">
        <v>164</v>
      </c>
      <c r="S23" s="709" t="s">
        <v>164</v>
      </c>
      <c r="T23" s="709" t="s">
        <v>164</v>
      </c>
      <c r="U23" s="709" t="s">
        <v>164</v>
      </c>
      <c r="V23" s="709" t="s">
        <v>164</v>
      </c>
      <c r="W23" s="710" t="s">
        <v>164</v>
      </c>
      <c r="Z23" s="708" t="s">
        <v>170</v>
      </c>
      <c r="AA23" s="709" t="s">
        <v>164</v>
      </c>
      <c r="AB23" s="709" t="s">
        <v>164</v>
      </c>
      <c r="AC23" s="709" t="s">
        <v>164</v>
      </c>
      <c r="AD23" s="709" t="s">
        <v>164</v>
      </c>
      <c r="AE23" s="709" t="s">
        <v>164</v>
      </c>
      <c r="AF23" s="710" t="s">
        <v>164</v>
      </c>
      <c r="AI23" s="708" t="s">
        <v>165</v>
      </c>
      <c r="AJ23" s="709" t="s">
        <v>165</v>
      </c>
      <c r="AK23" s="709" t="s">
        <v>165</v>
      </c>
      <c r="AL23" s="709" t="s">
        <v>165</v>
      </c>
      <c r="AM23" s="709" t="s">
        <v>165</v>
      </c>
      <c r="AN23" s="709" t="s">
        <v>165</v>
      </c>
      <c r="AO23" s="710" t="s">
        <v>165</v>
      </c>
      <c r="AP23" s="213"/>
      <c r="AQ23" s="213"/>
      <c r="AR23" s="213"/>
      <c r="AS23" s="271"/>
      <c r="AT23" s="271"/>
      <c r="AU23" s="244"/>
      <c r="AV23" s="244"/>
      <c r="AW23" s="244"/>
      <c r="AX23" s="244"/>
      <c r="AY23" s="244"/>
      <c r="AZ23" s="244"/>
      <c r="BA23" s="244"/>
      <c r="BB23" s="244"/>
      <c r="BC23" s="244"/>
      <c r="BD23" s="244"/>
      <c r="BE23" s="244"/>
      <c r="BF23" s="244"/>
      <c r="BG23" s="244"/>
      <c r="BH23" s="244"/>
      <c r="BI23" s="244"/>
      <c r="BJ23" s="244"/>
      <c r="BK23" s="244"/>
      <c r="BL23" s="244"/>
      <c r="BM23" s="244"/>
      <c r="BN23" s="244"/>
      <c r="BO23" s="244"/>
      <c r="BP23" s="244"/>
      <c r="BQ23" s="244"/>
      <c r="BR23" s="244"/>
      <c r="BS23" s="244"/>
      <c r="BT23" s="244"/>
      <c r="BU23" s="244"/>
      <c r="BV23" s="244"/>
      <c r="BW23" s="244"/>
      <c r="BX23" s="244"/>
      <c r="BY23" s="244"/>
      <c r="BZ23" s="244"/>
      <c r="CA23" s="244"/>
      <c r="CB23" s="244"/>
      <c r="CC23" s="244"/>
      <c r="CD23" s="244"/>
      <c r="CE23" s="244"/>
      <c r="CF23" s="244"/>
    </row>
    <row r="24" ht="18" customHeight="1">
      <c r="C24" s="701">
        <v>27821</v>
      </c>
      <c r="D24" s="701" t="s">
        <v>171</v>
      </c>
      <c r="E24" s="701" t="s">
        <v>160</v>
      </c>
      <c r="F24" s="701" t="s">
        <v>172</v>
      </c>
      <c r="G24" s="701" t="s">
        <v>173</v>
      </c>
      <c r="H24" s="702">
        <v>108</v>
      </c>
      <c r="I24" s="702" t="s">
        <v>174</v>
      </c>
      <c r="J24" s="702"/>
      <c r="K24" s="702"/>
      <c r="L24" s="702"/>
      <c r="M24" s="702"/>
      <c r="N24" s="702"/>
      <c r="O24" s="113"/>
      <c r="Q24" s="703" t="s">
        <v>164</v>
      </c>
      <c r="R24" s="704" t="s">
        <v>164</v>
      </c>
      <c r="S24" s="704" t="s">
        <v>164</v>
      </c>
      <c r="T24" s="704" t="s">
        <v>164</v>
      </c>
      <c r="U24" s="704" t="s">
        <v>164</v>
      </c>
      <c r="V24" s="704" t="s">
        <v>164</v>
      </c>
      <c r="W24" s="705" t="s">
        <v>164</v>
      </c>
      <c r="Z24" s="703" t="s">
        <v>165</v>
      </c>
      <c r="AA24" s="704" t="s">
        <v>165</v>
      </c>
      <c r="AB24" s="704" t="s">
        <v>165</v>
      </c>
      <c r="AC24" s="704" t="s">
        <v>165</v>
      </c>
      <c r="AD24" s="704" t="s">
        <v>165</v>
      </c>
      <c r="AE24" s="704" t="s">
        <v>165</v>
      </c>
      <c r="AF24" s="705" t="s">
        <v>165</v>
      </c>
      <c r="AI24" s="703" t="s">
        <v>165</v>
      </c>
      <c r="AJ24" s="704" t="s">
        <v>165</v>
      </c>
      <c r="AK24" s="704" t="s">
        <v>165</v>
      </c>
      <c r="AL24" s="704" t="s">
        <v>165</v>
      </c>
      <c r="AM24" s="704" t="s">
        <v>165</v>
      </c>
      <c r="AN24" s="704" t="s">
        <v>165</v>
      </c>
      <c r="AO24" s="705" t="s">
        <v>165</v>
      </c>
      <c r="AP24" s="213"/>
      <c r="AQ24" s="213"/>
      <c r="AR24" s="213"/>
      <c r="AS24" s="271"/>
      <c r="AT24" s="271"/>
      <c r="AU24" s="244"/>
      <c r="AV24" s="244"/>
      <c r="AW24" s="244"/>
      <c r="AX24" s="244"/>
      <c r="AY24" s="244"/>
      <c r="AZ24" s="244"/>
      <c r="BA24" s="244"/>
      <c r="BB24" s="244"/>
      <c r="BC24" s="244"/>
      <c r="BD24" s="244"/>
      <c r="BE24" s="244"/>
      <c r="BF24" s="244"/>
      <c r="BG24" s="244"/>
      <c r="BH24" s="244"/>
      <c r="BI24" s="244"/>
      <c r="BJ24" s="244"/>
      <c r="BK24" s="244"/>
      <c r="BL24" s="244"/>
      <c r="BM24" s="244"/>
      <c r="BN24" s="244"/>
      <c r="BO24" s="244"/>
      <c r="BP24" s="244"/>
      <c r="BQ24" s="244"/>
      <c r="BR24" s="244"/>
      <c r="BS24" s="244"/>
      <c r="BT24" s="244"/>
      <c r="BU24" s="244"/>
      <c r="BV24" s="244"/>
      <c r="BW24" s="244"/>
      <c r="BX24" s="244"/>
      <c r="BY24" s="244"/>
      <c r="BZ24" s="244"/>
      <c r="CA24" s="244"/>
      <c r="CB24" s="244"/>
      <c r="CC24" s="244"/>
      <c r="CD24" s="244"/>
      <c r="CE24" s="244"/>
      <c r="CF24" s="244"/>
    </row>
    <row r="25" ht="18" customHeight="1">
      <c r="C25" s="706">
        <v>31502</v>
      </c>
      <c r="D25" s="706" t="s">
        <v>175</v>
      </c>
      <c r="E25" s="706" t="s">
        <v>160</v>
      </c>
      <c r="F25" s="706" t="s">
        <v>167</v>
      </c>
      <c r="G25" s="706" t="s">
        <v>176</v>
      </c>
      <c r="H25" s="707">
        <v>117</v>
      </c>
      <c r="I25" s="707" t="s">
        <v>177</v>
      </c>
      <c r="J25" s="707"/>
      <c r="K25" s="707"/>
      <c r="L25" s="707"/>
      <c r="M25" s="707"/>
      <c r="N25" s="707"/>
      <c r="O25" s="113"/>
      <c r="Q25" s="708" t="s">
        <v>164</v>
      </c>
      <c r="R25" s="709" t="s">
        <v>164</v>
      </c>
      <c r="S25" s="709" t="s">
        <v>164</v>
      </c>
      <c r="T25" s="709" t="s">
        <v>164</v>
      </c>
      <c r="U25" s="709" t="s">
        <v>164</v>
      </c>
      <c r="V25" s="709" t="s">
        <v>164</v>
      </c>
      <c r="W25" s="710" t="s">
        <v>164</v>
      </c>
      <c r="Z25" s="708" t="s">
        <v>165</v>
      </c>
      <c r="AA25" s="709" t="s">
        <v>165</v>
      </c>
      <c r="AB25" s="709" t="s">
        <v>165</v>
      </c>
      <c r="AC25" s="709" t="s">
        <v>165</v>
      </c>
      <c r="AD25" s="709" t="s">
        <v>165</v>
      </c>
      <c r="AE25" s="709" t="s">
        <v>165</v>
      </c>
      <c r="AF25" s="710" t="s">
        <v>165</v>
      </c>
      <c r="AI25" s="708" t="s">
        <v>165</v>
      </c>
      <c r="AJ25" s="709" t="s">
        <v>165</v>
      </c>
      <c r="AK25" s="709" t="s">
        <v>165</v>
      </c>
      <c r="AL25" s="709" t="s">
        <v>165</v>
      </c>
      <c r="AM25" s="709" t="s">
        <v>165</v>
      </c>
      <c r="AN25" s="709" t="s">
        <v>165</v>
      </c>
      <c r="AO25" s="710" t="s">
        <v>165</v>
      </c>
      <c r="AP25" s="213"/>
      <c r="AQ25" s="213"/>
      <c r="AR25" s="213"/>
      <c r="AS25" s="271"/>
      <c r="AT25" s="271"/>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4"/>
      <c r="BU25" s="244"/>
      <c r="BV25" s="244"/>
      <c r="BW25" s="244"/>
      <c r="BX25" s="244"/>
      <c r="BY25" s="244"/>
      <c r="BZ25" s="244"/>
      <c r="CA25" s="244"/>
      <c r="CB25" s="244"/>
      <c r="CC25" s="244"/>
      <c r="CD25" s="244"/>
      <c r="CE25" s="244"/>
      <c r="CF25" s="244"/>
    </row>
    <row r="26" ht="18" customHeight="1">
      <c r="C26" s="701">
        <v>33288</v>
      </c>
      <c r="D26" s="701" t="s">
        <v>178</v>
      </c>
      <c r="E26" s="701" t="s">
        <v>160</v>
      </c>
      <c r="F26" s="701" t="s">
        <v>172</v>
      </c>
      <c r="G26" s="701" t="s">
        <v>179</v>
      </c>
      <c r="H26" s="702">
        <v>111</v>
      </c>
      <c r="I26" s="702" t="s">
        <v>180</v>
      </c>
      <c r="J26" s="702"/>
      <c r="K26" s="702"/>
      <c r="L26" s="702"/>
      <c r="M26" s="702"/>
      <c r="N26" s="702"/>
      <c r="O26" s="113"/>
      <c r="Q26" s="703" t="s">
        <v>164</v>
      </c>
      <c r="R26" s="704" t="s">
        <v>164</v>
      </c>
      <c r="S26" s="704" t="s">
        <v>164</v>
      </c>
      <c r="T26" s="704" t="s">
        <v>164</v>
      </c>
      <c r="U26" s="704" t="s">
        <v>164</v>
      </c>
      <c r="V26" s="704" t="s">
        <v>164</v>
      </c>
      <c r="W26" s="705" t="s">
        <v>164</v>
      </c>
      <c r="Z26" s="703" t="s">
        <v>164</v>
      </c>
      <c r="AA26" s="704" t="s">
        <v>164</v>
      </c>
      <c r="AB26" s="704" t="s">
        <v>164</v>
      </c>
      <c r="AC26" s="704" t="s">
        <v>164</v>
      </c>
      <c r="AD26" s="704" t="s">
        <v>164</v>
      </c>
      <c r="AE26" s="704" t="s">
        <v>164</v>
      </c>
      <c r="AF26" s="705" t="s">
        <v>164</v>
      </c>
      <c r="AI26" s="703" t="s">
        <v>165</v>
      </c>
      <c r="AJ26" s="704" t="s">
        <v>165</v>
      </c>
      <c r="AK26" s="704" t="s">
        <v>165</v>
      </c>
      <c r="AL26" s="704" t="s">
        <v>165</v>
      </c>
      <c r="AM26" s="704" t="s">
        <v>165</v>
      </c>
      <c r="AN26" s="704" t="s">
        <v>165</v>
      </c>
      <c r="AO26" s="705" t="s">
        <v>165</v>
      </c>
      <c r="AP26" s="213"/>
      <c r="AQ26" s="213"/>
      <c r="AR26" s="213"/>
      <c r="AS26" s="271"/>
      <c r="AT26" s="271"/>
      <c r="AU26" s="244"/>
      <c r="AV26" s="244"/>
      <c r="AW26" s="244"/>
      <c r="AX26" s="244"/>
      <c r="AY26" s="244"/>
      <c r="AZ26" s="244"/>
      <c r="BA26" s="244"/>
      <c r="BB26" s="244"/>
      <c r="BC26" s="244"/>
      <c r="BD26" s="244"/>
      <c r="BE26" s="244"/>
      <c r="BF26" s="244"/>
      <c r="BG26" s="244"/>
      <c r="BH26" s="244"/>
      <c r="BI26" s="244"/>
      <c r="BJ26" s="244"/>
      <c r="BK26" s="244"/>
      <c r="BL26" s="244"/>
      <c r="BM26" s="244"/>
      <c r="BN26" s="244"/>
      <c r="BO26" s="244"/>
      <c r="BP26" s="244"/>
      <c r="BQ26" s="244"/>
      <c r="BR26" s="244"/>
      <c r="BS26" s="244"/>
      <c r="BT26" s="244"/>
      <c r="BU26" s="244"/>
      <c r="BV26" s="244"/>
      <c r="BW26" s="244"/>
      <c r="BX26" s="244"/>
      <c r="BY26" s="244"/>
      <c r="BZ26" s="244"/>
      <c r="CA26" s="244"/>
      <c r="CB26" s="244"/>
      <c r="CC26" s="244"/>
      <c r="CD26" s="244"/>
      <c r="CE26" s="244"/>
      <c r="CF26" s="244"/>
    </row>
    <row r="27" ht="18" customHeight="1">
      <c r="C27" s="706">
        <v>57305</v>
      </c>
      <c r="D27" s="706" t="s">
        <v>181</v>
      </c>
      <c r="E27" s="706" t="s">
        <v>182</v>
      </c>
      <c r="F27" s="706" t="s">
        <v>183</v>
      </c>
      <c r="G27" s="706" t="s">
        <v>184</v>
      </c>
      <c r="H27" s="707">
        <v>145</v>
      </c>
      <c r="I27" s="707" t="s">
        <v>185</v>
      </c>
      <c r="J27" s="707"/>
      <c r="K27" s="707"/>
      <c r="L27" s="707"/>
      <c r="M27" s="707"/>
      <c r="N27" s="707"/>
      <c r="O27" s="113"/>
      <c r="Q27" s="708" t="s">
        <v>164</v>
      </c>
      <c r="R27" s="709" t="s">
        <v>164</v>
      </c>
      <c r="S27" s="709" t="s">
        <v>164</v>
      </c>
      <c r="T27" s="709" t="s">
        <v>164</v>
      </c>
      <c r="U27" s="709" t="s">
        <v>164</v>
      </c>
      <c r="V27" s="709" t="s">
        <v>164</v>
      </c>
      <c r="W27" s="710" t="s">
        <v>164</v>
      </c>
      <c r="Z27" s="708" t="s">
        <v>164</v>
      </c>
      <c r="AA27" s="709" t="s">
        <v>164</v>
      </c>
      <c r="AB27" s="709" t="s">
        <v>164</v>
      </c>
      <c r="AC27" s="709" t="s">
        <v>164</v>
      </c>
      <c r="AD27" s="709" t="s">
        <v>164</v>
      </c>
      <c r="AE27" s="709" t="s">
        <v>164</v>
      </c>
      <c r="AF27" s="710" t="s">
        <v>164</v>
      </c>
      <c r="AI27" s="708" t="s">
        <v>165</v>
      </c>
      <c r="AJ27" s="709" t="s">
        <v>165</v>
      </c>
      <c r="AK27" s="709" t="s">
        <v>165</v>
      </c>
      <c r="AL27" s="709" t="s">
        <v>165</v>
      </c>
      <c r="AM27" s="709" t="s">
        <v>165</v>
      </c>
      <c r="AN27" s="709" t="s">
        <v>165</v>
      </c>
      <c r="AO27" s="710" t="s">
        <v>165</v>
      </c>
      <c r="AP27" s="213"/>
      <c r="AQ27" s="213"/>
      <c r="AR27" s="213"/>
      <c r="AS27" s="271"/>
      <c r="AT27" s="271"/>
      <c r="AU27" s="244"/>
      <c r="AV27" s="244"/>
      <c r="AW27" s="244"/>
      <c r="AX27" s="244"/>
      <c r="AY27" s="244"/>
      <c r="AZ27" s="244"/>
      <c r="BA27" s="244"/>
      <c r="BB27" s="244"/>
      <c r="BC27" s="244"/>
      <c r="BD27" s="244"/>
      <c r="BE27" s="244"/>
      <c r="BF27" s="244"/>
      <c r="BG27" s="244"/>
      <c r="BH27" s="244"/>
      <c r="BI27" s="244"/>
      <c r="BJ27" s="244"/>
      <c r="BK27" s="244"/>
      <c r="BL27" s="244"/>
      <c r="BM27" s="244"/>
      <c r="BN27" s="244"/>
      <c r="BO27" s="244"/>
      <c r="BP27" s="244"/>
      <c r="BQ27" s="244"/>
      <c r="BR27" s="244"/>
      <c r="BS27" s="244"/>
      <c r="BT27" s="244"/>
      <c r="BU27" s="244"/>
      <c r="BV27" s="244"/>
      <c r="BW27" s="244"/>
      <c r="BX27" s="244"/>
      <c r="BY27" s="244"/>
      <c r="BZ27" s="244"/>
      <c r="CA27" s="244"/>
      <c r="CB27" s="244"/>
      <c r="CC27" s="244"/>
      <c r="CD27" s="244"/>
      <c r="CE27" s="244"/>
      <c r="CF27" s="244"/>
    </row>
    <row r="28" ht="18" customHeight="1">
      <c r="C28" s="701">
        <v>58062</v>
      </c>
      <c r="D28" s="701" t="s">
        <v>186</v>
      </c>
      <c r="E28" s="701" t="s">
        <v>182</v>
      </c>
      <c r="F28" s="701" t="s">
        <v>187</v>
      </c>
      <c r="G28" s="701" t="s">
        <v>188</v>
      </c>
      <c r="H28" s="702">
        <v>126</v>
      </c>
      <c r="I28" s="702" t="s">
        <v>189</v>
      </c>
      <c r="J28" s="702"/>
      <c r="K28" s="702"/>
      <c r="L28" s="702"/>
      <c r="M28" s="702"/>
      <c r="N28" s="702"/>
      <c r="O28" s="113"/>
      <c r="Q28" s="703" t="s">
        <v>164</v>
      </c>
      <c r="R28" s="704" t="s">
        <v>164</v>
      </c>
      <c r="S28" s="704" t="s">
        <v>164</v>
      </c>
      <c r="T28" s="704" t="s">
        <v>164</v>
      </c>
      <c r="U28" s="704" t="s">
        <v>164</v>
      </c>
      <c r="V28" s="704" t="s">
        <v>164</v>
      </c>
      <c r="W28" s="705" t="s">
        <v>164</v>
      </c>
      <c r="Z28" s="703" t="s">
        <v>164</v>
      </c>
      <c r="AA28" s="704" t="s">
        <v>164</v>
      </c>
      <c r="AB28" s="704" t="s">
        <v>164</v>
      </c>
      <c r="AC28" s="704" t="s">
        <v>164</v>
      </c>
      <c r="AD28" s="704" t="s">
        <v>164</v>
      </c>
      <c r="AE28" s="704" t="s">
        <v>164</v>
      </c>
      <c r="AF28" s="705" t="s">
        <v>190</v>
      </c>
      <c r="AI28" s="703" t="s">
        <v>164</v>
      </c>
      <c r="AJ28" s="704" t="s">
        <v>164</v>
      </c>
      <c r="AK28" s="704" t="s">
        <v>164</v>
      </c>
      <c r="AL28" s="704" t="s">
        <v>164</v>
      </c>
      <c r="AM28" s="704" t="s">
        <v>164</v>
      </c>
      <c r="AN28" s="704" t="s">
        <v>164</v>
      </c>
      <c r="AO28" s="705" t="s">
        <v>164</v>
      </c>
      <c r="AP28" s="213"/>
      <c r="AQ28" s="213"/>
      <c r="AR28" s="213"/>
      <c r="AS28" s="271"/>
      <c r="AT28" s="271"/>
      <c r="AU28" s="244"/>
      <c r="AV28" s="244"/>
      <c r="AW28" s="244"/>
      <c r="AX28" s="244"/>
      <c r="AY28" s="244"/>
      <c r="AZ28" s="244"/>
      <c r="BA28" s="244"/>
      <c r="BB28" s="244"/>
      <c r="BC28" s="244"/>
      <c r="BD28" s="244"/>
      <c r="BE28" s="244"/>
      <c r="BF28" s="244"/>
      <c r="BG28" s="244"/>
      <c r="BH28" s="244"/>
      <c r="BI28" s="244"/>
      <c r="BJ28" s="244"/>
      <c r="BK28" s="244"/>
      <c r="BL28" s="244"/>
      <c r="BM28" s="244"/>
      <c r="BN28" s="244"/>
      <c r="BO28" s="244"/>
      <c r="BP28" s="244"/>
      <c r="BQ28" s="244"/>
      <c r="BR28" s="244"/>
      <c r="BS28" s="244"/>
      <c r="BT28" s="244"/>
      <c r="BU28" s="244"/>
      <c r="BV28" s="244"/>
      <c r="BW28" s="244"/>
      <c r="BX28" s="244"/>
      <c r="BY28" s="244"/>
      <c r="BZ28" s="244"/>
      <c r="CA28" s="244"/>
      <c r="CB28" s="244"/>
      <c r="CC28" s="244"/>
      <c r="CD28" s="244"/>
      <c r="CE28" s="244"/>
      <c r="CF28" s="244"/>
    </row>
    <row r="29" ht="18" customHeight="1">
      <c r="C29" s="706">
        <v>66136</v>
      </c>
      <c r="D29" s="706" t="s">
        <v>191</v>
      </c>
      <c r="E29" s="706" t="s">
        <v>160</v>
      </c>
      <c r="F29" s="706" t="s">
        <v>192</v>
      </c>
      <c r="G29" s="706" t="s">
        <v>193</v>
      </c>
      <c r="H29" s="707">
        <v>203</v>
      </c>
      <c r="I29" s="707" t="s">
        <v>194</v>
      </c>
      <c r="J29" s="707"/>
      <c r="K29" s="707"/>
      <c r="L29" s="707"/>
      <c r="M29" s="707"/>
      <c r="N29" s="707"/>
      <c r="O29" s="113"/>
      <c r="Q29" s="708" t="s">
        <v>164</v>
      </c>
      <c r="R29" s="709" t="s">
        <v>164</v>
      </c>
      <c r="S29" s="709" t="s">
        <v>164</v>
      </c>
      <c r="T29" s="709" t="s">
        <v>164</v>
      </c>
      <c r="U29" s="709" t="s">
        <v>164</v>
      </c>
      <c r="V29" s="709" t="s">
        <v>164</v>
      </c>
      <c r="W29" s="710" t="s">
        <v>164</v>
      </c>
      <c r="Z29" s="708" t="s">
        <v>164</v>
      </c>
      <c r="AA29" s="709" t="s">
        <v>164</v>
      </c>
      <c r="AB29" s="709" t="s">
        <v>164</v>
      </c>
      <c r="AC29" s="709" t="s">
        <v>164</v>
      </c>
      <c r="AD29" s="709" t="s">
        <v>164</v>
      </c>
      <c r="AE29" s="709" t="s">
        <v>164</v>
      </c>
      <c r="AF29" s="710" t="s">
        <v>164</v>
      </c>
      <c r="AI29" s="708" t="s">
        <v>164</v>
      </c>
      <c r="AJ29" s="709" t="s">
        <v>164</v>
      </c>
      <c r="AK29" s="709" t="s">
        <v>164</v>
      </c>
      <c r="AL29" s="709" t="s">
        <v>164</v>
      </c>
      <c r="AM29" s="709" t="s">
        <v>164</v>
      </c>
      <c r="AN29" s="709" t="s">
        <v>164</v>
      </c>
      <c r="AO29" s="710" t="s">
        <v>164</v>
      </c>
      <c r="AP29" s="213"/>
      <c r="AQ29" s="213"/>
      <c r="AR29" s="213"/>
      <c r="AS29" s="271"/>
      <c r="AT29" s="271"/>
      <c r="AU29" s="244"/>
      <c r="AV29" s="244"/>
      <c r="AW29" s="244"/>
      <c r="AX29" s="244"/>
      <c r="AY29" s="244"/>
      <c r="AZ29" s="244"/>
      <c r="BA29" s="244"/>
      <c r="BB29" s="244"/>
      <c r="BC29" s="244"/>
      <c r="BD29" s="244"/>
      <c r="BE29" s="244"/>
      <c r="BF29" s="244"/>
      <c r="BG29" s="244"/>
      <c r="BH29" s="244"/>
      <c r="BI29" s="244"/>
      <c r="BJ29" s="244"/>
      <c r="BK29" s="244"/>
      <c r="BL29" s="244"/>
      <c r="BM29" s="244"/>
      <c r="BN29" s="244"/>
      <c r="BO29" s="244"/>
      <c r="BP29" s="244"/>
      <c r="BQ29" s="244"/>
      <c r="BR29" s="244"/>
      <c r="BS29" s="244"/>
      <c r="BT29" s="244"/>
      <c r="BU29" s="244"/>
      <c r="BV29" s="244"/>
      <c r="BW29" s="244"/>
      <c r="BX29" s="244"/>
      <c r="BY29" s="244"/>
      <c r="BZ29" s="244"/>
      <c r="CA29" s="244"/>
      <c r="CB29" s="244"/>
      <c r="CC29" s="244"/>
      <c r="CD29" s="244"/>
      <c r="CE29" s="244"/>
      <c r="CF29" s="244"/>
    </row>
    <row r="30" ht="18" customHeight="1">
      <c r="C30" s="114"/>
      <c r="D30" s="118"/>
      <c r="E30" s="118"/>
      <c r="F30" s="118"/>
      <c r="G30" s="118"/>
      <c r="H30" s="702">
        <v>1272</v>
      </c>
      <c r="I30" s="711"/>
      <c r="J30" s="711"/>
      <c r="K30" s="711"/>
      <c r="L30" s="711"/>
      <c r="M30" s="711"/>
      <c r="N30" s="711"/>
      <c r="O30" s="113"/>
      <c r="AP30" s="213"/>
      <c r="AQ30" s="213"/>
      <c r="AR30" s="213"/>
      <c r="AS30" s="271"/>
      <c r="AT30" s="271"/>
      <c r="AU30" s="244"/>
      <c r="AV30" s="244"/>
      <c r="AW30" s="244"/>
      <c r="AX30" s="244"/>
      <c r="AY30" s="244"/>
      <c r="AZ30" s="244"/>
      <c r="BA30" s="244"/>
      <c r="BB30" s="244"/>
      <c r="BC30" s="244"/>
      <c r="BD30" s="244"/>
      <c r="BE30" s="244"/>
      <c r="BF30" s="244"/>
      <c r="BG30" s="244"/>
      <c r="BH30" s="244"/>
      <c r="BI30" s="244"/>
      <c r="BJ30" s="244"/>
      <c r="BK30" s="244"/>
      <c r="BL30" s="244"/>
      <c r="BM30" s="244"/>
      <c r="BN30" s="244"/>
      <c r="BO30" s="244"/>
      <c r="BP30" s="244"/>
      <c r="BQ30" s="244"/>
      <c r="BR30" s="244"/>
      <c r="BS30" s="244"/>
      <c r="BT30" s="244"/>
      <c r="BU30" s="244"/>
      <c r="BV30" s="244"/>
      <c r="BW30" s="244"/>
      <c r="BX30" s="244"/>
      <c r="BY30" s="244"/>
      <c r="BZ30" s="244"/>
      <c r="CA30" s="244"/>
      <c r="CB30" s="244"/>
      <c r="CC30" s="244"/>
      <c r="CD30" s="244"/>
      <c r="CE30" s="244"/>
      <c r="CF30" s="244"/>
    </row>
    <row r="31" ht="18" customHeight="1">
      <c r="C31" s="114"/>
      <c r="D31" s="118"/>
      <c r="E31" s="118"/>
      <c r="F31" s="118"/>
      <c r="G31" s="118"/>
      <c r="H31" s="118"/>
      <c r="I31" s="711"/>
      <c r="J31" s="711"/>
      <c r="K31" s="711"/>
      <c r="L31" s="711"/>
      <c r="M31" s="711"/>
      <c r="N31" s="711"/>
      <c r="O31" s="113"/>
      <c r="P31" t="s">
        <v>195</v>
      </c>
      <c r="AP31" s="213"/>
      <c r="AQ31" s="213"/>
      <c r="AR31" s="213"/>
      <c r="AS31" s="271"/>
      <c r="AT31" s="271"/>
      <c r="AU31" s="244"/>
      <c r="AV31" s="244"/>
      <c r="AW31" s="244"/>
      <c r="AX31" s="244"/>
      <c r="AY31" s="244"/>
      <c r="AZ31" s="244"/>
      <c r="BA31" s="244"/>
      <c r="BB31" s="244"/>
      <c r="BC31" s="244"/>
      <c r="BD31" s="244"/>
      <c r="BE31" s="244"/>
      <c r="BF31" s="244"/>
      <c r="BG31" s="244"/>
      <c r="BH31" s="244"/>
      <c r="BI31" s="244"/>
      <c r="BJ31" s="244"/>
      <c r="BK31" s="244"/>
      <c r="BL31" s="244"/>
      <c r="BM31" s="244"/>
      <c r="BN31" s="244"/>
      <c r="BO31" s="244"/>
      <c r="BP31" s="244"/>
      <c r="BQ31" s="244"/>
      <c r="BR31" s="244"/>
      <c r="BS31" s="244"/>
      <c r="BT31" s="244"/>
      <c r="BU31" s="244"/>
      <c r="BV31" s="244"/>
      <c r="BW31" s="244"/>
      <c r="BX31" s="244"/>
      <c r="BY31" s="244"/>
      <c r="BZ31" s="244"/>
      <c r="CA31" s="244"/>
      <c r="CB31" s="244"/>
      <c r="CC31" s="244"/>
      <c r="CD31" s="244"/>
      <c r="CE31" s="244"/>
      <c r="CF31" s="244"/>
    </row>
    <row r="32" ht="18" customHeight="1">
      <c r="C32" s="114"/>
      <c r="D32" s="118"/>
      <c r="E32" s="118"/>
      <c r="F32" s="118"/>
      <c r="G32" s="118"/>
      <c r="H32" s="118"/>
      <c r="I32" s="711"/>
      <c r="J32" s="711"/>
      <c r="K32" s="711"/>
      <c r="L32" s="711"/>
      <c r="M32" s="711"/>
      <c r="N32" s="711"/>
      <c r="O32" s="113"/>
      <c r="AP32" s="213"/>
      <c r="AQ32" s="213"/>
      <c r="AR32" s="213"/>
      <c r="AS32" s="271"/>
      <c r="AT32" s="271"/>
      <c r="AU32" s="244"/>
      <c r="AV32" s="244"/>
      <c r="AW32" s="244"/>
      <c r="AX32" s="244"/>
      <c r="AY32" s="244"/>
      <c r="AZ32" s="244"/>
      <c r="BA32" s="244"/>
      <c r="BB32" s="244"/>
      <c r="BC32" s="244"/>
      <c r="BD32" s="244"/>
      <c r="BE32" s="244"/>
      <c r="BF32" s="244"/>
      <c r="BG32" s="244"/>
      <c r="BH32" s="244"/>
      <c r="BI32" s="244"/>
      <c r="BJ32" s="244"/>
      <c r="BK32" s="244"/>
      <c r="BL32" s="244"/>
      <c r="BM32" s="244"/>
      <c r="BN32" s="244"/>
      <c r="BO32" s="244"/>
      <c r="BP32" s="244"/>
      <c r="BQ32" s="244"/>
      <c r="BR32" s="244"/>
      <c r="BS32" s="244"/>
      <c r="BT32" s="244"/>
      <c r="BU32" s="244"/>
      <c r="BV32" s="244"/>
      <c r="BW32" s="244"/>
      <c r="BX32" s="244"/>
      <c r="BY32" s="244"/>
      <c r="BZ32" s="244"/>
      <c r="CA32" s="244"/>
      <c r="CB32" s="244"/>
      <c r="CC32" s="244"/>
      <c r="CD32" s="244"/>
      <c r="CE32" s="244"/>
      <c r="CF32" s="244"/>
    </row>
    <row r="33" ht="18" customHeight="1">
      <c r="C33" s="114"/>
      <c r="D33" s="118"/>
      <c r="E33" s="118"/>
      <c r="F33" s="118"/>
      <c r="G33" s="118"/>
      <c r="H33" s="118"/>
      <c r="I33" s="711"/>
      <c r="J33" s="711"/>
      <c r="K33" s="711"/>
      <c r="L33" s="711"/>
      <c r="M33" s="711"/>
      <c r="N33" s="711"/>
      <c r="O33" s="113"/>
      <c r="AP33" s="213"/>
      <c r="AQ33" s="213"/>
      <c r="AR33" s="213"/>
      <c r="AS33" s="271"/>
      <c r="AT33" s="271"/>
      <c r="AU33" s="244"/>
      <c r="AV33" s="244"/>
      <c r="AW33" s="244"/>
      <c r="AX33" s="244"/>
      <c r="AY33" s="244"/>
      <c r="AZ33" s="244"/>
      <c r="BA33" s="244"/>
      <c r="BB33" s="244"/>
      <c r="BC33" s="244"/>
      <c r="BD33" s="244"/>
      <c r="BE33" s="244"/>
      <c r="BF33" s="244"/>
      <c r="BG33" s="244"/>
      <c r="BH33" s="244"/>
      <c r="BI33" s="244"/>
      <c r="BJ33" s="244"/>
      <c r="BK33" s="244"/>
      <c r="BL33" s="244"/>
      <c r="BM33" s="244"/>
      <c r="BN33" s="244"/>
      <c r="BO33" s="244"/>
      <c r="BP33" s="244"/>
      <c r="BQ33" s="244"/>
      <c r="BR33" s="244"/>
      <c r="BS33" s="244"/>
      <c r="BT33" s="244"/>
      <c r="BU33" s="244"/>
      <c r="BV33" s="244"/>
      <c r="BW33" s="244"/>
      <c r="BX33" s="244"/>
      <c r="BY33" s="244"/>
      <c r="BZ33" s="244"/>
      <c r="CA33" s="244"/>
      <c r="CB33" s="244"/>
      <c r="CC33" s="244"/>
      <c r="CD33" s="244"/>
      <c r="CE33" s="244"/>
      <c r="CF33" s="244"/>
    </row>
    <row r="34" ht="18" customHeight="1">
      <c r="C34" s="114"/>
      <c r="D34" s="118"/>
      <c r="E34" s="118"/>
      <c r="F34" s="118"/>
      <c r="G34" s="118"/>
      <c r="H34" s="118"/>
      <c r="I34" s="711"/>
      <c r="J34" s="711"/>
      <c r="K34" s="711"/>
      <c r="L34" s="711"/>
      <c r="M34" s="711"/>
      <c r="N34" s="711"/>
      <c r="O34" s="113"/>
      <c r="AP34" s="213"/>
      <c r="AQ34" s="213"/>
      <c r="AR34" s="213"/>
      <c r="AS34" s="271"/>
      <c r="AT34" s="271"/>
      <c r="AU34" s="244"/>
      <c r="AV34" s="244"/>
      <c r="AW34" s="244"/>
      <c r="AX34" s="244"/>
      <c r="AY34" s="244"/>
      <c r="AZ34" s="244"/>
      <c r="BA34" s="244"/>
      <c r="BB34" s="244"/>
      <c r="BC34" s="244"/>
      <c r="BD34" s="244"/>
      <c r="BE34" s="244"/>
      <c r="BF34" s="244"/>
      <c r="BG34" s="244"/>
      <c r="BH34" s="244"/>
      <c r="BI34" s="244"/>
      <c r="BJ34" s="244"/>
      <c r="BK34" s="244"/>
      <c r="BL34" s="244"/>
      <c r="BM34" s="244"/>
      <c r="BN34" s="244"/>
      <c r="BO34" s="244"/>
      <c r="BP34" s="244"/>
      <c r="BQ34" s="244"/>
      <c r="BR34" s="244"/>
      <c r="BS34" s="244"/>
      <c r="BT34" s="244"/>
      <c r="BU34" s="244"/>
      <c r="BV34" s="244"/>
      <c r="BW34" s="244"/>
      <c r="BX34" s="244"/>
      <c r="BY34" s="244"/>
      <c r="BZ34" s="244"/>
      <c r="CA34" s="244"/>
      <c r="CB34" s="244"/>
      <c r="CC34" s="244"/>
      <c r="CD34" s="244"/>
      <c r="CE34" s="244"/>
      <c r="CF34" s="244"/>
    </row>
    <row r="35" ht="18" customHeight="1">
      <c r="C35" s="114"/>
      <c r="D35" s="118"/>
      <c r="E35" s="118"/>
      <c r="F35" s="118"/>
      <c r="G35" s="118"/>
      <c r="H35" s="118"/>
      <c r="I35" s="711"/>
      <c r="J35" s="711"/>
      <c r="K35" s="711"/>
      <c r="L35" s="711"/>
      <c r="M35" s="711"/>
      <c r="N35" s="711"/>
      <c r="O35" s="113"/>
      <c r="AP35" s="213"/>
      <c r="AQ35" s="213"/>
      <c r="AR35" s="213"/>
      <c r="AS35" s="271"/>
      <c r="AT35" s="271"/>
      <c r="AU35" s="244"/>
      <c r="AV35" s="244"/>
      <c r="AW35" s="244"/>
      <c r="AX35" s="244"/>
      <c r="AY35" s="244"/>
      <c r="AZ35" s="244"/>
      <c r="BA35" s="244"/>
      <c r="BB35" s="244"/>
      <c r="BC35" s="244"/>
      <c r="BD35" s="244"/>
      <c r="BE35" s="244"/>
      <c r="BF35" s="244"/>
      <c r="BG35" s="244"/>
      <c r="BH35" s="244"/>
      <c r="BI35" s="244"/>
      <c r="BJ35" s="244"/>
      <c r="BK35" s="244"/>
      <c r="BL35" s="244"/>
      <c r="BM35" s="244"/>
      <c r="BN35" s="244"/>
      <c r="BO35" s="244"/>
      <c r="BP35" s="244"/>
      <c r="BQ35" s="244"/>
      <c r="BR35" s="244"/>
      <c r="BS35" s="244"/>
      <c r="BT35" s="244"/>
      <c r="BU35" s="244"/>
      <c r="BV35" s="244"/>
      <c r="BW35" s="244"/>
      <c r="BX35" s="244"/>
      <c r="BY35" s="244"/>
      <c r="BZ35" s="244"/>
      <c r="CA35" s="244"/>
      <c r="CB35" s="244"/>
      <c r="CC35" s="244"/>
      <c r="CD35" s="244"/>
      <c r="CE35" s="244"/>
      <c r="CF35" s="244"/>
    </row>
    <row r="36" ht="18" customHeight="1">
      <c r="C36" s="114"/>
      <c r="D36" s="118"/>
      <c r="E36" s="118"/>
      <c r="F36" s="118"/>
      <c r="G36" s="118"/>
      <c r="H36" s="118"/>
      <c r="I36" s="711"/>
      <c r="J36" s="711"/>
      <c r="K36" s="711"/>
      <c r="L36" s="711"/>
      <c r="M36" s="711"/>
      <c r="N36" s="711"/>
      <c r="O36" s="113"/>
      <c r="AP36" s="213"/>
      <c r="AQ36" s="213"/>
      <c r="AR36" s="213"/>
      <c r="AS36" s="271"/>
      <c r="AT36" s="271"/>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4"/>
      <c r="BU36" s="244"/>
      <c r="BV36" s="244"/>
      <c r="BW36" s="244"/>
      <c r="BX36" s="244"/>
      <c r="BY36" s="244"/>
      <c r="BZ36" s="244"/>
      <c r="CA36" s="244"/>
      <c r="CB36" s="244"/>
      <c r="CC36" s="244"/>
      <c r="CD36" s="244"/>
      <c r="CE36" s="244"/>
      <c r="CF36" s="244"/>
    </row>
    <row r="37" ht="18" customHeight="1">
      <c r="C37" s="114"/>
      <c r="D37" s="118"/>
      <c r="E37" s="118"/>
      <c r="F37" s="118"/>
      <c r="G37" s="118"/>
      <c r="H37" s="118"/>
      <c r="I37" s="711"/>
      <c r="J37" s="711"/>
      <c r="K37" s="711"/>
      <c r="L37" s="711"/>
      <c r="M37" s="711"/>
      <c r="N37" s="711"/>
      <c r="O37" s="113"/>
      <c r="AP37" s="213"/>
      <c r="AQ37" s="213"/>
      <c r="AR37" s="213"/>
      <c r="AS37" s="271"/>
      <c r="AT37" s="271"/>
      <c r="AU37" s="244"/>
      <c r="AV37" s="244"/>
      <c r="AW37" s="244"/>
      <c r="AX37" s="244"/>
      <c r="AY37" s="244"/>
      <c r="AZ37" s="244"/>
      <c r="BA37" s="244"/>
      <c r="BB37" s="244"/>
      <c r="BC37" s="244"/>
      <c r="BD37" s="244"/>
      <c r="BE37" s="244"/>
      <c r="BF37" s="244"/>
      <c r="BG37" s="244"/>
      <c r="BH37" s="244"/>
      <c r="BI37" s="244"/>
      <c r="BJ37" s="244"/>
      <c r="BK37" s="244"/>
      <c r="BL37" s="244"/>
      <c r="BM37" s="244"/>
      <c r="BN37" s="244"/>
      <c r="BO37" s="244"/>
      <c r="BP37" s="244"/>
      <c r="BQ37" s="244"/>
      <c r="BR37" s="244"/>
      <c r="BS37" s="244"/>
      <c r="BT37" s="244"/>
      <c r="BU37" s="244"/>
      <c r="BV37" s="244"/>
      <c r="BW37" s="244"/>
      <c r="BX37" s="244"/>
      <c r="BY37" s="244"/>
      <c r="BZ37" s="244"/>
      <c r="CA37" s="244"/>
      <c r="CB37" s="244"/>
      <c r="CC37" s="244"/>
      <c r="CD37" s="244"/>
      <c r="CE37" s="244"/>
      <c r="CF37" s="244"/>
    </row>
    <row r="38" ht="18" customHeight="1">
      <c r="C38" s="114"/>
      <c r="D38" s="118"/>
      <c r="E38" s="118"/>
      <c r="F38" s="118"/>
      <c r="G38" s="118"/>
      <c r="H38" s="118"/>
      <c r="I38" s="711"/>
      <c r="J38" s="711"/>
      <c r="K38" s="711"/>
      <c r="L38" s="711"/>
      <c r="M38" s="711"/>
      <c r="N38" s="711"/>
      <c r="O38" s="113"/>
      <c r="AP38" s="213"/>
      <c r="AQ38" s="213"/>
      <c r="AR38" s="213"/>
      <c r="AS38" s="271"/>
      <c r="AT38" s="271"/>
      <c r="AU38" s="244"/>
      <c r="AV38" s="244"/>
      <c r="AW38" s="244"/>
      <c r="AX38" s="244"/>
      <c r="AY38" s="244"/>
      <c r="AZ38" s="244"/>
      <c r="BA38" s="244"/>
      <c r="BB38" s="244"/>
      <c r="BC38" s="244"/>
      <c r="BD38" s="244"/>
      <c r="BE38" s="244"/>
      <c r="BF38" s="244"/>
      <c r="BG38" s="244"/>
      <c r="BH38" s="244"/>
      <c r="BI38" s="244"/>
      <c r="BJ38" s="244"/>
      <c r="BK38" s="244"/>
      <c r="BL38" s="244"/>
      <c r="BM38" s="244"/>
      <c r="BN38" s="244"/>
      <c r="BO38" s="244"/>
      <c r="BP38" s="244"/>
      <c r="BQ38" s="244"/>
      <c r="BR38" s="244"/>
      <c r="BS38" s="244"/>
      <c r="BT38" s="244"/>
      <c r="BU38" s="244"/>
      <c r="BV38" s="244"/>
      <c r="BW38" s="244"/>
      <c r="BX38" s="244"/>
      <c r="BY38" s="244"/>
      <c r="BZ38" s="244"/>
      <c r="CA38" s="244"/>
      <c r="CB38" s="244"/>
      <c r="CC38" s="244"/>
      <c r="CD38" s="244"/>
      <c r="CE38" s="244"/>
      <c r="CF38" s="244"/>
    </row>
    <row r="39" ht="18" customHeight="1">
      <c r="C39" s="114"/>
      <c r="D39" s="118"/>
      <c r="E39" s="118"/>
      <c r="F39" s="118"/>
      <c r="G39" s="118"/>
      <c r="H39" s="118"/>
      <c r="I39" s="711"/>
      <c r="J39" s="711"/>
      <c r="K39" s="711"/>
      <c r="L39" s="711"/>
      <c r="M39" s="711"/>
      <c r="N39" s="711"/>
      <c r="O39" s="113"/>
      <c r="AP39" s="213"/>
      <c r="AQ39" s="213"/>
      <c r="AR39" s="213"/>
      <c r="AS39" s="271"/>
      <c r="AT39" s="271"/>
      <c r="AU39" s="244"/>
      <c r="AV39" s="244"/>
      <c r="AW39" s="244"/>
      <c r="AX39" s="244"/>
      <c r="AY39" s="244"/>
      <c r="AZ39" s="244"/>
      <c r="BA39" s="244"/>
      <c r="BB39" s="244"/>
      <c r="BC39" s="244"/>
      <c r="BD39" s="244"/>
      <c r="BE39" s="244"/>
      <c r="BF39" s="244"/>
      <c r="BG39" s="244"/>
      <c r="BH39" s="244"/>
      <c r="BI39" s="244"/>
      <c r="BJ39" s="244"/>
      <c r="BK39" s="244"/>
      <c r="BL39" s="244"/>
      <c r="BM39" s="244"/>
      <c r="BN39" s="244"/>
      <c r="BO39" s="244"/>
      <c r="BP39" s="244"/>
      <c r="BQ39" s="244"/>
      <c r="BR39" s="244"/>
      <c r="BS39" s="244"/>
      <c r="BT39" s="244"/>
      <c r="BU39" s="244"/>
      <c r="BV39" s="244"/>
      <c r="BW39" s="244"/>
      <c r="BX39" s="244"/>
      <c r="BY39" s="244"/>
      <c r="BZ39" s="244"/>
      <c r="CA39" s="244"/>
      <c r="CB39" s="244"/>
      <c r="CC39" s="244"/>
      <c r="CD39" s="244"/>
      <c r="CE39" s="244"/>
      <c r="CF39" s="244"/>
    </row>
    <row r="40" ht="18" customHeight="1">
      <c r="C40" s="114"/>
      <c r="D40" s="118"/>
      <c r="E40" s="118"/>
      <c r="F40" s="118"/>
      <c r="G40" s="118"/>
      <c r="H40" s="118"/>
      <c r="I40" s="711"/>
      <c r="J40" s="711"/>
      <c r="K40" s="711"/>
      <c r="L40" s="711"/>
      <c r="M40" s="711"/>
      <c r="N40" s="711"/>
      <c r="O40" s="113"/>
      <c r="AP40" s="213"/>
      <c r="AQ40" s="213"/>
      <c r="AR40" s="213"/>
      <c r="AS40" s="271"/>
      <c r="AT40" s="271"/>
      <c r="AU40" s="244"/>
      <c r="AV40" s="244"/>
      <c r="AW40" s="244"/>
      <c r="AX40" s="244"/>
      <c r="AY40" s="244"/>
      <c r="AZ40" s="244"/>
      <c r="BA40" s="244"/>
      <c r="BB40" s="244"/>
      <c r="BC40" s="244"/>
      <c r="BD40" s="244"/>
      <c r="BE40" s="244"/>
      <c r="BF40" s="244"/>
      <c r="BG40" s="244"/>
      <c r="BH40" s="244"/>
      <c r="BI40" s="244"/>
      <c r="BJ40" s="244"/>
      <c r="BK40" s="244"/>
      <c r="BL40" s="244"/>
      <c r="BM40" s="244"/>
      <c r="BN40" s="244"/>
      <c r="BO40" s="244"/>
      <c r="BP40" s="244"/>
      <c r="BQ40" s="244"/>
      <c r="BR40" s="244"/>
      <c r="BS40" s="244"/>
      <c r="BT40" s="244"/>
      <c r="BU40" s="244"/>
      <c r="BV40" s="244"/>
      <c r="BW40" s="244"/>
      <c r="BX40" s="244"/>
      <c r="BY40" s="244"/>
      <c r="BZ40" s="244"/>
      <c r="CA40" s="244"/>
      <c r="CB40" s="244"/>
      <c r="CC40" s="244"/>
      <c r="CD40" s="244"/>
      <c r="CE40" s="244"/>
      <c r="CF40" s="244"/>
    </row>
    <row r="41" ht="18" customHeight="1">
      <c r="C41" s="114"/>
      <c r="D41" s="118"/>
      <c r="E41" s="118"/>
      <c r="F41" s="118"/>
      <c r="G41" s="118"/>
      <c r="H41" s="118"/>
      <c r="I41" s="711"/>
      <c r="J41" s="711"/>
      <c r="K41" s="711"/>
      <c r="L41" s="711"/>
      <c r="M41" s="711"/>
      <c r="N41" s="711"/>
      <c r="O41" s="113"/>
      <c r="AP41" s="213"/>
      <c r="AQ41" s="213"/>
      <c r="AR41" s="213"/>
      <c r="AS41" s="271"/>
      <c r="AT41" s="271"/>
      <c r="AU41" s="244"/>
      <c r="AV41" s="244"/>
      <c r="AW41" s="244"/>
      <c r="AX41" s="244"/>
      <c r="AY41" s="244"/>
      <c r="AZ41" s="244"/>
      <c r="BA41" s="244"/>
      <c r="BB41" s="244"/>
      <c r="BC41" s="244"/>
      <c r="BD41" s="244"/>
      <c r="BE41" s="244"/>
      <c r="BF41" s="244"/>
      <c r="BG41" s="244"/>
      <c r="BH41" s="244"/>
      <c r="BI41" s="244"/>
      <c r="BJ41" s="244"/>
      <c r="BK41" s="244"/>
      <c r="BL41" s="244"/>
      <c r="BM41" s="244"/>
      <c r="BN41" s="244"/>
      <c r="BO41" s="244"/>
      <c r="BP41" s="244"/>
      <c r="BQ41" s="244"/>
      <c r="BR41" s="244"/>
      <c r="BS41" s="244"/>
      <c r="BT41" s="244"/>
      <c r="BU41" s="244"/>
      <c r="BV41" s="244"/>
      <c r="BW41" s="244"/>
      <c r="BX41" s="244"/>
      <c r="BY41" s="244"/>
      <c r="BZ41" s="244"/>
      <c r="CA41" s="244"/>
      <c r="CB41" s="244"/>
      <c r="CC41" s="244"/>
      <c r="CD41" s="244"/>
      <c r="CE41" s="244"/>
      <c r="CF41" s="244"/>
    </row>
    <row r="42" ht="0" hidden="1" customHeight="1">
      <c r="C42" s="114"/>
      <c r="D42" s="118"/>
      <c r="E42" s="118"/>
      <c r="F42" s="118"/>
      <c r="G42" s="118"/>
      <c r="H42" s="118"/>
      <c r="I42" s="711"/>
      <c r="J42" s="711"/>
      <c r="K42" s="711"/>
      <c r="L42" s="711"/>
      <c r="M42" s="711"/>
      <c r="N42" s="711"/>
      <c r="O42" s="113"/>
      <c r="AP42" s="213"/>
      <c r="AQ42" s="213"/>
      <c r="AR42" s="213"/>
      <c r="AS42" s="271"/>
      <c r="AT42" s="271"/>
      <c r="AU42" s="244"/>
      <c r="AV42" s="244"/>
      <c r="AW42" s="244"/>
      <c r="AX42" s="244"/>
      <c r="AY42" s="244"/>
      <c r="AZ42" s="244"/>
      <c r="BA42" s="244"/>
      <c r="BB42" s="244"/>
      <c r="BC42" s="244"/>
      <c r="BD42" s="244"/>
      <c r="BE42" s="244"/>
      <c r="BF42" s="244"/>
      <c r="BG42" s="244"/>
      <c r="BH42" s="244"/>
      <c r="BI42" s="244"/>
      <c r="BJ42" s="244"/>
      <c r="BK42" s="244"/>
      <c r="BL42" s="244"/>
      <c r="BM42" s="244"/>
      <c r="BN42" s="244"/>
      <c r="BO42" s="244"/>
      <c r="BP42" s="244"/>
      <c r="BQ42" s="244"/>
      <c r="BR42" s="244"/>
      <c r="BS42" s="244"/>
      <c r="BT42" s="244"/>
      <c r="BU42" s="244"/>
      <c r="BV42" s="244"/>
      <c r="BW42" s="244"/>
      <c r="BX42" s="244"/>
      <c r="BY42" s="244"/>
      <c r="BZ42" s="244"/>
      <c r="CA42" s="244"/>
      <c r="CB42" s="244"/>
      <c r="CC42" s="244"/>
      <c r="CD42" s="244"/>
      <c r="CE42" s="244"/>
      <c r="CF42" s="244"/>
    </row>
    <row r="43" ht="0" hidden="1" customHeight="1">
      <c r="C43" s="114"/>
      <c r="D43" s="118"/>
      <c r="E43" s="118"/>
      <c r="F43" s="118"/>
      <c r="G43" s="118"/>
      <c r="H43" s="118"/>
      <c r="I43" s="711"/>
      <c r="J43" s="711"/>
      <c r="K43" s="711"/>
      <c r="L43" s="711"/>
      <c r="M43" s="711"/>
      <c r="N43" s="711"/>
      <c r="O43" s="113"/>
      <c r="AP43" s="213"/>
      <c r="AQ43" s="213"/>
      <c r="AR43" s="213"/>
      <c r="AS43" s="271"/>
      <c r="AT43" s="271"/>
      <c r="AU43" s="244"/>
      <c r="AV43" s="244"/>
      <c r="AW43" s="244"/>
      <c r="AX43" s="244"/>
      <c r="AY43" s="244"/>
      <c r="AZ43" s="244"/>
      <c r="BA43" s="244"/>
      <c r="BB43" s="244"/>
      <c r="BC43" s="244"/>
      <c r="BD43" s="244"/>
      <c r="BE43" s="244"/>
      <c r="BF43" s="244"/>
      <c r="BG43" s="244"/>
      <c r="BH43" s="244"/>
      <c r="BI43" s="244"/>
      <c r="BJ43" s="244"/>
      <c r="BK43" s="244"/>
      <c r="BL43" s="244"/>
      <c r="BM43" s="244"/>
      <c r="BN43" s="244"/>
      <c r="BO43" s="244"/>
      <c r="BP43" s="244"/>
      <c r="BQ43" s="244"/>
      <c r="BR43" s="244"/>
      <c r="BS43" s="244"/>
      <c r="BT43" s="244"/>
      <c r="BU43" s="244"/>
      <c r="BV43" s="244"/>
      <c r="BW43" s="244"/>
      <c r="BX43" s="244"/>
      <c r="BY43" s="244"/>
      <c r="BZ43" s="244"/>
      <c r="CA43" s="244"/>
      <c r="CB43" s="244"/>
      <c r="CC43" s="244"/>
      <c r="CD43" s="244"/>
      <c r="CE43" s="244"/>
      <c r="CF43" s="244"/>
    </row>
    <row r="44" ht="0" hidden="1" customHeight="1">
      <c r="C44" s="114"/>
      <c r="D44" s="118"/>
      <c r="E44" s="118"/>
      <c r="F44" s="118"/>
      <c r="G44" s="118"/>
      <c r="H44" s="118"/>
      <c r="I44" s="711"/>
      <c r="J44" s="711"/>
      <c r="K44" s="711"/>
      <c r="L44" s="711"/>
      <c r="M44" s="711"/>
      <c r="N44" s="711"/>
      <c r="O44" s="113"/>
      <c r="AP44" s="213"/>
      <c r="AQ44" s="213"/>
      <c r="AR44" s="213"/>
      <c r="AS44" s="271"/>
      <c r="AT44" s="271"/>
      <c r="AU44" s="244"/>
      <c r="AV44" s="244"/>
      <c r="AW44" s="244"/>
      <c r="AX44" s="244"/>
      <c r="AY44" s="244"/>
      <c r="AZ44" s="244"/>
      <c r="BA44" s="244"/>
      <c r="BB44" s="244"/>
      <c r="BC44" s="244"/>
      <c r="BD44" s="244"/>
      <c r="BE44" s="244"/>
      <c r="BF44" s="244"/>
      <c r="BG44" s="244"/>
      <c r="BH44" s="244"/>
      <c r="BI44" s="244"/>
      <c r="BJ44" s="244"/>
      <c r="BK44" s="244"/>
      <c r="BL44" s="244"/>
      <c r="BM44" s="244"/>
      <c r="BN44" s="244"/>
      <c r="BO44" s="244"/>
      <c r="BP44" s="244"/>
      <c r="BQ44" s="244"/>
      <c r="BR44" s="244"/>
      <c r="BS44" s="244"/>
      <c r="BT44" s="244"/>
      <c r="BU44" s="244"/>
      <c r="BV44" s="244"/>
      <c r="BW44" s="244"/>
      <c r="BX44" s="244"/>
      <c r="BY44" s="244"/>
      <c r="BZ44" s="244"/>
      <c r="CA44" s="244"/>
      <c r="CB44" s="244"/>
      <c r="CC44" s="244"/>
      <c r="CD44" s="244"/>
      <c r="CE44" s="244"/>
      <c r="CF44" s="244"/>
    </row>
    <row r="45" ht="0" hidden="1" customHeight="1">
      <c r="C45" s="114"/>
      <c r="D45" s="118"/>
      <c r="E45" s="118"/>
      <c r="F45" s="118"/>
      <c r="G45" s="118"/>
      <c r="H45" s="118"/>
      <c r="I45" s="711"/>
      <c r="J45" s="711"/>
      <c r="K45" s="711"/>
      <c r="L45" s="711"/>
      <c r="M45" s="711"/>
      <c r="N45" s="711"/>
      <c r="O45" s="113"/>
      <c r="AP45" s="213"/>
      <c r="AQ45" s="213"/>
      <c r="AR45" s="213"/>
      <c r="AS45" s="271"/>
      <c r="AT45" s="271"/>
      <c r="AU45" s="244"/>
      <c r="AV45" s="244"/>
      <c r="AW45" s="244"/>
      <c r="AX45" s="244"/>
      <c r="AY45" s="244"/>
      <c r="AZ45" s="244"/>
      <c r="BA45" s="244"/>
      <c r="BB45" s="244"/>
      <c r="BC45" s="244"/>
      <c r="BD45" s="244"/>
      <c r="BE45" s="244"/>
      <c r="BF45" s="244"/>
      <c r="BG45" s="244"/>
      <c r="BH45" s="244"/>
      <c r="BI45" s="244"/>
      <c r="BJ45" s="244"/>
      <c r="BK45" s="244"/>
      <c r="BL45" s="244"/>
      <c r="BM45" s="244"/>
      <c r="BN45" s="244"/>
      <c r="BO45" s="244"/>
      <c r="BP45" s="244"/>
      <c r="BQ45" s="244"/>
      <c r="BR45" s="244"/>
      <c r="BS45" s="244"/>
      <c r="BT45" s="244"/>
      <c r="BU45" s="244"/>
      <c r="BV45" s="244"/>
      <c r="BW45" s="244"/>
      <c r="BX45" s="244"/>
      <c r="BY45" s="244"/>
      <c r="BZ45" s="244"/>
      <c r="CA45" s="244"/>
      <c r="CB45" s="244"/>
      <c r="CC45" s="244"/>
      <c r="CD45" s="244"/>
      <c r="CE45" s="244"/>
      <c r="CF45" s="244"/>
    </row>
    <row r="46" ht="0" hidden="1" customHeight="1">
      <c r="C46" s="114"/>
      <c r="D46" s="118"/>
      <c r="E46" s="118"/>
      <c r="F46" s="118"/>
      <c r="G46" s="118"/>
      <c r="H46" s="118"/>
      <c r="I46" s="711"/>
      <c r="J46" s="711"/>
      <c r="K46" s="711"/>
      <c r="L46" s="711"/>
      <c r="M46" s="711"/>
      <c r="N46" s="711"/>
      <c r="O46" s="113"/>
      <c r="AP46" s="213"/>
      <c r="AQ46" s="213"/>
      <c r="AR46" s="213"/>
      <c r="AS46" s="271"/>
      <c r="AT46" s="271"/>
      <c r="AU46" s="244"/>
      <c r="AV46" s="244"/>
      <c r="AW46" s="244"/>
      <c r="AX46" s="244"/>
      <c r="AY46" s="244"/>
      <c r="AZ46" s="244"/>
      <c r="BA46" s="244"/>
      <c r="BB46" s="244"/>
      <c r="BC46" s="244"/>
      <c r="BD46" s="244"/>
      <c r="BE46" s="244"/>
      <c r="BF46" s="244"/>
      <c r="BG46" s="244"/>
      <c r="BH46" s="244"/>
      <c r="BI46" s="244"/>
      <c r="BJ46" s="244"/>
      <c r="BK46" s="244"/>
      <c r="BL46" s="244"/>
      <c r="BM46" s="244"/>
      <c r="BN46" s="244"/>
      <c r="BO46" s="244"/>
      <c r="BP46" s="244"/>
      <c r="BQ46" s="244"/>
      <c r="BR46" s="244"/>
      <c r="BS46" s="244"/>
      <c r="BT46" s="244"/>
      <c r="BU46" s="244"/>
      <c r="BV46" s="244"/>
      <c r="BW46" s="244"/>
      <c r="BX46" s="244"/>
      <c r="BY46" s="244"/>
      <c r="BZ46" s="244"/>
      <c r="CA46" s="244"/>
      <c r="CB46" s="244"/>
      <c r="CC46" s="244"/>
      <c r="CD46" s="244"/>
      <c r="CE46" s="244"/>
      <c r="CF46" s="244"/>
    </row>
    <row r="47" ht="0" hidden="1" customHeight="1">
      <c r="C47" s="114"/>
      <c r="D47" s="118"/>
      <c r="E47" s="118"/>
      <c r="F47" s="118"/>
      <c r="G47" s="118"/>
      <c r="H47" s="118"/>
      <c r="I47" s="711"/>
      <c r="J47" s="711"/>
      <c r="K47" s="711"/>
      <c r="L47" s="711"/>
      <c r="M47" s="711"/>
      <c r="N47" s="711"/>
      <c r="O47" s="113"/>
      <c r="AP47" s="213"/>
      <c r="AQ47" s="213"/>
      <c r="AR47" s="213"/>
      <c r="AS47" s="271"/>
      <c r="AT47" s="271"/>
      <c r="AU47" s="244"/>
      <c r="AV47" s="244"/>
      <c r="AW47" s="244"/>
      <c r="AX47" s="244"/>
      <c r="AY47" s="244"/>
      <c r="AZ47" s="244"/>
      <c r="BA47" s="244"/>
      <c r="BB47" s="244"/>
      <c r="BC47" s="244"/>
      <c r="BD47" s="244"/>
      <c r="BE47" s="244"/>
      <c r="BF47" s="244"/>
      <c r="BG47" s="244"/>
      <c r="BH47" s="244"/>
      <c r="BI47" s="244"/>
      <c r="BJ47" s="244"/>
      <c r="BK47" s="244"/>
      <c r="BL47" s="244"/>
      <c r="BM47" s="244"/>
      <c r="BN47" s="244"/>
      <c r="BO47" s="244"/>
      <c r="BP47" s="244"/>
      <c r="BQ47" s="244"/>
      <c r="BR47" s="244"/>
      <c r="BS47" s="244"/>
      <c r="BT47" s="244"/>
      <c r="BU47" s="244"/>
      <c r="BV47" s="244"/>
      <c r="BW47" s="244"/>
      <c r="BX47" s="244"/>
      <c r="BY47" s="244"/>
      <c r="BZ47" s="244"/>
      <c r="CA47" s="244"/>
      <c r="CB47" s="244"/>
      <c r="CC47" s="244"/>
      <c r="CD47" s="244"/>
      <c r="CE47" s="244"/>
      <c r="CF47" s="244"/>
    </row>
    <row r="48" ht="0" hidden="1" customHeight="1">
      <c r="C48" s="114"/>
      <c r="D48" s="118"/>
      <c r="E48" s="118"/>
      <c r="F48" s="118"/>
      <c r="G48" s="118"/>
      <c r="H48" s="118"/>
      <c r="I48" s="711"/>
      <c r="J48" s="711"/>
      <c r="K48" s="711"/>
      <c r="L48" s="711"/>
      <c r="M48" s="711"/>
      <c r="N48" s="711"/>
      <c r="O48" s="113"/>
      <c r="AP48" s="213"/>
      <c r="AQ48" s="213"/>
      <c r="AR48" s="213"/>
      <c r="AS48" s="271"/>
      <c r="AT48" s="271"/>
      <c r="AU48" s="244"/>
      <c r="AV48" s="244"/>
      <c r="AW48" s="244"/>
      <c r="AX48" s="244"/>
      <c r="AY48" s="244"/>
      <c r="AZ48" s="244"/>
      <c r="BA48" s="244"/>
      <c r="BB48" s="244"/>
      <c r="BC48" s="244"/>
      <c r="BD48" s="244"/>
      <c r="BE48" s="244"/>
      <c r="BF48" s="244"/>
      <c r="BG48" s="244"/>
      <c r="BH48" s="244"/>
      <c r="BI48" s="244"/>
      <c r="BJ48" s="244"/>
      <c r="BK48" s="244"/>
      <c r="BL48" s="244"/>
      <c r="BM48" s="244"/>
      <c r="BN48" s="244"/>
      <c r="BO48" s="244"/>
      <c r="BP48" s="244"/>
      <c r="BQ48" s="244"/>
      <c r="BR48" s="244"/>
      <c r="BS48" s="244"/>
      <c r="BT48" s="244"/>
      <c r="BU48" s="244"/>
      <c r="BV48" s="244"/>
      <c r="BW48" s="244"/>
      <c r="BX48" s="244"/>
      <c r="BY48" s="244"/>
      <c r="BZ48" s="244"/>
      <c r="CA48" s="244"/>
      <c r="CB48" s="244"/>
      <c r="CC48" s="244"/>
      <c r="CD48" s="244"/>
      <c r="CE48" s="244"/>
      <c r="CF48" s="244"/>
    </row>
    <row r="49" ht="0" hidden="1" customHeight="1">
      <c r="C49" s="114"/>
      <c r="D49" s="118"/>
      <c r="E49" s="118"/>
      <c r="F49" s="118"/>
      <c r="G49" s="118"/>
      <c r="H49" s="118"/>
      <c r="I49" s="711"/>
      <c r="J49" s="711"/>
      <c r="K49" s="711"/>
      <c r="L49" s="711"/>
      <c r="M49" s="711"/>
      <c r="N49" s="711"/>
      <c r="O49" s="113"/>
      <c r="AP49" s="213"/>
      <c r="AQ49" s="213"/>
      <c r="AR49" s="213"/>
      <c r="AS49" s="271"/>
      <c r="AT49" s="271"/>
      <c r="AU49" s="244"/>
      <c r="AV49" s="244"/>
      <c r="AW49" s="244"/>
      <c r="AX49" s="244"/>
      <c r="AY49" s="244"/>
      <c r="AZ49" s="244"/>
      <c r="BA49" s="244"/>
      <c r="BB49" s="244"/>
      <c r="BC49" s="244"/>
      <c r="BD49" s="244"/>
      <c r="BE49" s="244"/>
      <c r="BF49" s="244"/>
      <c r="BG49" s="244"/>
      <c r="BH49" s="244"/>
      <c r="BI49" s="244"/>
      <c r="BJ49" s="244"/>
      <c r="BK49" s="244"/>
      <c r="BL49" s="244"/>
      <c r="BM49" s="244"/>
      <c r="BN49" s="244"/>
      <c r="BO49" s="244"/>
      <c r="BP49" s="244"/>
      <c r="BQ49" s="244"/>
      <c r="BR49" s="244"/>
      <c r="BS49" s="244"/>
      <c r="BT49" s="244"/>
      <c r="BU49" s="244"/>
      <c r="BV49" s="244"/>
      <c r="BW49" s="244"/>
      <c r="BX49" s="244"/>
      <c r="BY49" s="244"/>
      <c r="BZ49" s="244"/>
      <c r="CA49" s="244"/>
      <c r="CB49" s="244"/>
      <c r="CC49" s="244"/>
      <c r="CD49" s="244"/>
      <c r="CE49" s="244"/>
      <c r="CF49" s="244"/>
    </row>
    <row r="50" ht="0" hidden="1" customHeight="1">
      <c r="C50" s="114"/>
      <c r="D50" s="118"/>
      <c r="E50" s="118"/>
      <c r="F50" s="118"/>
      <c r="G50" s="118"/>
      <c r="H50" s="118"/>
      <c r="I50" s="711"/>
      <c r="J50" s="711"/>
      <c r="K50" s="711"/>
      <c r="L50" s="711"/>
      <c r="M50" s="711"/>
      <c r="N50" s="711"/>
      <c r="O50" s="113"/>
      <c r="AP50" s="213"/>
      <c r="AQ50" s="213"/>
      <c r="AR50" s="213"/>
      <c r="AS50" s="271"/>
      <c r="AT50" s="271"/>
      <c r="AU50" s="244"/>
      <c r="AV50" s="244"/>
      <c r="AW50" s="244"/>
      <c r="AX50" s="244"/>
      <c r="AY50" s="244"/>
      <c r="AZ50" s="244"/>
      <c r="BA50" s="244"/>
      <c r="BB50" s="244"/>
      <c r="BC50" s="244"/>
      <c r="BD50" s="244"/>
      <c r="BE50" s="244"/>
      <c r="BF50" s="244"/>
      <c r="BG50" s="244"/>
      <c r="BH50" s="244"/>
      <c r="BI50" s="244"/>
      <c r="BJ50" s="244"/>
      <c r="BK50" s="244"/>
      <c r="BL50" s="244"/>
      <c r="BM50" s="244"/>
      <c r="BN50" s="244"/>
      <c r="BO50" s="244"/>
      <c r="BP50" s="244"/>
      <c r="BQ50" s="244"/>
      <c r="BR50" s="244"/>
      <c r="BS50" s="244"/>
      <c r="BT50" s="244"/>
      <c r="BU50" s="244"/>
      <c r="BV50" s="244"/>
      <c r="BW50" s="244"/>
      <c r="BX50" s="244"/>
      <c r="BY50" s="244"/>
      <c r="BZ50" s="244"/>
      <c r="CA50" s="244"/>
      <c r="CB50" s="244"/>
      <c r="CC50" s="244"/>
      <c r="CD50" s="244"/>
      <c r="CE50" s="244"/>
      <c r="CF50" s="244"/>
    </row>
    <row r="51" ht="0" hidden="1" customHeight="1">
      <c r="C51" s="114"/>
      <c r="D51" s="118"/>
      <c r="E51" s="118"/>
      <c r="F51" s="118"/>
      <c r="G51" s="118"/>
      <c r="H51" s="118"/>
      <c r="I51" s="711"/>
      <c r="J51" s="711"/>
      <c r="K51" s="711"/>
      <c r="L51" s="711"/>
      <c r="M51" s="711"/>
      <c r="N51" s="711"/>
      <c r="O51" s="113"/>
      <c r="AP51" s="213"/>
      <c r="AQ51" s="213"/>
      <c r="AR51" s="213"/>
      <c r="AS51" s="271"/>
      <c r="AT51" s="271"/>
      <c r="AU51" s="244"/>
      <c r="AV51" s="244"/>
      <c r="AW51" s="244"/>
      <c r="AX51" s="244"/>
      <c r="AY51" s="244"/>
      <c r="AZ51" s="244"/>
      <c r="BA51" s="244"/>
      <c r="BB51" s="244"/>
      <c r="BC51" s="244"/>
      <c r="BD51" s="244"/>
      <c r="BE51" s="244"/>
      <c r="BF51" s="244"/>
      <c r="BG51" s="244"/>
      <c r="BH51" s="244"/>
      <c r="BI51" s="244"/>
      <c r="BJ51" s="244"/>
      <c r="BK51" s="244"/>
      <c r="BL51" s="244"/>
      <c r="BM51" s="244"/>
      <c r="BN51" s="244"/>
      <c r="BO51" s="244"/>
      <c r="BP51" s="244"/>
      <c r="BQ51" s="244"/>
      <c r="BR51" s="244"/>
      <c r="BS51" s="244"/>
      <c r="BT51" s="244"/>
      <c r="BU51" s="244"/>
      <c r="BV51" s="244"/>
      <c r="BW51" s="244"/>
      <c r="BX51" s="244"/>
      <c r="BY51" s="244"/>
      <c r="BZ51" s="244"/>
      <c r="CA51" s="244"/>
      <c r="CB51" s="244"/>
      <c r="CC51" s="244"/>
      <c r="CD51" s="244"/>
      <c r="CE51" s="244"/>
      <c r="CF51" s="244"/>
    </row>
    <row r="52" ht="0" hidden="1" customHeight="1">
      <c r="C52" s="114"/>
      <c r="D52" s="118"/>
      <c r="E52" s="118"/>
      <c r="F52" s="118"/>
      <c r="G52" s="118"/>
      <c r="H52" s="118"/>
      <c r="I52" s="711"/>
      <c r="J52" s="711"/>
      <c r="K52" s="711"/>
      <c r="L52" s="711"/>
      <c r="M52" s="711"/>
      <c r="N52" s="711"/>
      <c r="O52" s="113"/>
      <c r="AP52" s="213"/>
      <c r="AQ52" s="213"/>
      <c r="AR52" s="213"/>
      <c r="AS52" s="271"/>
      <c r="AT52" s="271"/>
      <c r="AU52" s="244"/>
      <c r="AV52" s="244"/>
      <c r="AW52" s="244"/>
      <c r="AX52" s="244"/>
      <c r="AY52" s="244"/>
      <c r="AZ52" s="244"/>
      <c r="BA52" s="244"/>
      <c r="BB52" s="244"/>
      <c r="BC52" s="244"/>
      <c r="BD52" s="244"/>
      <c r="BE52" s="244"/>
      <c r="BF52" s="244"/>
      <c r="BG52" s="244"/>
      <c r="BH52" s="244"/>
      <c r="BI52" s="244"/>
      <c r="BJ52" s="244"/>
      <c r="BK52" s="244"/>
      <c r="BL52" s="244"/>
      <c r="BM52" s="244"/>
      <c r="BN52" s="244"/>
      <c r="BO52" s="244"/>
      <c r="BP52" s="244"/>
      <c r="BQ52" s="244"/>
      <c r="BR52" s="244"/>
      <c r="BS52" s="244"/>
      <c r="BT52" s="244"/>
      <c r="BU52" s="244"/>
      <c r="BV52" s="244"/>
      <c r="BW52" s="244"/>
      <c r="BX52" s="244"/>
      <c r="BY52" s="244"/>
      <c r="BZ52" s="244"/>
      <c r="CA52" s="244"/>
      <c r="CB52" s="244"/>
      <c r="CC52" s="244"/>
      <c r="CD52" s="244"/>
      <c r="CE52" s="244"/>
      <c r="CF52" s="244"/>
    </row>
    <row r="53" ht="0" hidden="1" customHeight="1">
      <c r="C53" s="114"/>
      <c r="D53" s="118"/>
      <c r="E53" s="118"/>
      <c r="F53" s="118"/>
      <c r="G53" s="118"/>
      <c r="H53" s="118"/>
      <c r="I53" s="711"/>
      <c r="J53" s="711"/>
      <c r="K53" s="711"/>
      <c r="L53" s="711"/>
      <c r="M53" s="711"/>
      <c r="N53" s="711"/>
      <c r="O53" s="113"/>
      <c r="AP53" s="213"/>
      <c r="AQ53" s="213"/>
      <c r="AR53" s="213"/>
      <c r="AS53" s="271"/>
      <c r="AT53" s="271"/>
      <c r="AU53" s="244"/>
      <c r="AV53" s="244"/>
      <c r="AW53" s="244"/>
      <c r="AX53" s="244"/>
      <c r="AY53" s="244"/>
      <c r="AZ53" s="244"/>
      <c r="BA53" s="244"/>
      <c r="BB53" s="244"/>
      <c r="BC53" s="244"/>
      <c r="BD53" s="244"/>
      <c r="BE53" s="244"/>
      <c r="BF53" s="244"/>
      <c r="BG53" s="244"/>
      <c r="BH53" s="244"/>
      <c r="BI53" s="244"/>
      <c r="BJ53" s="244"/>
      <c r="BK53" s="244"/>
      <c r="BL53" s="244"/>
      <c r="BM53" s="244"/>
      <c r="BN53" s="244"/>
      <c r="BO53" s="244"/>
      <c r="BP53" s="244"/>
      <c r="BQ53" s="244"/>
      <c r="BR53" s="244"/>
      <c r="BS53" s="244"/>
      <c r="BT53" s="244"/>
      <c r="BU53" s="244"/>
      <c r="BV53" s="244"/>
      <c r="BW53" s="244"/>
      <c r="BX53" s="244"/>
      <c r="BY53" s="244"/>
      <c r="BZ53" s="244"/>
      <c r="CA53" s="244"/>
      <c r="CB53" s="244"/>
      <c r="CC53" s="244"/>
      <c r="CD53" s="244"/>
      <c r="CE53" s="244"/>
      <c r="CF53" s="244"/>
    </row>
    <row r="54" ht="0" hidden="1" customHeight="1">
      <c r="C54" s="114"/>
      <c r="D54" s="118"/>
      <c r="E54" s="118"/>
      <c r="F54" s="118"/>
      <c r="G54" s="118"/>
      <c r="H54" s="118"/>
      <c r="I54" s="711"/>
      <c r="J54" s="711"/>
      <c r="K54" s="711"/>
      <c r="L54" s="711"/>
      <c r="M54" s="711"/>
      <c r="N54" s="711"/>
      <c r="O54" s="113"/>
      <c r="AP54" s="213"/>
      <c r="AQ54" s="213"/>
      <c r="AR54" s="213"/>
      <c r="AS54" s="271"/>
      <c r="AT54" s="271"/>
      <c r="AU54" s="244"/>
      <c r="AV54" s="244"/>
      <c r="AW54" s="244"/>
      <c r="AX54" s="244"/>
      <c r="AY54" s="244"/>
      <c r="AZ54" s="244"/>
      <c r="BA54" s="244"/>
      <c r="BB54" s="244"/>
      <c r="BC54" s="244"/>
      <c r="BD54" s="244"/>
      <c r="BE54" s="244"/>
      <c r="BF54" s="244"/>
      <c r="BG54" s="244"/>
      <c r="BH54" s="244"/>
      <c r="BI54" s="244"/>
      <c r="BJ54" s="244"/>
      <c r="BK54" s="244"/>
      <c r="BL54" s="244"/>
      <c r="BM54" s="244"/>
      <c r="BN54" s="244"/>
      <c r="BO54" s="244"/>
      <c r="BP54" s="244"/>
      <c r="BQ54" s="244"/>
      <c r="BR54" s="244"/>
      <c r="BS54" s="244"/>
      <c r="BT54" s="244"/>
      <c r="BU54" s="244"/>
      <c r="BV54" s="244"/>
      <c r="BW54" s="244"/>
      <c r="BX54" s="244"/>
      <c r="BY54" s="244"/>
      <c r="BZ54" s="244"/>
      <c r="CA54" s="244"/>
      <c r="CB54" s="244"/>
      <c r="CC54" s="244"/>
      <c r="CD54" s="244"/>
      <c r="CE54" s="244"/>
      <c r="CF54" s="244"/>
    </row>
    <row r="55" ht="0" hidden="1" customHeight="1">
      <c r="C55" s="114"/>
      <c r="D55" s="118"/>
      <c r="E55" s="118"/>
      <c r="F55" s="118"/>
      <c r="G55" s="118"/>
      <c r="H55" s="118"/>
      <c r="I55" s="711"/>
      <c r="J55" s="711"/>
      <c r="K55" s="711"/>
      <c r="L55" s="711"/>
      <c r="M55" s="711"/>
      <c r="N55" s="711"/>
      <c r="O55" s="113"/>
      <c r="AP55" s="213"/>
      <c r="AQ55" s="213"/>
      <c r="AR55" s="213"/>
      <c r="AS55" s="271"/>
      <c r="AT55" s="271"/>
      <c r="AU55" s="244"/>
      <c r="AV55" s="244"/>
      <c r="AW55" s="244"/>
      <c r="AX55" s="244"/>
      <c r="AY55" s="244"/>
      <c r="AZ55" s="244"/>
      <c r="BA55" s="244"/>
      <c r="BB55" s="244"/>
      <c r="BC55" s="244"/>
      <c r="BD55" s="244"/>
      <c r="BE55" s="244"/>
      <c r="BF55" s="244"/>
      <c r="BG55" s="244"/>
      <c r="BH55" s="244"/>
      <c r="BI55" s="244"/>
      <c r="BJ55" s="244"/>
      <c r="BK55" s="244"/>
      <c r="BL55" s="244"/>
      <c r="BM55" s="244"/>
      <c r="BN55" s="244"/>
      <c r="BO55" s="244"/>
      <c r="BP55" s="244"/>
      <c r="BQ55" s="244"/>
      <c r="BR55" s="244"/>
      <c r="BS55" s="244"/>
      <c r="BT55" s="244"/>
      <c r="BU55" s="244"/>
      <c r="BV55" s="244"/>
      <c r="BW55" s="244"/>
      <c r="BX55" s="244"/>
      <c r="BY55" s="244"/>
      <c r="BZ55" s="244"/>
      <c r="CA55" s="244"/>
      <c r="CB55" s="244"/>
      <c r="CC55" s="244"/>
      <c r="CD55" s="244"/>
      <c r="CE55" s="244"/>
      <c r="CF55" s="244"/>
    </row>
    <row r="56" ht="0" hidden="1" customHeight="1">
      <c r="C56" s="114"/>
      <c r="D56" s="118"/>
      <c r="E56" s="118"/>
      <c r="F56" s="118"/>
      <c r="G56" s="118"/>
      <c r="H56" s="118"/>
      <c r="I56" s="711"/>
      <c r="J56" s="711"/>
      <c r="K56" s="711"/>
      <c r="L56" s="711"/>
      <c r="M56" s="711"/>
      <c r="N56" s="711"/>
      <c r="O56" s="113"/>
      <c r="AP56" s="213"/>
      <c r="AQ56" s="213"/>
      <c r="AR56" s="213"/>
      <c r="AS56" s="271"/>
      <c r="AT56" s="271"/>
      <c r="AU56" s="244"/>
      <c r="AV56" s="244"/>
      <c r="AW56" s="244"/>
      <c r="AX56" s="244"/>
      <c r="AY56" s="244"/>
      <c r="AZ56" s="244"/>
      <c r="BA56" s="244"/>
      <c r="BB56" s="244"/>
      <c r="BC56" s="244"/>
      <c r="BD56" s="244"/>
      <c r="BE56" s="244"/>
      <c r="BF56" s="244"/>
      <c r="BG56" s="244"/>
      <c r="BH56" s="244"/>
      <c r="BI56" s="244"/>
      <c r="BJ56" s="244"/>
      <c r="BK56" s="244"/>
      <c r="BL56" s="244"/>
      <c r="BM56" s="244"/>
      <c r="BN56" s="244"/>
      <c r="BO56" s="244"/>
      <c r="BP56" s="244"/>
      <c r="BQ56" s="244"/>
      <c r="BR56" s="244"/>
      <c r="BS56" s="244"/>
      <c r="BT56" s="244"/>
      <c r="BU56" s="244"/>
      <c r="BV56" s="244"/>
      <c r="BW56" s="244"/>
      <c r="BX56" s="244"/>
      <c r="BY56" s="244"/>
      <c r="BZ56" s="244"/>
      <c r="CA56" s="244"/>
      <c r="CB56" s="244"/>
      <c r="CC56" s="244"/>
      <c r="CD56" s="244"/>
      <c r="CE56" s="244"/>
      <c r="CF56" s="244"/>
    </row>
    <row r="57" ht="0" hidden="1" customHeight="1">
      <c r="C57" s="114"/>
      <c r="D57" s="118"/>
      <c r="E57" s="118"/>
      <c r="F57" s="118"/>
      <c r="G57" s="118"/>
      <c r="H57" s="118"/>
      <c r="I57" s="711"/>
      <c r="J57" s="711"/>
      <c r="K57" s="711"/>
      <c r="L57" s="711"/>
      <c r="M57" s="711"/>
      <c r="N57" s="711"/>
      <c r="O57" s="113"/>
      <c r="AP57" s="213"/>
      <c r="AQ57" s="213"/>
      <c r="AR57" s="213"/>
      <c r="AS57" s="271"/>
      <c r="AT57" s="271"/>
      <c r="AU57" s="244"/>
      <c r="AV57" s="244"/>
      <c r="AW57" s="244"/>
      <c r="AX57" s="244"/>
      <c r="AY57" s="244"/>
      <c r="AZ57" s="244"/>
      <c r="BA57" s="244"/>
      <c r="BB57" s="244"/>
      <c r="BC57" s="244"/>
      <c r="BD57" s="244"/>
      <c r="BE57" s="244"/>
      <c r="BF57" s="244"/>
      <c r="BG57" s="244"/>
      <c r="BH57" s="244"/>
      <c r="BI57" s="244"/>
      <c r="BJ57" s="244"/>
      <c r="BK57" s="244"/>
      <c r="BL57" s="244"/>
      <c r="BM57" s="244"/>
      <c r="BN57" s="244"/>
      <c r="BO57" s="244"/>
      <c r="BP57" s="244"/>
      <c r="BQ57" s="244"/>
      <c r="BR57" s="244"/>
      <c r="BS57" s="244"/>
      <c r="BT57" s="244"/>
      <c r="BU57" s="244"/>
      <c r="BV57" s="244"/>
      <c r="BW57" s="244"/>
      <c r="BX57" s="244"/>
      <c r="BY57" s="244"/>
      <c r="BZ57" s="244"/>
      <c r="CA57" s="244"/>
      <c r="CB57" s="244"/>
      <c r="CC57" s="244"/>
      <c r="CD57" s="244"/>
      <c r="CE57" s="244"/>
      <c r="CF57" s="244"/>
    </row>
    <row r="58" ht="0" hidden="1" customHeight="1">
      <c r="C58" s="114"/>
      <c r="D58" s="118"/>
      <c r="E58" s="118"/>
      <c r="F58" s="118"/>
      <c r="G58" s="118"/>
      <c r="H58" s="118"/>
      <c r="I58" s="711"/>
      <c r="J58" s="711"/>
      <c r="K58" s="711"/>
      <c r="L58" s="711"/>
      <c r="M58" s="711"/>
      <c r="N58" s="711"/>
      <c r="O58" s="113"/>
      <c r="AP58" s="213"/>
      <c r="AQ58" s="213"/>
      <c r="AR58" s="213"/>
      <c r="AS58" s="271"/>
      <c r="AT58" s="271"/>
      <c r="AU58" s="244"/>
      <c r="AV58" s="244"/>
      <c r="AW58" s="244"/>
      <c r="AX58" s="244"/>
      <c r="AY58" s="244"/>
      <c r="AZ58" s="244"/>
      <c r="BA58" s="244"/>
      <c r="BB58" s="244"/>
      <c r="BC58" s="244"/>
      <c r="BD58" s="244"/>
      <c r="BE58" s="244"/>
      <c r="BF58" s="244"/>
      <c r="BG58" s="244"/>
      <c r="BH58" s="244"/>
      <c r="BI58" s="244"/>
      <c r="BJ58" s="244"/>
      <c r="BK58" s="244"/>
      <c r="BL58" s="244"/>
      <c r="BM58" s="244"/>
      <c r="BN58" s="244"/>
      <c r="BO58" s="244"/>
      <c r="BP58" s="244"/>
      <c r="BQ58" s="244"/>
      <c r="BR58" s="244"/>
      <c r="BS58" s="244"/>
      <c r="BT58" s="244"/>
      <c r="BU58" s="244"/>
      <c r="BV58" s="244"/>
      <c r="BW58" s="244"/>
      <c r="BX58" s="244"/>
      <c r="BY58" s="244"/>
      <c r="BZ58" s="244"/>
      <c r="CA58" s="244"/>
      <c r="CB58" s="244"/>
      <c r="CC58" s="244"/>
      <c r="CD58" s="244"/>
      <c r="CE58" s="244"/>
      <c r="CF58" s="244"/>
    </row>
    <row r="59" ht="0" hidden="1" customHeight="1">
      <c r="C59" s="114"/>
      <c r="D59" s="118"/>
      <c r="E59" s="118"/>
      <c r="F59" s="118"/>
      <c r="G59" s="118"/>
      <c r="H59" s="118"/>
      <c r="I59" s="711"/>
      <c r="J59" s="711"/>
      <c r="K59" s="711"/>
      <c r="L59" s="711"/>
      <c r="M59" s="711"/>
      <c r="N59" s="711"/>
      <c r="O59" s="113"/>
      <c r="AP59" s="213"/>
      <c r="AQ59" s="213"/>
      <c r="AR59" s="213"/>
      <c r="AS59" s="271"/>
      <c r="AT59" s="271"/>
      <c r="AU59" s="244"/>
      <c r="AV59" s="244"/>
      <c r="AW59" s="244"/>
      <c r="AX59" s="244"/>
      <c r="AY59" s="244"/>
      <c r="AZ59" s="244"/>
      <c r="BA59" s="244"/>
      <c r="BB59" s="244"/>
      <c r="BC59" s="244"/>
      <c r="BD59" s="244"/>
      <c r="BE59" s="244"/>
      <c r="BF59" s="244"/>
      <c r="BG59" s="244"/>
      <c r="BH59" s="244"/>
      <c r="BI59" s="244"/>
      <c r="BJ59" s="244"/>
      <c r="BK59" s="244"/>
      <c r="BL59" s="244"/>
      <c r="BM59" s="244"/>
      <c r="BN59" s="244"/>
      <c r="BO59" s="244"/>
      <c r="BP59" s="244"/>
      <c r="BQ59" s="244"/>
      <c r="BR59" s="244"/>
      <c r="BS59" s="244"/>
      <c r="BT59" s="244"/>
      <c r="BU59" s="244"/>
      <c r="BV59" s="244"/>
      <c r="BW59" s="244"/>
      <c r="BX59" s="244"/>
      <c r="BY59" s="244"/>
      <c r="BZ59" s="244"/>
      <c r="CA59" s="244"/>
      <c r="CB59" s="244"/>
      <c r="CC59" s="244"/>
      <c r="CD59" s="244"/>
      <c r="CE59" s="244"/>
      <c r="CF59" s="244"/>
    </row>
    <row r="60" ht="0" hidden="1" customHeight="1">
      <c r="C60" s="114"/>
      <c r="D60" s="118"/>
      <c r="E60" s="118"/>
      <c r="F60" s="118"/>
      <c r="G60" s="118"/>
      <c r="H60" s="118"/>
      <c r="I60" s="711"/>
      <c r="J60" s="711"/>
      <c r="K60" s="711"/>
      <c r="L60" s="711"/>
      <c r="M60" s="711"/>
      <c r="N60" s="711"/>
      <c r="O60" s="113"/>
      <c r="AP60" s="213"/>
      <c r="AQ60" s="213"/>
      <c r="AR60" s="213"/>
      <c r="AS60" s="271"/>
      <c r="AT60" s="271"/>
      <c r="AU60" s="244"/>
      <c r="AV60" s="244"/>
      <c r="AW60" s="244"/>
      <c r="AX60" s="244"/>
      <c r="AY60" s="244"/>
      <c r="AZ60" s="244"/>
      <c r="BA60" s="244"/>
      <c r="BB60" s="244"/>
      <c r="BC60" s="244"/>
      <c r="BD60" s="244"/>
      <c r="BE60" s="244"/>
      <c r="BF60" s="244"/>
      <c r="BG60" s="244"/>
      <c r="BH60" s="244"/>
      <c r="BI60" s="244"/>
      <c r="BJ60" s="244"/>
      <c r="BK60" s="244"/>
      <c r="BL60" s="244"/>
      <c r="BM60" s="244"/>
      <c r="BN60" s="244"/>
      <c r="BO60" s="244"/>
      <c r="BP60" s="244"/>
      <c r="BQ60" s="244"/>
      <c r="BR60" s="244"/>
      <c r="BS60" s="244"/>
      <c r="BT60" s="244"/>
      <c r="BU60" s="244"/>
      <c r="BV60" s="244"/>
      <c r="BW60" s="244"/>
      <c r="BX60" s="244"/>
      <c r="BY60" s="244"/>
      <c r="BZ60" s="244"/>
      <c r="CA60" s="244"/>
      <c r="CB60" s="244"/>
      <c r="CC60" s="244"/>
      <c r="CD60" s="244"/>
      <c r="CE60" s="244"/>
      <c r="CF60" s="244"/>
    </row>
    <row r="61" ht="0" hidden="1" customHeight="1">
      <c r="C61" s="114"/>
      <c r="D61" s="118"/>
      <c r="E61" s="118"/>
      <c r="F61" s="118"/>
      <c r="G61" s="118"/>
      <c r="H61" s="118"/>
      <c r="I61" s="711"/>
      <c r="J61" s="711"/>
      <c r="K61" s="711"/>
      <c r="L61" s="711"/>
      <c r="M61" s="711"/>
      <c r="N61" s="711"/>
      <c r="O61" s="113"/>
      <c r="AP61" s="213"/>
      <c r="AQ61" s="213"/>
      <c r="AR61" s="213"/>
      <c r="AS61" s="271"/>
      <c r="AT61" s="271"/>
      <c r="AU61" s="244"/>
      <c r="AV61" s="244"/>
      <c r="AW61" s="244"/>
      <c r="AX61" s="244"/>
      <c r="AY61" s="244"/>
      <c r="AZ61" s="244"/>
      <c r="BA61" s="244"/>
      <c r="BB61" s="244"/>
      <c r="BC61" s="244"/>
      <c r="BD61" s="244"/>
      <c r="BE61" s="244"/>
      <c r="BF61" s="244"/>
      <c r="BG61" s="244"/>
      <c r="BH61" s="244"/>
      <c r="BI61" s="244"/>
      <c r="BJ61" s="244"/>
      <c r="BK61" s="244"/>
      <c r="BL61" s="244"/>
      <c r="BM61" s="244"/>
      <c r="BN61" s="244"/>
      <c r="BO61" s="244"/>
      <c r="BP61" s="244"/>
      <c r="BQ61" s="244"/>
      <c r="BR61" s="244"/>
      <c r="BS61" s="244"/>
      <c r="BT61" s="244"/>
      <c r="BU61" s="244"/>
      <c r="BV61" s="244"/>
      <c r="BW61" s="244"/>
      <c r="BX61" s="244"/>
      <c r="BY61" s="244"/>
      <c r="BZ61" s="244"/>
      <c r="CA61" s="244"/>
      <c r="CB61" s="244"/>
      <c r="CC61" s="244"/>
      <c r="CD61" s="244"/>
      <c r="CE61" s="244"/>
      <c r="CF61" s="244"/>
    </row>
    <row r="62" ht="0" hidden="1" customHeight="1">
      <c r="C62" s="114"/>
      <c r="D62" s="118"/>
      <c r="E62" s="118"/>
      <c r="F62" s="118"/>
      <c r="G62" s="118"/>
      <c r="H62" s="118"/>
      <c r="I62" s="711"/>
      <c r="J62" s="711"/>
      <c r="K62" s="711"/>
      <c r="L62" s="711"/>
      <c r="M62" s="711"/>
      <c r="N62" s="711"/>
      <c r="O62" s="113"/>
      <c r="AP62" s="213"/>
      <c r="AQ62" s="213"/>
      <c r="AR62" s="213"/>
      <c r="AS62" s="271"/>
      <c r="AT62" s="271"/>
      <c r="AU62" s="244"/>
      <c r="AV62" s="244"/>
      <c r="AW62" s="244"/>
      <c r="AX62" s="244"/>
      <c r="AY62" s="244"/>
      <c r="AZ62" s="244"/>
      <c r="BA62" s="244"/>
      <c r="BB62" s="244"/>
      <c r="BC62" s="244"/>
      <c r="BD62" s="244"/>
      <c r="BE62" s="244"/>
      <c r="BF62" s="244"/>
      <c r="BG62" s="244"/>
      <c r="BH62" s="244"/>
      <c r="BI62" s="244"/>
      <c r="BJ62" s="244"/>
      <c r="BK62" s="244"/>
      <c r="BL62" s="244"/>
      <c r="BM62" s="244"/>
      <c r="BN62" s="244"/>
      <c r="BO62" s="244"/>
      <c r="BP62" s="244"/>
      <c r="BQ62" s="244"/>
      <c r="BR62" s="244"/>
      <c r="BS62" s="244"/>
      <c r="BT62" s="244"/>
      <c r="BU62" s="244"/>
      <c r="BV62" s="244"/>
      <c r="BW62" s="244"/>
      <c r="BX62" s="244"/>
      <c r="BY62" s="244"/>
      <c r="BZ62" s="244"/>
      <c r="CA62" s="244"/>
      <c r="CB62" s="244"/>
      <c r="CC62" s="244"/>
      <c r="CD62" s="244"/>
      <c r="CE62" s="244"/>
      <c r="CF62" s="244"/>
    </row>
    <row r="63" ht="0" hidden="1" customHeight="1">
      <c r="C63" s="114"/>
      <c r="D63" s="118"/>
      <c r="E63" s="118"/>
      <c r="F63" s="118"/>
      <c r="G63" s="118"/>
      <c r="H63" s="118"/>
      <c r="I63" s="711"/>
      <c r="J63" s="711"/>
      <c r="K63" s="711"/>
      <c r="L63" s="711"/>
      <c r="M63" s="711"/>
      <c r="N63" s="711"/>
      <c r="O63" s="113"/>
      <c r="AP63" s="213"/>
      <c r="AQ63" s="213"/>
      <c r="AR63" s="213"/>
      <c r="AS63" s="271"/>
      <c r="AT63" s="271"/>
      <c r="AU63" s="244"/>
      <c r="AV63" s="244"/>
      <c r="AW63" s="244"/>
      <c r="AX63" s="244"/>
      <c r="AY63" s="244"/>
      <c r="AZ63" s="244"/>
      <c r="BA63" s="244"/>
      <c r="BB63" s="244"/>
      <c r="BC63" s="244"/>
      <c r="BD63" s="244"/>
      <c r="BE63" s="244"/>
      <c r="BF63" s="244"/>
      <c r="BG63" s="244"/>
      <c r="BH63" s="244"/>
      <c r="BI63" s="244"/>
      <c r="BJ63" s="244"/>
      <c r="BK63" s="244"/>
      <c r="BL63" s="244"/>
      <c r="BM63" s="244"/>
      <c r="BN63" s="244"/>
      <c r="BO63" s="244"/>
      <c r="BP63" s="244"/>
      <c r="BQ63" s="244"/>
      <c r="BR63" s="244"/>
      <c r="BS63" s="244"/>
      <c r="BT63" s="244"/>
      <c r="BU63" s="244"/>
      <c r="BV63" s="244"/>
      <c r="BW63" s="244"/>
      <c r="BX63" s="244"/>
      <c r="BY63" s="244"/>
      <c r="BZ63" s="244"/>
      <c r="CA63" s="244"/>
      <c r="CB63" s="244"/>
      <c r="CC63" s="244"/>
      <c r="CD63" s="244"/>
      <c r="CE63" s="244"/>
      <c r="CF63" s="244"/>
    </row>
    <row r="64" ht="0" hidden="1" customHeight="1">
      <c r="C64" s="114"/>
      <c r="D64" s="118"/>
      <c r="E64" s="118"/>
      <c r="F64" s="118"/>
      <c r="G64" s="118"/>
      <c r="H64" s="118"/>
      <c r="I64" s="711"/>
      <c r="J64" s="711"/>
      <c r="K64" s="711"/>
      <c r="L64" s="711"/>
      <c r="M64" s="711"/>
      <c r="N64" s="711"/>
      <c r="O64" s="113"/>
      <c r="AP64" s="213"/>
      <c r="AQ64" s="213"/>
      <c r="AR64" s="213"/>
      <c r="AS64" s="271"/>
      <c r="AT64" s="271"/>
      <c r="AU64" s="244"/>
      <c r="AV64" s="244"/>
      <c r="AW64" s="244"/>
      <c r="AX64" s="244"/>
      <c r="AY64" s="244"/>
      <c r="AZ64" s="244"/>
      <c r="BA64" s="244"/>
      <c r="BB64" s="244"/>
      <c r="BC64" s="244"/>
      <c r="BD64" s="244"/>
      <c r="BE64" s="244"/>
      <c r="BF64" s="244"/>
      <c r="BG64" s="244"/>
      <c r="BH64" s="244"/>
      <c r="BI64" s="244"/>
      <c r="BJ64" s="244"/>
      <c r="BK64" s="244"/>
      <c r="BL64" s="244"/>
      <c r="BM64" s="244"/>
      <c r="BN64" s="244"/>
      <c r="BO64" s="244"/>
      <c r="BP64" s="244"/>
      <c r="BQ64" s="244"/>
      <c r="BR64" s="244"/>
      <c r="BS64" s="244"/>
      <c r="BT64" s="244"/>
      <c r="BU64" s="244"/>
      <c r="BV64" s="244"/>
      <c r="BW64" s="244"/>
      <c r="BX64" s="244"/>
      <c r="BY64" s="244"/>
      <c r="BZ64" s="244"/>
      <c r="CA64" s="244"/>
      <c r="CB64" s="244"/>
      <c r="CC64" s="244"/>
      <c r="CD64" s="244"/>
      <c r="CE64" s="244"/>
      <c r="CF64" s="244"/>
    </row>
    <row r="65" ht="0" hidden="1" customHeight="1">
      <c r="C65" s="114"/>
      <c r="D65" s="118"/>
      <c r="E65" s="118"/>
      <c r="F65" s="118"/>
      <c r="G65" s="118"/>
      <c r="H65" s="118"/>
      <c r="I65" s="711"/>
      <c r="J65" s="711"/>
      <c r="K65" s="711"/>
      <c r="L65" s="711"/>
      <c r="M65" s="711"/>
      <c r="N65" s="711"/>
      <c r="O65" s="113"/>
      <c r="AP65" s="213"/>
      <c r="AQ65" s="213"/>
      <c r="AR65" s="213"/>
      <c r="AS65" s="271"/>
      <c r="AT65" s="271"/>
      <c r="AU65" s="244"/>
      <c r="AV65" s="244"/>
      <c r="AW65" s="244"/>
      <c r="AX65" s="244"/>
      <c r="AY65" s="244"/>
      <c r="AZ65" s="244"/>
      <c r="BA65" s="244"/>
      <c r="BB65" s="244"/>
      <c r="BC65" s="244"/>
      <c r="BD65" s="244"/>
      <c r="BE65" s="244"/>
      <c r="BF65" s="244"/>
      <c r="BG65" s="244"/>
      <c r="BH65" s="244"/>
      <c r="BI65" s="244"/>
      <c r="BJ65" s="244"/>
      <c r="BK65" s="244"/>
      <c r="BL65" s="244"/>
      <c r="BM65" s="244"/>
      <c r="BN65" s="244"/>
      <c r="BO65" s="244"/>
      <c r="BP65" s="244"/>
      <c r="BQ65" s="244"/>
      <c r="BR65" s="244"/>
      <c r="BS65" s="244"/>
      <c r="BT65" s="244"/>
      <c r="BU65" s="244"/>
      <c r="BV65" s="244"/>
      <c r="BW65" s="244"/>
      <c r="BX65" s="244"/>
      <c r="BY65" s="244"/>
      <c r="BZ65" s="244"/>
      <c r="CA65" s="244"/>
      <c r="CB65" s="244"/>
      <c r="CC65" s="244"/>
      <c r="CD65" s="244"/>
      <c r="CE65" s="244"/>
      <c r="CF65" s="244"/>
    </row>
    <row r="66" ht="0" hidden="1" customHeight="1">
      <c r="C66" s="114"/>
      <c r="D66" s="118"/>
      <c r="E66" s="118"/>
      <c r="F66" s="118"/>
      <c r="G66" s="118"/>
      <c r="H66" s="118"/>
      <c r="I66" s="711"/>
      <c r="J66" s="711"/>
      <c r="K66" s="711"/>
      <c r="L66" s="711"/>
      <c r="M66" s="711"/>
      <c r="N66" s="711"/>
      <c r="O66" s="113"/>
      <c r="AP66" s="213"/>
      <c r="AQ66" s="213"/>
      <c r="AR66" s="213"/>
      <c r="AS66" s="271"/>
      <c r="AT66" s="271"/>
      <c r="AU66" s="244"/>
      <c r="AV66" s="244"/>
      <c r="AW66" s="244"/>
      <c r="AX66" s="244"/>
      <c r="AY66" s="244"/>
      <c r="AZ66" s="244"/>
      <c r="BA66" s="244"/>
      <c r="BB66" s="244"/>
      <c r="BC66" s="244"/>
      <c r="BD66" s="244"/>
      <c r="BE66" s="244"/>
      <c r="BF66" s="244"/>
      <c r="BG66" s="244"/>
      <c r="BH66" s="244"/>
      <c r="BI66" s="244"/>
      <c r="BJ66" s="244"/>
      <c r="BK66" s="244"/>
      <c r="BL66" s="244"/>
      <c r="BM66" s="244"/>
      <c r="BN66" s="244"/>
      <c r="BO66" s="244"/>
      <c r="BP66" s="244"/>
      <c r="BQ66" s="244"/>
      <c r="BR66" s="244"/>
      <c r="BS66" s="244"/>
      <c r="BT66" s="244"/>
      <c r="BU66" s="244"/>
      <c r="BV66" s="244"/>
      <c r="BW66" s="244"/>
      <c r="BX66" s="244"/>
      <c r="BY66" s="244"/>
      <c r="BZ66" s="244"/>
      <c r="CA66" s="244"/>
      <c r="CB66" s="244"/>
      <c r="CC66" s="244"/>
      <c r="CD66" s="244"/>
      <c r="CE66" s="244"/>
      <c r="CF66" s="244"/>
    </row>
    <row r="67" ht="0" hidden="1" customHeight="1">
      <c r="C67" s="114"/>
      <c r="D67" s="118"/>
      <c r="E67" s="118"/>
      <c r="F67" s="118"/>
      <c r="G67" s="118"/>
      <c r="H67" s="118"/>
      <c r="I67" s="711"/>
      <c r="J67" s="711"/>
      <c r="K67" s="711"/>
      <c r="L67" s="711"/>
      <c r="M67" s="711"/>
      <c r="N67" s="711"/>
      <c r="O67" s="113"/>
      <c r="AP67" s="213"/>
      <c r="AQ67" s="213"/>
      <c r="AR67" s="213"/>
      <c r="AS67" s="271"/>
      <c r="AT67" s="271"/>
      <c r="AU67" s="244"/>
      <c r="AV67" s="244"/>
      <c r="AW67" s="244"/>
      <c r="AX67" s="244"/>
      <c r="AY67" s="244"/>
      <c r="AZ67" s="244"/>
      <c r="BA67" s="244"/>
      <c r="BB67" s="244"/>
      <c r="BC67" s="244"/>
      <c r="BD67" s="244"/>
      <c r="BE67" s="244"/>
      <c r="BF67" s="244"/>
      <c r="BG67" s="244"/>
      <c r="BH67" s="244"/>
      <c r="BI67" s="244"/>
      <c r="BJ67" s="244"/>
      <c r="BK67" s="244"/>
      <c r="BL67" s="244"/>
      <c r="BM67" s="244"/>
      <c r="BN67" s="244"/>
      <c r="BO67" s="244"/>
      <c r="BP67" s="244"/>
      <c r="BQ67" s="244"/>
      <c r="BR67" s="244"/>
      <c r="BS67" s="244"/>
      <c r="BT67" s="244"/>
      <c r="BU67" s="244"/>
      <c r="BV67" s="244"/>
      <c r="BW67" s="244"/>
      <c r="BX67" s="244"/>
      <c r="BY67" s="244"/>
      <c r="BZ67" s="244"/>
      <c r="CA67" s="244"/>
      <c r="CB67" s="244"/>
      <c r="CC67" s="244"/>
      <c r="CD67" s="244"/>
      <c r="CE67" s="244"/>
      <c r="CF67" s="244"/>
    </row>
    <row r="68" ht="0" hidden="1" customHeight="1">
      <c r="C68" s="114"/>
      <c r="D68" s="118"/>
      <c r="E68" s="118"/>
      <c r="F68" s="118"/>
      <c r="G68" s="118"/>
      <c r="H68" s="118"/>
      <c r="I68" s="711"/>
      <c r="J68" s="711"/>
      <c r="K68" s="711"/>
      <c r="L68" s="711"/>
      <c r="M68" s="711"/>
      <c r="N68" s="711"/>
      <c r="O68" s="113"/>
      <c r="AP68" s="213"/>
      <c r="AQ68" s="213"/>
      <c r="AR68" s="213"/>
      <c r="AS68" s="271"/>
      <c r="AT68" s="271"/>
      <c r="AU68" s="244"/>
      <c r="AV68" s="244"/>
      <c r="AW68" s="244"/>
      <c r="AX68" s="244"/>
      <c r="AY68" s="244"/>
      <c r="AZ68" s="244"/>
      <c r="BA68" s="244"/>
      <c r="BB68" s="244"/>
      <c r="BC68" s="244"/>
      <c r="BD68" s="244"/>
      <c r="BE68" s="244"/>
      <c r="BF68" s="244"/>
      <c r="BG68" s="244"/>
      <c r="BH68" s="244"/>
      <c r="BI68" s="244"/>
      <c r="BJ68" s="244"/>
      <c r="BK68" s="244"/>
      <c r="BL68" s="244"/>
      <c r="BM68" s="244"/>
      <c r="BN68" s="244"/>
      <c r="BO68" s="244"/>
      <c r="BP68" s="244"/>
      <c r="BQ68" s="244"/>
      <c r="BR68" s="244"/>
      <c r="BS68" s="244"/>
      <c r="BT68" s="244"/>
      <c r="BU68" s="244"/>
      <c r="BV68" s="244"/>
      <c r="BW68" s="244"/>
      <c r="BX68" s="244"/>
      <c r="BY68" s="244"/>
      <c r="BZ68" s="244"/>
      <c r="CA68" s="244"/>
      <c r="CB68" s="244"/>
      <c r="CC68" s="244"/>
      <c r="CD68" s="244"/>
      <c r="CE68" s="244"/>
      <c r="CF68" s="244"/>
    </row>
    <row r="69" ht="0" hidden="1" customHeight="1">
      <c r="C69" s="114"/>
      <c r="D69" s="118"/>
      <c r="E69" s="118"/>
      <c r="F69" s="118"/>
      <c r="G69" s="118"/>
      <c r="H69" s="118"/>
      <c r="I69" s="711"/>
      <c r="J69" s="711"/>
      <c r="K69" s="711"/>
      <c r="L69" s="711"/>
      <c r="M69" s="711"/>
      <c r="N69" s="711"/>
      <c r="O69" s="113"/>
      <c r="AP69" s="213"/>
      <c r="AQ69" s="213"/>
      <c r="AR69" s="213"/>
      <c r="AS69" s="271"/>
      <c r="AT69" s="271"/>
      <c r="AU69" s="244"/>
      <c r="AV69" s="244"/>
      <c r="AW69" s="244"/>
      <c r="AX69" s="244"/>
      <c r="AY69" s="244"/>
      <c r="AZ69" s="244"/>
      <c r="BA69" s="244"/>
      <c r="BB69" s="244"/>
      <c r="BC69" s="244"/>
      <c r="BD69" s="244"/>
      <c r="BE69" s="244"/>
      <c r="BF69" s="244"/>
      <c r="BG69" s="244"/>
      <c r="BH69" s="244"/>
      <c r="BI69" s="244"/>
      <c r="BJ69" s="244"/>
      <c r="BK69" s="244"/>
      <c r="BL69" s="244"/>
      <c r="BM69" s="244"/>
      <c r="BN69" s="244"/>
      <c r="BO69" s="244"/>
      <c r="BP69" s="244"/>
      <c r="BQ69" s="244"/>
      <c r="BR69" s="244"/>
      <c r="BS69" s="244"/>
      <c r="BT69" s="244"/>
      <c r="BU69" s="244"/>
      <c r="BV69" s="244"/>
      <c r="BW69" s="244"/>
      <c r="BX69" s="244"/>
      <c r="BY69" s="244"/>
      <c r="BZ69" s="244"/>
      <c r="CA69" s="244"/>
      <c r="CB69" s="244"/>
      <c r="CC69" s="244"/>
      <c r="CD69" s="244"/>
      <c r="CE69" s="244"/>
      <c r="CF69" s="244"/>
    </row>
    <row r="70" ht="0" hidden="1" customHeight="1">
      <c r="C70" s="114"/>
      <c r="D70" s="118"/>
      <c r="E70" s="118"/>
      <c r="F70" s="118"/>
      <c r="G70" s="118"/>
      <c r="H70" s="118"/>
      <c r="I70" s="711"/>
      <c r="J70" s="711"/>
      <c r="K70" s="711"/>
      <c r="L70" s="711"/>
      <c r="M70" s="711"/>
      <c r="N70" s="711"/>
      <c r="O70" s="113"/>
      <c r="AP70" s="213"/>
      <c r="AQ70" s="213"/>
      <c r="AR70" s="213"/>
      <c r="AS70" s="271"/>
      <c r="AT70" s="271"/>
      <c r="AU70" s="244"/>
      <c r="AV70" s="244"/>
      <c r="AW70" s="244"/>
      <c r="AX70" s="244"/>
      <c r="AY70" s="244"/>
      <c r="AZ70" s="244"/>
      <c r="BA70" s="244"/>
      <c r="BB70" s="244"/>
      <c r="BC70" s="244"/>
      <c r="BD70" s="244"/>
      <c r="BE70" s="244"/>
      <c r="BF70" s="244"/>
      <c r="BG70" s="244"/>
      <c r="BH70" s="244"/>
      <c r="BI70" s="244"/>
      <c r="BJ70" s="244"/>
      <c r="BK70" s="244"/>
      <c r="BL70" s="244"/>
      <c r="BM70" s="244"/>
      <c r="BN70" s="244"/>
      <c r="BO70" s="244"/>
      <c r="BP70" s="244"/>
      <c r="BQ70" s="244"/>
      <c r="BR70" s="244"/>
      <c r="BS70" s="244"/>
      <c r="BT70" s="244"/>
      <c r="BU70" s="244"/>
      <c r="BV70" s="244"/>
      <c r="BW70" s="244"/>
      <c r="BX70" s="244"/>
      <c r="BY70" s="244"/>
      <c r="BZ70" s="244"/>
      <c r="CA70" s="244"/>
      <c r="CB70" s="244"/>
      <c r="CC70" s="244"/>
      <c r="CD70" s="244"/>
      <c r="CE70" s="244"/>
      <c r="CF70" s="244"/>
    </row>
    <row r="71" ht="0" hidden="1" customHeight="1">
      <c r="C71" s="114"/>
      <c r="D71" s="118"/>
      <c r="E71" s="118"/>
      <c r="F71" s="118"/>
      <c r="G71" s="118"/>
      <c r="H71" s="118"/>
      <c r="I71" s="711"/>
      <c r="J71" s="711"/>
      <c r="K71" s="711"/>
      <c r="L71" s="711"/>
      <c r="M71" s="711"/>
      <c r="N71" s="711"/>
      <c r="O71" s="113"/>
      <c r="AP71" s="213"/>
      <c r="AQ71" s="213"/>
      <c r="AR71" s="213"/>
      <c r="AS71" s="271"/>
      <c r="AT71" s="271"/>
      <c r="AU71" s="244"/>
      <c r="AV71" s="244"/>
      <c r="AW71" s="244"/>
      <c r="AX71" s="244"/>
      <c r="AY71" s="244"/>
      <c r="AZ71" s="244"/>
      <c r="BA71" s="244"/>
      <c r="BB71" s="244"/>
      <c r="BC71" s="244"/>
      <c r="BD71" s="244"/>
      <c r="BE71" s="244"/>
      <c r="BF71" s="244"/>
      <c r="BG71" s="244"/>
      <c r="BH71" s="244"/>
      <c r="BI71" s="244"/>
      <c r="BJ71" s="244"/>
      <c r="BK71" s="244"/>
      <c r="BL71" s="244"/>
      <c r="BM71" s="244"/>
      <c r="BN71" s="244"/>
      <c r="BO71" s="244"/>
      <c r="BP71" s="244"/>
      <c r="BQ71" s="244"/>
      <c r="BR71" s="244"/>
      <c r="BS71" s="244"/>
      <c r="BT71" s="244"/>
      <c r="BU71" s="244"/>
      <c r="BV71" s="244"/>
      <c r="BW71" s="244"/>
      <c r="BX71" s="244"/>
      <c r="BY71" s="244"/>
      <c r="BZ71" s="244"/>
      <c r="CA71" s="244"/>
      <c r="CB71" s="244"/>
      <c r="CC71" s="244"/>
      <c r="CD71" s="244"/>
      <c r="CE71" s="244"/>
      <c r="CF71" s="244"/>
    </row>
    <row r="72" ht="0" hidden="1" customHeight="1">
      <c r="C72" s="114"/>
      <c r="D72" s="118"/>
      <c r="E72" s="118"/>
      <c r="F72" s="118"/>
      <c r="G72" s="118"/>
      <c r="H72" s="118"/>
      <c r="I72" s="711"/>
      <c r="J72" s="711"/>
      <c r="K72" s="711"/>
      <c r="L72" s="711"/>
      <c r="M72" s="711"/>
      <c r="N72" s="711"/>
      <c r="O72" s="113"/>
      <c r="AP72" s="213"/>
      <c r="AQ72" s="213"/>
      <c r="AR72" s="213"/>
      <c r="AS72" s="271"/>
      <c r="AT72" s="271"/>
      <c r="AU72" s="244"/>
      <c r="AV72" s="244"/>
      <c r="AW72" s="244"/>
      <c r="AX72" s="244"/>
      <c r="AY72" s="244"/>
      <c r="AZ72" s="244"/>
      <c r="BA72" s="244"/>
      <c r="BB72" s="244"/>
      <c r="BC72" s="244"/>
      <c r="BD72" s="244"/>
      <c r="BE72" s="244"/>
      <c r="BF72" s="244"/>
      <c r="BG72" s="244"/>
      <c r="BH72" s="244"/>
      <c r="BI72" s="244"/>
      <c r="BJ72" s="244"/>
      <c r="BK72" s="244"/>
      <c r="BL72" s="244"/>
      <c r="BM72" s="244"/>
      <c r="BN72" s="244"/>
      <c r="BO72" s="244"/>
      <c r="BP72" s="244"/>
      <c r="BQ72" s="244"/>
      <c r="BR72" s="244"/>
      <c r="BS72" s="244"/>
      <c r="BT72" s="244"/>
      <c r="BU72" s="244"/>
      <c r="BV72" s="244"/>
      <c r="BW72" s="244"/>
      <c r="BX72" s="244"/>
      <c r="BY72" s="244"/>
      <c r="BZ72" s="244"/>
      <c r="CA72" s="244"/>
      <c r="CB72" s="244"/>
      <c r="CC72" s="244"/>
      <c r="CD72" s="244"/>
      <c r="CE72" s="244"/>
      <c r="CF72" s="244"/>
    </row>
    <row r="73" ht="0" hidden="1" customHeight="1">
      <c r="C73" s="114"/>
      <c r="D73" s="118"/>
      <c r="E73" s="118"/>
      <c r="F73" s="118"/>
      <c r="G73" s="118"/>
      <c r="H73" s="118"/>
      <c r="I73" s="711"/>
      <c r="J73" s="711"/>
      <c r="K73" s="711"/>
      <c r="L73" s="711"/>
      <c r="M73" s="711"/>
      <c r="N73" s="711"/>
      <c r="O73" s="113"/>
      <c r="AP73" s="213"/>
      <c r="AQ73" s="213"/>
      <c r="AR73" s="213"/>
      <c r="AS73" s="271"/>
      <c r="AT73" s="271"/>
      <c r="AU73" s="244"/>
      <c r="AV73" s="244"/>
      <c r="AW73" s="244"/>
      <c r="AX73" s="244"/>
      <c r="AY73" s="244"/>
      <c r="AZ73" s="244"/>
      <c r="BA73" s="244"/>
      <c r="BB73" s="244"/>
      <c r="BC73" s="244"/>
      <c r="BD73" s="244"/>
      <c r="BE73" s="244"/>
      <c r="BF73" s="244"/>
      <c r="BG73" s="244"/>
      <c r="BH73" s="244"/>
      <c r="BI73" s="244"/>
      <c r="BJ73" s="244"/>
      <c r="BK73" s="244"/>
      <c r="BL73" s="244"/>
      <c r="BM73" s="244"/>
      <c r="BN73" s="244"/>
      <c r="BO73" s="244"/>
      <c r="BP73" s="244"/>
      <c r="BQ73" s="244"/>
      <c r="BR73" s="244"/>
      <c r="BS73" s="244"/>
      <c r="BT73" s="244"/>
      <c r="BU73" s="244"/>
      <c r="BV73" s="244"/>
      <c r="BW73" s="244"/>
      <c r="BX73" s="244"/>
      <c r="BY73" s="244"/>
      <c r="BZ73" s="244"/>
      <c r="CA73" s="244"/>
      <c r="CB73" s="244"/>
      <c r="CC73" s="244"/>
      <c r="CD73" s="244"/>
      <c r="CE73" s="244"/>
      <c r="CF73" s="244"/>
    </row>
    <row r="74" ht="0" hidden="1" customHeight="1">
      <c r="C74" s="114"/>
      <c r="D74" s="118"/>
      <c r="E74" s="118"/>
      <c r="F74" s="118"/>
      <c r="G74" s="118"/>
      <c r="H74" s="118"/>
      <c r="I74" s="711"/>
      <c r="J74" s="711"/>
      <c r="K74" s="711"/>
      <c r="L74" s="711"/>
      <c r="M74" s="711"/>
      <c r="N74" s="711"/>
      <c r="O74" s="113"/>
      <c r="AP74" s="213"/>
      <c r="AQ74" s="213"/>
      <c r="AR74" s="213"/>
      <c r="AS74" s="271"/>
      <c r="AT74" s="271"/>
      <c r="AU74" s="244"/>
      <c r="AV74" s="244"/>
      <c r="AW74" s="244"/>
      <c r="AX74" s="244"/>
      <c r="AY74" s="244"/>
      <c r="AZ74" s="244"/>
      <c r="BA74" s="244"/>
      <c r="BB74" s="244"/>
      <c r="BC74" s="244"/>
      <c r="BD74" s="244"/>
      <c r="BE74" s="244"/>
      <c r="BF74" s="244"/>
      <c r="BG74" s="244"/>
      <c r="BH74" s="244"/>
      <c r="BI74" s="244"/>
      <c r="BJ74" s="244"/>
      <c r="BK74" s="244"/>
      <c r="BL74" s="244"/>
      <c r="BM74" s="244"/>
      <c r="BN74" s="244"/>
      <c r="BO74" s="244"/>
      <c r="BP74" s="244"/>
      <c r="BQ74" s="244"/>
      <c r="BR74" s="244"/>
      <c r="BS74" s="244"/>
      <c r="BT74" s="244"/>
      <c r="BU74" s="244"/>
      <c r="BV74" s="244"/>
      <c r="BW74" s="244"/>
      <c r="BX74" s="244"/>
      <c r="BY74" s="244"/>
      <c r="BZ74" s="244"/>
      <c r="CA74" s="244"/>
      <c r="CB74" s="244"/>
      <c r="CC74" s="244"/>
      <c r="CD74" s="244"/>
      <c r="CE74" s="244"/>
      <c r="CF74" s="244"/>
    </row>
    <row r="75" ht="0" hidden="1" customHeight="1">
      <c r="C75" s="114"/>
      <c r="D75" s="118"/>
      <c r="E75" s="118"/>
      <c r="F75" s="118"/>
      <c r="G75" s="118"/>
      <c r="H75" s="118"/>
      <c r="I75" s="711"/>
      <c r="J75" s="711"/>
      <c r="K75" s="711"/>
      <c r="L75" s="711"/>
      <c r="M75" s="711"/>
      <c r="N75" s="711"/>
      <c r="O75" s="113"/>
      <c r="AP75" s="213"/>
      <c r="AQ75" s="213"/>
      <c r="AR75" s="213"/>
      <c r="AS75" s="271"/>
      <c r="AT75" s="271"/>
      <c r="AU75" s="244"/>
      <c r="AV75" s="244"/>
      <c r="AW75" s="244"/>
      <c r="AX75" s="244"/>
      <c r="AY75" s="244"/>
      <c r="AZ75" s="244"/>
      <c r="BA75" s="244"/>
      <c r="BB75" s="244"/>
      <c r="BC75" s="244"/>
      <c r="BD75" s="244"/>
      <c r="BE75" s="244"/>
      <c r="BF75" s="244"/>
      <c r="BG75" s="244"/>
      <c r="BH75" s="244"/>
      <c r="BI75" s="244"/>
      <c r="BJ75" s="244"/>
      <c r="BK75" s="244"/>
      <c r="BL75" s="244"/>
      <c r="BM75" s="244"/>
      <c r="BN75" s="244"/>
      <c r="BO75" s="244"/>
      <c r="BP75" s="244"/>
      <c r="BQ75" s="244"/>
      <c r="BR75" s="244"/>
      <c r="BS75" s="244"/>
      <c r="BT75" s="244"/>
      <c r="BU75" s="244"/>
      <c r="BV75" s="244"/>
      <c r="BW75" s="244"/>
      <c r="BX75" s="244"/>
      <c r="BY75" s="244"/>
      <c r="BZ75" s="244"/>
      <c r="CA75" s="244"/>
      <c r="CB75" s="244"/>
      <c r="CC75" s="244"/>
      <c r="CD75" s="244"/>
      <c r="CE75" s="244"/>
      <c r="CF75" s="244"/>
    </row>
    <row r="76" ht="0" hidden="1" customHeight="1">
      <c r="C76" s="114"/>
      <c r="D76" s="118"/>
      <c r="E76" s="118"/>
      <c r="F76" s="118"/>
      <c r="G76" s="118"/>
      <c r="H76" s="118"/>
      <c r="I76" s="711"/>
      <c r="J76" s="711"/>
      <c r="K76" s="711"/>
      <c r="L76" s="711"/>
      <c r="M76" s="711"/>
      <c r="N76" s="711"/>
      <c r="O76" s="113"/>
      <c r="AP76" s="213"/>
      <c r="AQ76" s="213"/>
      <c r="AR76" s="213"/>
      <c r="AS76" s="271"/>
      <c r="AT76" s="271"/>
      <c r="AU76" s="244"/>
      <c r="AV76" s="244"/>
      <c r="AW76" s="244"/>
      <c r="AX76" s="244"/>
      <c r="AY76" s="244"/>
      <c r="AZ76" s="244"/>
      <c r="BA76" s="244"/>
      <c r="BB76" s="244"/>
      <c r="BC76" s="244"/>
      <c r="BD76" s="244"/>
      <c r="BE76" s="244"/>
      <c r="BF76" s="244"/>
      <c r="BG76" s="244"/>
      <c r="BH76" s="244"/>
      <c r="BI76" s="244"/>
      <c r="BJ76" s="244"/>
      <c r="BK76" s="244"/>
      <c r="BL76" s="244"/>
      <c r="BM76" s="244"/>
      <c r="BN76" s="244"/>
      <c r="BO76" s="244"/>
      <c r="BP76" s="244"/>
      <c r="BQ76" s="244"/>
      <c r="BR76" s="244"/>
      <c r="BS76" s="244"/>
      <c r="BT76" s="244"/>
      <c r="BU76" s="244"/>
      <c r="BV76" s="244"/>
      <c r="BW76" s="244"/>
      <c r="BX76" s="244"/>
      <c r="BY76" s="244"/>
      <c r="BZ76" s="244"/>
      <c r="CA76" s="244"/>
      <c r="CB76" s="244"/>
      <c r="CC76" s="244"/>
      <c r="CD76" s="244"/>
      <c r="CE76" s="244"/>
      <c r="CF76" s="244"/>
    </row>
    <row r="77" ht="0" hidden="1" customHeight="1">
      <c r="C77" s="114"/>
      <c r="D77" s="118"/>
      <c r="E77" s="118"/>
      <c r="F77" s="118"/>
      <c r="G77" s="118"/>
      <c r="H77" s="118"/>
      <c r="I77" s="711"/>
      <c r="J77" s="711"/>
      <c r="K77" s="711"/>
      <c r="L77" s="711"/>
      <c r="M77" s="711"/>
      <c r="N77" s="711"/>
      <c r="O77" s="113"/>
      <c r="AP77" s="213"/>
      <c r="AQ77" s="213"/>
      <c r="AR77" s="213"/>
      <c r="AS77" s="271"/>
      <c r="AT77" s="271"/>
      <c r="AU77" s="244"/>
      <c r="AV77" s="244"/>
      <c r="AW77" s="244"/>
      <c r="AX77" s="244"/>
      <c r="AY77" s="244"/>
      <c r="AZ77" s="244"/>
      <c r="BA77" s="244"/>
      <c r="BB77" s="244"/>
      <c r="BC77" s="244"/>
      <c r="BD77" s="244"/>
      <c r="BE77" s="244"/>
      <c r="BF77" s="244"/>
      <c r="BG77" s="244"/>
      <c r="BH77" s="244"/>
      <c r="BI77" s="244"/>
      <c r="BJ77" s="244"/>
      <c r="BK77" s="244"/>
      <c r="BL77" s="244"/>
      <c r="BM77" s="244"/>
      <c r="BN77" s="244"/>
      <c r="BO77" s="244"/>
      <c r="BP77" s="244"/>
      <c r="BQ77" s="244"/>
      <c r="BR77" s="244"/>
      <c r="BS77" s="244"/>
      <c r="BT77" s="244"/>
      <c r="BU77" s="244"/>
      <c r="BV77" s="244"/>
      <c r="BW77" s="244"/>
      <c r="BX77" s="244"/>
      <c r="BY77" s="244"/>
      <c r="BZ77" s="244"/>
      <c r="CA77" s="244"/>
      <c r="CB77" s="244"/>
      <c r="CC77" s="244"/>
      <c r="CD77" s="244"/>
      <c r="CE77" s="244"/>
      <c r="CF77" s="244"/>
    </row>
    <row r="78" ht="0" hidden="1" customHeight="1">
      <c r="C78" s="114"/>
      <c r="D78" s="118"/>
      <c r="E78" s="118"/>
      <c r="F78" s="118"/>
      <c r="G78" s="118"/>
      <c r="H78" s="118"/>
      <c r="I78" s="711"/>
      <c r="J78" s="711"/>
      <c r="K78" s="711"/>
      <c r="L78" s="711"/>
      <c r="M78" s="711"/>
      <c r="N78" s="711"/>
      <c r="O78" s="113"/>
      <c r="AP78" s="213"/>
      <c r="AQ78" s="213"/>
      <c r="AR78" s="213"/>
      <c r="AS78" s="271"/>
      <c r="AT78" s="271"/>
      <c r="AU78" s="244"/>
      <c r="AV78" s="244"/>
      <c r="AW78" s="244"/>
      <c r="AX78" s="244"/>
      <c r="AY78" s="244"/>
      <c r="AZ78" s="244"/>
      <c r="BA78" s="244"/>
      <c r="BB78" s="244"/>
      <c r="BC78" s="244"/>
      <c r="BD78" s="244"/>
      <c r="BE78" s="244"/>
      <c r="BF78" s="244"/>
      <c r="BG78" s="244"/>
      <c r="BH78" s="244"/>
      <c r="BI78" s="244"/>
      <c r="BJ78" s="244"/>
      <c r="BK78" s="244"/>
      <c r="BL78" s="244"/>
      <c r="BM78" s="244"/>
      <c r="BN78" s="244"/>
      <c r="BO78" s="244"/>
      <c r="BP78" s="244"/>
      <c r="BQ78" s="244"/>
      <c r="BR78" s="244"/>
      <c r="BS78" s="244"/>
      <c r="BT78" s="244"/>
      <c r="BU78" s="244"/>
      <c r="BV78" s="244"/>
      <c r="BW78" s="244"/>
      <c r="BX78" s="244"/>
      <c r="BY78" s="244"/>
      <c r="BZ78" s="244"/>
      <c r="CA78" s="244"/>
      <c r="CB78" s="244"/>
      <c r="CC78" s="244"/>
      <c r="CD78" s="244"/>
      <c r="CE78" s="244"/>
      <c r="CF78" s="244"/>
    </row>
    <row r="79" ht="0" hidden="1" customHeight="1">
      <c r="C79" s="114"/>
      <c r="D79" s="118"/>
      <c r="E79" s="118"/>
      <c r="F79" s="118"/>
      <c r="G79" s="118"/>
      <c r="H79" s="118"/>
      <c r="I79" s="711"/>
      <c r="J79" s="711"/>
      <c r="K79" s="711"/>
      <c r="L79" s="711"/>
      <c r="M79" s="711"/>
      <c r="N79" s="711"/>
      <c r="O79" s="113"/>
      <c r="AP79" s="213"/>
      <c r="AQ79" s="213"/>
      <c r="AR79" s="213"/>
      <c r="AS79" s="271"/>
      <c r="AT79" s="271"/>
      <c r="AU79" s="244"/>
      <c r="AV79" s="244"/>
      <c r="AW79" s="244"/>
      <c r="AX79" s="244"/>
      <c r="AY79" s="244"/>
      <c r="AZ79" s="244"/>
      <c r="BA79" s="244"/>
      <c r="BB79" s="244"/>
      <c r="BC79" s="244"/>
      <c r="BD79" s="244"/>
      <c r="BE79" s="244"/>
      <c r="BF79" s="244"/>
      <c r="BG79" s="244"/>
      <c r="BH79" s="244"/>
      <c r="BI79" s="244"/>
      <c r="BJ79" s="244"/>
      <c r="BK79" s="244"/>
      <c r="BL79" s="244"/>
      <c r="BM79" s="244"/>
      <c r="BN79" s="244"/>
      <c r="BO79" s="244"/>
      <c r="BP79" s="244"/>
      <c r="BQ79" s="244"/>
      <c r="BR79" s="244"/>
      <c r="BS79" s="244"/>
      <c r="BT79" s="244"/>
      <c r="BU79" s="244"/>
      <c r="BV79" s="244"/>
      <c r="BW79" s="244"/>
      <c r="BX79" s="244"/>
      <c r="BY79" s="244"/>
      <c r="BZ79" s="244"/>
      <c r="CA79" s="244"/>
      <c r="CB79" s="244"/>
      <c r="CC79" s="244"/>
      <c r="CD79" s="244"/>
      <c r="CE79" s="244"/>
      <c r="CF79" s="244"/>
    </row>
    <row r="80" ht="0" hidden="1" customHeight="1">
      <c r="C80" s="114"/>
      <c r="D80" s="118"/>
      <c r="E80" s="118"/>
      <c r="F80" s="118"/>
      <c r="G80" s="118"/>
      <c r="H80" s="118"/>
      <c r="I80" s="711"/>
      <c r="J80" s="711"/>
      <c r="K80" s="711"/>
      <c r="L80" s="711"/>
      <c r="M80" s="711"/>
      <c r="N80" s="711"/>
      <c r="O80" s="113"/>
      <c r="AP80" s="213"/>
      <c r="AQ80" s="213"/>
      <c r="AR80" s="213"/>
      <c r="AS80" s="271"/>
      <c r="AT80" s="271"/>
      <c r="AU80" s="244"/>
      <c r="AV80" s="244"/>
      <c r="AW80" s="244"/>
      <c r="AX80" s="244"/>
      <c r="AY80" s="244"/>
      <c r="AZ80" s="244"/>
      <c r="BA80" s="244"/>
      <c r="BB80" s="244"/>
      <c r="BC80" s="244"/>
      <c r="BD80" s="244"/>
      <c r="BE80" s="244"/>
      <c r="BF80" s="244"/>
      <c r="BG80" s="244"/>
      <c r="BH80" s="244"/>
      <c r="BI80" s="244"/>
      <c r="BJ80" s="244"/>
      <c r="BK80" s="244"/>
      <c r="BL80" s="244"/>
      <c r="BM80" s="244"/>
      <c r="BN80" s="244"/>
      <c r="BO80" s="244"/>
      <c r="BP80" s="244"/>
      <c r="BQ80" s="244"/>
      <c r="BR80" s="244"/>
      <c r="BS80" s="244"/>
      <c r="BT80" s="244"/>
      <c r="BU80" s="244"/>
      <c r="BV80" s="244"/>
      <c r="BW80" s="244"/>
      <c r="BX80" s="244"/>
      <c r="BY80" s="244"/>
      <c r="BZ80" s="244"/>
      <c r="CA80" s="244"/>
      <c r="CB80" s="244"/>
      <c r="CC80" s="244"/>
      <c r="CD80" s="244"/>
      <c r="CE80" s="244"/>
      <c r="CF80" s="244"/>
    </row>
    <row r="81" ht="0" hidden="1" customHeight="1">
      <c r="C81" s="114"/>
      <c r="D81" s="118"/>
      <c r="E81" s="118"/>
      <c r="F81" s="118"/>
      <c r="G81" s="118"/>
      <c r="H81" s="118"/>
      <c r="I81" s="711"/>
      <c r="J81" s="711"/>
      <c r="K81" s="711"/>
      <c r="L81" s="711"/>
      <c r="M81" s="711"/>
      <c r="N81" s="711"/>
      <c r="O81" s="113"/>
      <c r="AP81" s="213"/>
      <c r="AQ81" s="213"/>
      <c r="AR81" s="213"/>
      <c r="AS81" s="271"/>
      <c r="AT81" s="271"/>
      <c r="AU81" s="244"/>
      <c r="AV81" s="244"/>
      <c r="AW81" s="244"/>
      <c r="AX81" s="244"/>
      <c r="AY81" s="244"/>
      <c r="AZ81" s="244"/>
      <c r="BA81" s="244"/>
      <c r="BB81" s="244"/>
      <c r="BC81" s="244"/>
      <c r="BD81" s="244"/>
      <c r="BE81" s="244"/>
      <c r="BF81" s="244"/>
      <c r="BG81" s="244"/>
      <c r="BH81" s="244"/>
      <c r="BI81" s="244"/>
      <c r="BJ81" s="244"/>
      <c r="BK81" s="244"/>
      <c r="BL81" s="244"/>
      <c r="BM81" s="244"/>
      <c r="BN81" s="244"/>
      <c r="BO81" s="244"/>
      <c r="BP81" s="244"/>
      <c r="BQ81" s="244"/>
      <c r="BR81" s="244"/>
      <c r="BS81" s="244"/>
      <c r="BT81" s="244"/>
      <c r="BU81" s="244"/>
      <c r="BV81" s="244"/>
      <c r="BW81" s="244"/>
      <c r="BX81" s="244"/>
      <c r="BY81" s="244"/>
      <c r="BZ81" s="244"/>
      <c r="CA81" s="244"/>
      <c r="CB81" s="244"/>
      <c r="CC81" s="244"/>
      <c r="CD81" s="244"/>
      <c r="CE81" s="244"/>
      <c r="CF81" s="244"/>
    </row>
    <row r="82" ht="0" hidden="1" customHeight="1">
      <c r="C82" s="114"/>
      <c r="D82" s="118"/>
      <c r="E82" s="118"/>
      <c r="F82" s="118"/>
      <c r="G82" s="118"/>
      <c r="H82" s="118"/>
      <c r="I82" s="711"/>
      <c r="J82" s="711"/>
      <c r="K82" s="711"/>
      <c r="L82" s="711"/>
      <c r="M82" s="711"/>
      <c r="N82" s="711"/>
      <c r="O82" s="113"/>
      <c r="AP82" s="213"/>
      <c r="AQ82" s="213"/>
      <c r="AR82" s="213"/>
      <c r="AS82" s="271"/>
      <c r="AT82" s="271"/>
      <c r="AU82" s="244"/>
      <c r="AV82" s="244"/>
      <c r="AW82" s="244"/>
      <c r="AX82" s="244"/>
      <c r="AY82" s="244"/>
      <c r="AZ82" s="244"/>
      <c r="BA82" s="244"/>
      <c r="BB82" s="244"/>
      <c r="BC82" s="244"/>
      <c r="BD82" s="244"/>
      <c r="BE82" s="244"/>
      <c r="BF82" s="244"/>
      <c r="BG82" s="244"/>
      <c r="BH82" s="244"/>
      <c r="BI82" s="244"/>
      <c r="BJ82" s="244"/>
      <c r="BK82" s="244"/>
      <c r="BL82" s="244"/>
      <c r="BM82" s="244"/>
      <c r="BN82" s="244"/>
      <c r="BO82" s="244"/>
      <c r="BP82" s="244"/>
      <c r="BQ82" s="244"/>
      <c r="BR82" s="244"/>
      <c r="BS82" s="244"/>
      <c r="BT82" s="244"/>
      <c r="BU82" s="244"/>
      <c r="BV82" s="244"/>
      <c r="BW82" s="244"/>
      <c r="BX82" s="244"/>
      <c r="BY82" s="244"/>
      <c r="BZ82" s="244"/>
      <c r="CA82" s="244"/>
      <c r="CB82" s="244"/>
      <c r="CC82" s="244"/>
      <c r="CD82" s="244"/>
      <c r="CE82" s="244"/>
      <c r="CF82" s="244"/>
    </row>
    <row r="83" ht="0" hidden="1" customHeight="1">
      <c r="C83" s="114"/>
      <c r="D83" s="118"/>
      <c r="E83" s="118"/>
      <c r="F83" s="118"/>
      <c r="G83" s="118"/>
      <c r="H83" s="118"/>
      <c r="I83" s="711"/>
      <c r="J83" s="711"/>
      <c r="K83" s="711"/>
      <c r="L83" s="711"/>
      <c r="M83" s="711"/>
      <c r="N83" s="711"/>
      <c r="O83" s="113"/>
      <c r="AP83" s="213"/>
      <c r="AQ83" s="213"/>
      <c r="AR83" s="213"/>
      <c r="AS83" s="271"/>
      <c r="AT83" s="271"/>
      <c r="AU83" s="244"/>
      <c r="AV83" s="244"/>
      <c r="AW83" s="244"/>
      <c r="AX83" s="244"/>
      <c r="AY83" s="244"/>
      <c r="AZ83" s="244"/>
      <c r="BA83" s="244"/>
      <c r="BB83" s="244"/>
      <c r="BC83" s="244"/>
      <c r="BD83" s="244"/>
      <c r="BE83" s="244"/>
      <c r="BF83" s="244"/>
      <c r="BG83" s="244"/>
      <c r="BH83" s="244"/>
      <c r="BI83" s="244"/>
      <c r="BJ83" s="244"/>
      <c r="BK83" s="244"/>
      <c r="BL83" s="244"/>
      <c r="BM83" s="244"/>
      <c r="BN83" s="244"/>
      <c r="BO83" s="244"/>
      <c r="BP83" s="244"/>
      <c r="BQ83" s="244"/>
      <c r="BR83" s="244"/>
      <c r="BS83" s="244"/>
      <c r="BT83" s="244"/>
      <c r="BU83" s="244"/>
      <c r="BV83" s="244"/>
      <c r="BW83" s="244"/>
      <c r="BX83" s="244"/>
      <c r="BY83" s="244"/>
      <c r="BZ83" s="244"/>
      <c r="CA83" s="244"/>
      <c r="CB83" s="244"/>
      <c r="CC83" s="244"/>
      <c r="CD83" s="244"/>
      <c r="CE83" s="244"/>
      <c r="CF83" s="244"/>
    </row>
    <row r="84" ht="0" hidden="1" customHeight="1">
      <c r="C84" s="114"/>
      <c r="D84" s="118"/>
      <c r="E84" s="118"/>
      <c r="F84" s="118"/>
      <c r="G84" s="118"/>
      <c r="H84" s="118"/>
      <c r="I84" s="711"/>
      <c r="J84" s="711"/>
      <c r="K84" s="711"/>
      <c r="L84" s="711"/>
      <c r="M84" s="711"/>
      <c r="N84" s="711"/>
      <c r="O84" s="113"/>
      <c r="AP84" s="213"/>
      <c r="AQ84" s="213"/>
      <c r="AR84" s="213"/>
      <c r="AS84" s="271"/>
      <c r="AT84" s="271"/>
      <c r="AU84" s="244"/>
      <c r="AV84" s="244"/>
      <c r="AW84" s="244"/>
      <c r="AX84" s="244"/>
      <c r="AY84" s="244"/>
      <c r="AZ84" s="244"/>
      <c r="BA84" s="244"/>
      <c r="BB84" s="244"/>
      <c r="BC84" s="244"/>
      <c r="BD84" s="244"/>
      <c r="BE84" s="244"/>
      <c r="BF84" s="244"/>
      <c r="BG84" s="244"/>
      <c r="BH84" s="244"/>
      <c r="BI84" s="244"/>
      <c r="BJ84" s="244"/>
      <c r="BK84" s="244"/>
      <c r="BL84" s="244"/>
      <c r="BM84" s="244"/>
      <c r="BN84" s="244"/>
      <c r="BO84" s="244"/>
      <c r="BP84" s="244"/>
      <c r="BQ84" s="244"/>
      <c r="BR84" s="244"/>
      <c r="BS84" s="244"/>
      <c r="BT84" s="244"/>
      <c r="BU84" s="244"/>
      <c r="BV84" s="244"/>
      <c r="BW84" s="244"/>
      <c r="BX84" s="244"/>
      <c r="BY84" s="244"/>
      <c r="BZ84" s="244"/>
      <c r="CA84" s="244"/>
      <c r="CB84" s="244"/>
      <c r="CC84" s="244"/>
      <c r="CD84" s="244"/>
      <c r="CE84" s="244"/>
      <c r="CF84" s="244"/>
    </row>
    <row r="85" ht="0" hidden="1" customHeight="1">
      <c r="C85" s="114"/>
      <c r="D85" s="118"/>
      <c r="E85" s="118"/>
      <c r="F85" s="118"/>
      <c r="G85" s="118"/>
      <c r="H85" s="118"/>
      <c r="I85" s="711"/>
      <c r="J85" s="711"/>
      <c r="K85" s="711"/>
      <c r="L85" s="711"/>
      <c r="M85" s="711"/>
      <c r="N85" s="711"/>
      <c r="O85" s="113"/>
      <c r="AP85" s="213"/>
      <c r="AQ85" s="213"/>
      <c r="AR85" s="213"/>
      <c r="AS85" s="271"/>
      <c r="AT85" s="271"/>
      <c r="AU85" s="244"/>
      <c r="AV85" s="244"/>
      <c r="AW85" s="244"/>
      <c r="AX85" s="244"/>
      <c r="AY85" s="244"/>
      <c r="AZ85" s="244"/>
      <c r="BA85" s="244"/>
      <c r="BB85" s="244"/>
      <c r="BC85" s="244"/>
      <c r="BD85" s="244"/>
      <c r="BE85" s="244"/>
      <c r="BF85" s="244"/>
      <c r="BG85" s="244"/>
      <c r="BH85" s="244"/>
      <c r="BI85" s="244"/>
      <c r="BJ85" s="244"/>
      <c r="BK85" s="244"/>
      <c r="BL85" s="244"/>
      <c r="BM85" s="244"/>
      <c r="BN85" s="244"/>
      <c r="BO85" s="244"/>
      <c r="BP85" s="244"/>
      <c r="BQ85" s="244"/>
      <c r="BR85" s="244"/>
      <c r="BS85" s="244"/>
      <c r="BT85" s="244"/>
      <c r="BU85" s="244"/>
      <c r="BV85" s="244"/>
      <c r="BW85" s="244"/>
      <c r="BX85" s="244"/>
      <c r="BY85" s="244"/>
      <c r="BZ85" s="244"/>
      <c r="CA85" s="244"/>
      <c r="CB85" s="244"/>
      <c r="CC85" s="244"/>
      <c r="CD85" s="244"/>
      <c r="CE85" s="244"/>
      <c r="CF85" s="244"/>
    </row>
    <row r="86" ht="0" hidden="1" customHeight="1">
      <c r="C86" s="114"/>
      <c r="D86" s="118"/>
      <c r="E86" s="118"/>
      <c r="F86" s="118"/>
      <c r="G86" s="118"/>
      <c r="H86" s="118"/>
      <c r="I86" s="711"/>
      <c r="J86" s="711"/>
      <c r="K86" s="711"/>
      <c r="L86" s="711"/>
      <c r="M86" s="711"/>
      <c r="N86" s="711"/>
      <c r="O86" s="113"/>
      <c r="AP86" s="213"/>
      <c r="AQ86" s="213"/>
      <c r="AR86" s="213"/>
      <c r="AS86" s="271"/>
      <c r="AT86" s="271"/>
      <c r="AU86" s="244"/>
      <c r="AV86" s="244"/>
      <c r="AW86" s="244"/>
      <c r="AX86" s="244"/>
      <c r="AY86" s="244"/>
      <c r="AZ86" s="244"/>
      <c r="BA86" s="244"/>
      <c r="BB86" s="244"/>
      <c r="BC86" s="244"/>
      <c r="BD86" s="244"/>
      <c r="BE86" s="244"/>
      <c r="BF86" s="244"/>
      <c r="BG86" s="244"/>
      <c r="BH86" s="244"/>
      <c r="BI86" s="244"/>
      <c r="BJ86" s="244"/>
      <c r="BK86" s="244"/>
      <c r="BL86" s="244"/>
      <c r="BM86" s="244"/>
      <c r="BN86" s="244"/>
      <c r="BO86" s="244"/>
      <c r="BP86" s="244"/>
      <c r="BQ86" s="244"/>
      <c r="BR86" s="244"/>
      <c r="BS86" s="244"/>
      <c r="BT86" s="244"/>
      <c r="BU86" s="244"/>
      <c r="BV86" s="244"/>
      <c r="BW86" s="244"/>
      <c r="BX86" s="244"/>
      <c r="BY86" s="244"/>
      <c r="BZ86" s="244"/>
      <c r="CA86" s="244"/>
      <c r="CB86" s="244"/>
      <c r="CC86" s="244"/>
      <c r="CD86" s="244"/>
      <c r="CE86" s="244"/>
      <c r="CF86" s="244"/>
    </row>
    <row r="87" ht="0" hidden="1" customHeight="1">
      <c r="C87" s="114"/>
      <c r="D87" s="118"/>
      <c r="E87" s="118"/>
      <c r="F87" s="118"/>
      <c r="G87" s="118"/>
      <c r="H87" s="118"/>
      <c r="I87" s="711"/>
      <c r="J87" s="711"/>
      <c r="K87" s="711"/>
      <c r="L87" s="711"/>
      <c r="M87" s="711"/>
      <c r="N87" s="711"/>
      <c r="O87" s="113"/>
      <c r="AP87" s="213"/>
      <c r="AQ87" s="213"/>
      <c r="AR87" s="213"/>
      <c r="AS87" s="271"/>
      <c r="AT87" s="271"/>
      <c r="AU87" s="244"/>
      <c r="AV87" s="244"/>
      <c r="AW87" s="244"/>
      <c r="AX87" s="244"/>
      <c r="AY87" s="244"/>
      <c r="AZ87" s="244"/>
      <c r="BA87" s="244"/>
      <c r="BB87" s="244"/>
      <c r="BC87" s="244"/>
      <c r="BD87" s="244"/>
      <c r="BE87" s="244"/>
      <c r="BF87" s="244"/>
      <c r="BG87" s="244"/>
      <c r="BH87" s="244"/>
      <c r="BI87" s="244"/>
      <c r="BJ87" s="244"/>
      <c r="BK87" s="244"/>
      <c r="BL87" s="244"/>
      <c r="BM87" s="244"/>
      <c r="BN87" s="244"/>
      <c r="BO87" s="244"/>
      <c r="BP87" s="244"/>
      <c r="BQ87" s="244"/>
      <c r="BR87" s="244"/>
      <c r="BS87" s="244"/>
      <c r="BT87" s="244"/>
      <c r="BU87" s="244"/>
      <c r="BV87" s="244"/>
      <c r="BW87" s="244"/>
      <c r="BX87" s="244"/>
      <c r="BY87" s="244"/>
      <c r="BZ87" s="244"/>
      <c r="CA87" s="244"/>
      <c r="CB87" s="244"/>
      <c r="CC87" s="244"/>
      <c r="CD87" s="244"/>
      <c r="CE87" s="244"/>
      <c r="CF87" s="244"/>
    </row>
    <row r="88" ht="0" hidden="1" customHeight="1">
      <c r="C88" s="114"/>
      <c r="D88" s="118"/>
      <c r="E88" s="118"/>
      <c r="F88" s="118"/>
      <c r="G88" s="118"/>
      <c r="H88" s="118"/>
      <c r="I88" s="711"/>
      <c r="J88" s="711"/>
      <c r="K88" s="711"/>
      <c r="L88" s="711"/>
      <c r="M88" s="711"/>
      <c r="N88" s="711"/>
      <c r="O88" s="113"/>
      <c r="AP88" s="213"/>
      <c r="AQ88" s="213"/>
      <c r="AR88" s="213"/>
      <c r="AS88" s="271"/>
      <c r="AT88" s="271"/>
      <c r="AU88" s="244"/>
      <c r="AV88" s="244"/>
      <c r="AW88" s="244"/>
      <c r="AX88" s="244"/>
      <c r="AY88" s="244"/>
      <c r="AZ88" s="244"/>
      <c r="BA88" s="244"/>
      <c r="BB88" s="244"/>
      <c r="BC88" s="244"/>
      <c r="BD88" s="244"/>
      <c r="BE88" s="244"/>
      <c r="BF88" s="244"/>
      <c r="BG88" s="244"/>
      <c r="BH88" s="244"/>
      <c r="BI88" s="244"/>
      <c r="BJ88" s="244"/>
      <c r="BK88" s="244"/>
      <c r="BL88" s="244"/>
      <c r="BM88" s="244"/>
      <c r="BN88" s="244"/>
      <c r="BO88" s="244"/>
      <c r="BP88" s="244"/>
      <c r="BQ88" s="244"/>
      <c r="BR88" s="244"/>
      <c r="BS88" s="244"/>
      <c r="BT88" s="244"/>
      <c r="BU88" s="244"/>
      <c r="BV88" s="244"/>
      <c r="BW88" s="244"/>
      <c r="BX88" s="244"/>
      <c r="BY88" s="244"/>
      <c r="BZ88" s="244"/>
      <c r="CA88" s="244"/>
      <c r="CB88" s="244"/>
      <c r="CC88" s="244"/>
      <c r="CD88" s="244"/>
      <c r="CE88" s="244"/>
      <c r="CF88" s="244"/>
    </row>
    <row r="89" ht="0" hidden="1" customHeight="1">
      <c r="C89" s="114"/>
      <c r="D89" s="118"/>
      <c r="E89" s="118"/>
      <c r="F89" s="118"/>
      <c r="G89" s="118"/>
      <c r="H89" s="118"/>
      <c r="I89" s="711"/>
      <c r="J89" s="711"/>
      <c r="K89" s="711"/>
      <c r="L89" s="711"/>
      <c r="M89" s="711"/>
      <c r="N89" s="711"/>
      <c r="O89" s="113"/>
      <c r="AP89" s="213"/>
      <c r="AQ89" s="213"/>
      <c r="AR89" s="213"/>
      <c r="AS89" s="271"/>
      <c r="AT89" s="271"/>
      <c r="AU89" s="244"/>
      <c r="AV89" s="244"/>
      <c r="AW89" s="244"/>
      <c r="AX89" s="244"/>
      <c r="AY89" s="244"/>
      <c r="AZ89" s="244"/>
      <c r="BA89" s="244"/>
      <c r="BB89" s="244"/>
      <c r="BC89" s="244"/>
      <c r="BD89" s="244"/>
      <c r="BE89" s="244"/>
      <c r="BF89" s="244"/>
      <c r="BG89" s="244"/>
      <c r="BH89" s="244"/>
      <c r="BI89" s="244"/>
      <c r="BJ89" s="244"/>
      <c r="BK89" s="244"/>
      <c r="BL89" s="244"/>
      <c r="BM89" s="244"/>
      <c r="BN89" s="244"/>
      <c r="BO89" s="244"/>
      <c r="BP89" s="244"/>
      <c r="BQ89" s="244"/>
      <c r="BR89" s="244"/>
      <c r="BS89" s="244"/>
      <c r="BT89" s="244"/>
      <c r="BU89" s="244"/>
      <c r="BV89" s="244"/>
      <c r="BW89" s="244"/>
      <c r="BX89" s="244"/>
      <c r="BY89" s="244"/>
      <c r="BZ89" s="244"/>
      <c r="CA89" s="244"/>
      <c r="CB89" s="244"/>
      <c r="CC89" s="244"/>
      <c r="CD89" s="244"/>
      <c r="CE89" s="244"/>
      <c r="CF89" s="244"/>
    </row>
    <row r="90" ht="0" hidden="1" customHeight="1">
      <c r="C90" s="114"/>
      <c r="D90" s="118"/>
      <c r="E90" s="118"/>
      <c r="F90" s="118"/>
      <c r="G90" s="118"/>
      <c r="H90" s="118"/>
      <c r="I90" s="711"/>
      <c r="J90" s="711"/>
      <c r="K90" s="711"/>
      <c r="L90" s="711"/>
      <c r="M90" s="711"/>
      <c r="N90" s="711"/>
      <c r="O90" s="113"/>
      <c r="AP90" s="213"/>
      <c r="AQ90" s="213"/>
      <c r="AR90" s="213"/>
      <c r="AS90" s="271"/>
      <c r="AT90" s="271"/>
      <c r="AU90" s="244"/>
      <c r="AV90" s="244"/>
      <c r="AW90" s="244"/>
      <c r="AX90" s="244"/>
      <c r="AY90" s="244"/>
      <c r="AZ90" s="244"/>
      <c r="BA90" s="244"/>
      <c r="BB90" s="244"/>
      <c r="BC90" s="244"/>
      <c r="BD90" s="244"/>
      <c r="BE90" s="244"/>
      <c r="BF90" s="244"/>
      <c r="BG90" s="244"/>
      <c r="BH90" s="244"/>
      <c r="BI90" s="244"/>
      <c r="BJ90" s="244"/>
      <c r="BK90" s="244"/>
      <c r="BL90" s="244"/>
      <c r="BM90" s="244"/>
      <c r="BN90" s="244"/>
      <c r="BO90" s="244"/>
      <c r="BP90" s="244"/>
      <c r="BQ90" s="244"/>
      <c r="BR90" s="244"/>
      <c r="BS90" s="244"/>
      <c r="BT90" s="244"/>
      <c r="BU90" s="244"/>
      <c r="BV90" s="244"/>
      <c r="BW90" s="244"/>
      <c r="BX90" s="244"/>
      <c r="BY90" s="244"/>
      <c r="BZ90" s="244"/>
      <c r="CA90" s="244"/>
      <c r="CB90" s="244"/>
      <c r="CC90" s="244"/>
      <c r="CD90" s="244"/>
      <c r="CE90" s="244"/>
      <c r="CF90" s="244"/>
    </row>
    <row r="91" ht="0" hidden="1" customHeight="1">
      <c r="C91" s="114"/>
      <c r="D91" s="118"/>
      <c r="E91" s="118"/>
      <c r="F91" s="118"/>
      <c r="G91" s="118"/>
      <c r="H91" s="118"/>
      <c r="I91" s="711"/>
      <c r="J91" s="711"/>
      <c r="K91" s="711"/>
      <c r="L91" s="711"/>
      <c r="M91" s="711"/>
      <c r="N91" s="711"/>
      <c r="O91" s="113"/>
      <c r="AP91" s="213"/>
      <c r="AQ91" s="213"/>
      <c r="AR91" s="213"/>
      <c r="AS91" s="271"/>
      <c r="AT91" s="271"/>
      <c r="AU91" s="244"/>
      <c r="AV91" s="244"/>
      <c r="AW91" s="244"/>
      <c r="AX91" s="244"/>
      <c r="AY91" s="244"/>
      <c r="AZ91" s="244"/>
      <c r="BA91" s="244"/>
      <c r="BB91" s="244"/>
      <c r="BC91" s="244"/>
      <c r="BD91" s="244"/>
      <c r="BE91" s="244"/>
      <c r="BF91" s="244"/>
      <c r="BG91" s="244"/>
      <c r="BH91" s="244"/>
      <c r="BI91" s="244"/>
      <c r="BJ91" s="244"/>
      <c r="BK91" s="244"/>
      <c r="BL91" s="244"/>
      <c r="BM91" s="244"/>
      <c r="BN91" s="244"/>
      <c r="BO91" s="244"/>
      <c r="BP91" s="244"/>
      <c r="BQ91" s="244"/>
      <c r="BR91" s="244"/>
      <c r="BS91" s="244"/>
      <c r="BT91" s="244"/>
      <c r="BU91" s="244"/>
      <c r="BV91" s="244"/>
      <c r="BW91" s="244"/>
      <c r="BX91" s="244"/>
      <c r="BY91" s="244"/>
      <c r="BZ91" s="244"/>
      <c r="CA91" s="244"/>
      <c r="CB91" s="244"/>
      <c r="CC91" s="244"/>
      <c r="CD91" s="244"/>
      <c r="CE91" s="244"/>
      <c r="CF91" s="244"/>
    </row>
    <row r="92" ht="0" hidden="1" customHeight="1">
      <c r="C92" s="114"/>
      <c r="D92" s="118"/>
      <c r="E92" s="118"/>
      <c r="F92" s="118"/>
      <c r="G92" s="118"/>
      <c r="H92" s="118"/>
      <c r="I92" s="711"/>
      <c r="J92" s="711"/>
      <c r="K92" s="711"/>
      <c r="L92" s="711"/>
      <c r="M92" s="711"/>
      <c r="N92" s="711"/>
      <c r="O92" s="113"/>
      <c r="AP92" s="213"/>
      <c r="AQ92" s="213"/>
      <c r="AR92" s="213"/>
      <c r="AS92" s="271"/>
      <c r="AT92" s="271"/>
      <c r="AU92" s="244"/>
      <c r="AV92" s="244"/>
      <c r="AW92" s="244"/>
      <c r="AX92" s="244"/>
      <c r="AY92" s="244"/>
      <c r="AZ92" s="244"/>
      <c r="BA92" s="244"/>
      <c r="BB92" s="244"/>
      <c r="BC92" s="244"/>
      <c r="BD92" s="244"/>
      <c r="BE92" s="244"/>
      <c r="BF92" s="244"/>
      <c r="BG92" s="244"/>
      <c r="BH92" s="244"/>
      <c r="BI92" s="244"/>
      <c r="BJ92" s="244"/>
      <c r="BK92" s="244"/>
      <c r="BL92" s="244"/>
      <c r="BM92" s="244"/>
      <c r="BN92" s="244"/>
      <c r="BO92" s="244"/>
      <c r="BP92" s="244"/>
      <c r="BQ92" s="244"/>
      <c r="BR92" s="244"/>
      <c r="BS92" s="244"/>
      <c r="BT92" s="244"/>
      <c r="BU92" s="244"/>
      <c r="BV92" s="244"/>
      <c r="BW92" s="244"/>
      <c r="BX92" s="244"/>
      <c r="BY92" s="244"/>
      <c r="BZ92" s="244"/>
      <c r="CA92" s="244"/>
      <c r="CB92" s="244"/>
      <c r="CC92" s="244"/>
      <c r="CD92" s="244"/>
      <c r="CE92" s="244"/>
      <c r="CF92" s="244"/>
    </row>
    <row r="93" ht="0" hidden="1" customHeight="1">
      <c r="C93" s="114"/>
      <c r="D93" s="118"/>
      <c r="E93" s="118"/>
      <c r="F93" s="118"/>
      <c r="G93" s="118"/>
      <c r="H93" s="118"/>
      <c r="I93" s="711"/>
      <c r="J93" s="711"/>
      <c r="K93" s="711"/>
      <c r="L93" s="711"/>
      <c r="M93" s="711"/>
      <c r="N93" s="711"/>
      <c r="O93" s="113"/>
      <c r="AP93" s="213"/>
      <c r="AQ93" s="213"/>
      <c r="AR93" s="213"/>
      <c r="AS93" s="271"/>
      <c r="AT93" s="271"/>
      <c r="AU93" s="244"/>
      <c r="AV93" s="244"/>
      <c r="AW93" s="244"/>
      <c r="AX93" s="244"/>
      <c r="AY93" s="244"/>
      <c r="AZ93" s="244"/>
      <c r="BA93" s="244"/>
      <c r="BB93" s="244"/>
      <c r="BC93" s="244"/>
      <c r="BD93" s="244"/>
      <c r="BE93" s="244"/>
      <c r="BF93" s="244"/>
      <c r="BG93" s="244"/>
      <c r="BH93" s="244"/>
      <c r="BI93" s="244"/>
      <c r="BJ93" s="244"/>
      <c r="BK93" s="244"/>
      <c r="BL93" s="244"/>
      <c r="BM93" s="244"/>
      <c r="BN93" s="244"/>
      <c r="BO93" s="244"/>
      <c r="BP93" s="244"/>
      <c r="BQ93" s="244"/>
      <c r="BR93" s="244"/>
      <c r="BS93" s="244"/>
      <c r="BT93" s="244"/>
      <c r="BU93" s="244"/>
      <c r="BV93" s="244"/>
      <c r="BW93" s="244"/>
      <c r="BX93" s="244"/>
      <c r="BY93" s="244"/>
      <c r="BZ93" s="244"/>
      <c r="CA93" s="244"/>
      <c r="CB93" s="244"/>
      <c r="CC93" s="244"/>
      <c r="CD93" s="244"/>
      <c r="CE93" s="244"/>
      <c r="CF93" s="244"/>
    </row>
    <row r="94" ht="0" hidden="1" customHeight="1">
      <c r="C94" s="114"/>
      <c r="D94" s="118"/>
      <c r="E94" s="118"/>
      <c r="F94" s="118"/>
      <c r="G94" s="118"/>
      <c r="H94" s="118"/>
      <c r="I94" s="711"/>
      <c r="J94" s="711"/>
      <c r="K94" s="711"/>
      <c r="L94" s="711"/>
      <c r="M94" s="711"/>
      <c r="N94" s="711"/>
      <c r="O94" s="113"/>
      <c r="AP94" s="213"/>
      <c r="AQ94" s="213"/>
      <c r="AR94" s="213"/>
      <c r="AS94" s="271"/>
      <c r="AT94" s="271"/>
      <c r="AU94" s="244"/>
      <c r="AV94" s="244"/>
      <c r="AW94" s="244"/>
      <c r="AX94" s="244"/>
      <c r="AY94" s="244"/>
      <c r="AZ94" s="244"/>
      <c r="BA94" s="244"/>
      <c r="BB94" s="244"/>
      <c r="BC94" s="244"/>
      <c r="BD94" s="244"/>
      <c r="BE94" s="244"/>
      <c r="BF94" s="244"/>
      <c r="BG94" s="244"/>
      <c r="BH94" s="244"/>
      <c r="BI94" s="244"/>
      <c r="BJ94" s="244"/>
      <c r="BK94" s="244"/>
      <c r="BL94" s="244"/>
      <c r="BM94" s="244"/>
      <c r="BN94" s="244"/>
      <c r="BO94" s="244"/>
      <c r="BP94" s="244"/>
      <c r="BQ94" s="244"/>
      <c r="BR94" s="244"/>
      <c r="BS94" s="244"/>
      <c r="BT94" s="244"/>
      <c r="BU94" s="244"/>
      <c r="BV94" s="244"/>
      <c r="BW94" s="244"/>
      <c r="BX94" s="244"/>
      <c r="BY94" s="244"/>
      <c r="BZ94" s="244"/>
      <c r="CA94" s="244"/>
      <c r="CB94" s="244"/>
      <c r="CC94" s="244"/>
      <c r="CD94" s="244"/>
      <c r="CE94" s="244"/>
      <c r="CF94" s="244"/>
    </row>
    <row r="95" ht="0" hidden="1" customHeight="1">
      <c r="C95" s="114"/>
      <c r="D95" s="118"/>
      <c r="E95" s="118"/>
      <c r="F95" s="118"/>
      <c r="G95" s="118"/>
      <c r="H95" s="118"/>
      <c r="I95" s="711"/>
      <c r="J95" s="711"/>
      <c r="K95" s="711"/>
      <c r="L95" s="711"/>
      <c r="M95" s="711"/>
      <c r="N95" s="711"/>
      <c r="O95" s="113"/>
      <c r="AP95" s="213"/>
      <c r="AQ95" s="213"/>
      <c r="AR95" s="213"/>
      <c r="AS95" s="271"/>
      <c r="AT95" s="271"/>
      <c r="AU95" s="244"/>
      <c r="AV95" s="244"/>
      <c r="AW95" s="244"/>
      <c r="AX95" s="244"/>
      <c r="AY95" s="244"/>
      <c r="AZ95" s="244"/>
      <c r="BA95" s="244"/>
      <c r="BB95" s="244"/>
      <c r="BC95" s="244"/>
      <c r="BD95" s="244"/>
      <c r="BE95" s="244"/>
      <c r="BF95" s="244"/>
      <c r="BG95" s="244"/>
      <c r="BH95" s="244"/>
      <c r="BI95" s="244"/>
      <c r="BJ95" s="244"/>
      <c r="BK95" s="244"/>
      <c r="BL95" s="244"/>
      <c r="BM95" s="244"/>
      <c r="BN95" s="244"/>
      <c r="BO95" s="244"/>
      <c r="BP95" s="244"/>
      <c r="BQ95" s="244"/>
      <c r="BR95" s="244"/>
      <c r="BS95" s="244"/>
      <c r="BT95" s="244"/>
      <c r="BU95" s="244"/>
      <c r="BV95" s="244"/>
      <c r="BW95" s="244"/>
      <c r="BX95" s="244"/>
      <c r="BY95" s="244"/>
      <c r="BZ95" s="244"/>
      <c r="CA95" s="244"/>
      <c r="CB95" s="244"/>
      <c r="CC95" s="244"/>
      <c r="CD95" s="244"/>
      <c r="CE95" s="244"/>
      <c r="CF95" s="244"/>
    </row>
    <row r="96" ht="0" hidden="1" customHeight="1">
      <c r="C96" s="114"/>
      <c r="D96" s="118"/>
      <c r="E96" s="118"/>
      <c r="F96" s="118"/>
      <c r="G96" s="118"/>
      <c r="H96" s="118"/>
      <c r="I96" s="711"/>
      <c r="J96" s="711"/>
      <c r="K96" s="711"/>
      <c r="L96" s="711"/>
      <c r="M96" s="711"/>
      <c r="N96" s="711"/>
      <c r="O96" s="113"/>
      <c r="AP96" s="213"/>
      <c r="AQ96" s="213"/>
      <c r="AR96" s="213"/>
      <c r="AS96" s="271"/>
      <c r="AT96" s="271"/>
      <c r="AU96" s="244"/>
      <c r="AV96" s="244"/>
      <c r="AW96" s="244"/>
      <c r="AX96" s="244"/>
      <c r="AY96" s="244"/>
      <c r="AZ96" s="244"/>
      <c r="BA96" s="244"/>
      <c r="BB96" s="244"/>
      <c r="BC96" s="244"/>
      <c r="BD96" s="244"/>
      <c r="BE96" s="244"/>
      <c r="BF96" s="244"/>
      <c r="BG96" s="244"/>
      <c r="BH96" s="244"/>
      <c r="BI96" s="244"/>
      <c r="BJ96" s="244"/>
      <c r="BK96" s="244"/>
      <c r="BL96" s="244"/>
      <c r="BM96" s="244"/>
      <c r="BN96" s="244"/>
      <c r="BO96" s="244"/>
      <c r="BP96" s="244"/>
      <c r="BQ96" s="244"/>
      <c r="BR96" s="244"/>
      <c r="BS96" s="244"/>
      <c r="BT96" s="244"/>
      <c r="BU96" s="244"/>
      <c r="BV96" s="244"/>
      <c r="BW96" s="244"/>
      <c r="BX96" s="244"/>
      <c r="BY96" s="244"/>
      <c r="BZ96" s="244"/>
      <c r="CA96" s="244"/>
      <c r="CB96" s="244"/>
      <c r="CC96" s="244"/>
      <c r="CD96" s="244"/>
      <c r="CE96" s="244"/>
      <c r="CF96" s="244"/>
    </row>
    <row r="97" ht="0" hidden="1" customHeight="1">
      <c r="C97" s="114"/>
      <c r="D97" s="118"/>
      <c r="E97" s="118"/>
      <c r="F97" s="118"/>
      <c r="G97" s="118"/>
      <c r="H97" s="118"/>
      <c r="I97" s="711"/>
      <c r="J97" s="711"/>
      <c r="K97" s="711"/>
      <c r="L97" s="711"/>
      <c r="M97" s="711"/>
      <c r="N97" s="711"/>
      <c r="O97" s="113"/>
      <c r="AP97" s="213"/>
      <c r="AQ97" s="213"/>
      <c r="AR97" s="213"/>
      <c r="AS97" s="271"/>
      <c r="AT97" s="271"/>
      <c r="AU97" s="244"/>
      <c r="AV97" s="244"/>
      <c r="AW97" s="244"/>
      <c r="AX97" s="244"/>
      <c r="AY97" s="244"/>
      <c r="AZ97" s="244"/>
      <c r="BA97" s="244"/>
      <c r="BB97" s="244"/>
      <c r="BC97" s="244"/>
      <c r="BD97" s="244"/>
      <c r="BE97" s="244"/>
      <c r="BF97" s="244"/>
      <c r="BG97" s="244"/>
      <c r="BH97" s="244"/>
      <c r="BI97" s="244"/>
      <c r="BJ97" s="244"/>
      <c r="BK97" s="244"/>
      <c r="BL97" s="244"/>
      <c r="BM97" s="244"/>
      <c r="BN97" s="244"/>
      <c r="BO97" s="244"/>
      <c r="BP97" s="244"/>
      <c r="BQ97" s="244"/>
      <c r="BR97" s="244"/>
      <c r="BS97" s="244"/>
      <c r="BT97" s="244"/>
      <c r="BU97" s="244"/>
      <c r="BV97" s="244"/>
      <c r="BW97" s="244"/>
      <c r="BX97" s="244"/>
      <c r="BY97" s="244"/>
      <c r="BZ97" s="244"/>
      <c r="CA97" s="244"/>
      <c r="CB97" s="244"/>
      <c r="CC97" s="244"/>
      <c r="CD97" s="244"/>
      <c r="CE97" s="244"/>
      <c r="CF97" s="244"/>
    </row>
    <row r="98" ht="0" hidden="1" customHeight="1">
      <c r="C98" s="114"/>
      <c r="D98" s="118"/>
      <c r="E98" s="118"/>
      <c r="F98" s="118"/>
      <c r="G98" s="118"/>
      <c r="H98" s="118"/>
      <c r="I98" s="711"/>
      <c r="J98" s="711"/>
      <c r="K98" s="711"/>
      <c r="L98" s="711"/>
      <c r="M98" s="711"/>
      <c r="N98" s="711"/>
      <c r="O98" s="113"/>
      <c r="AP98" s="213"/>
      <c r="AQ98" s="213"/>
      <c r="AR98" s="213"/>
      <c r="AS98" s="271"/>
      <c r="AT98" s="271"/>
      <c r="AU98" s="244"/>
      <c r="AV98" s="244"/>
      <c r="AW98" s="244"/>
      <c r="AX98" s="244"/>
      <c r="AY98" s="244"/>
      <c r="AZ98" s="244"/>
      <c r="BA98" s="244"/>
      <c r="BB98" s="244"/>
      <c r="BC98" s="244"/>
      <c r="BD98" s="244"/>
      <c r="BE98" s="244"/>
      <c r="BF98" s="244"/>
      <c r="BG98" s="244"/>
      <c r="BH98" s="244"/>
      <c r="BI98" s="244"/>
      <c r="BJ98" s="244"/>
      <c r="BK98" s="244"/>
      <c r="BL98" s="244"/>
      <c r="BM98" s="244"/>
      <c r="BN98" s="244"/>
      <c r="BO98" s="244"/>
      <c r="BP98" s="244"/>
      <c r="BQ98" s="244"/>
      <c r="BR98" s="244"/>
      <c r="BS98" s="244"/>
      <c r="BT98" s="244"/>
      <c r="BU98" s="244"/>
      <c r="BV98" s="244"/>
      <c r="BW98" s="244"/>
      <c r="BX98" s="244"/>
      <c r="BY98" s="244"/>
      <c r="BZ98" s="244"/>
      <c r="CA98" s="244"/>
      <c r="CB98" s="244"/>
      <c r="CC98" s="244"/>
      <c r="CD98" s="244"/>
      <c r="CE98" s="244"/>
      <c r="CF98" s="244"/>
    </row>
    <row r="99" ht="0" hidden="1" customHeight="1">
      <c r="C99" s="114"/>
      <c r="D99" s="118"/>
      <c r="E99" s="118"/>
      <c r="F99" s="118"/>
      <c r="G99" s="118"/>
      <c r="H99" s="118"/>
      <c r="I99" s="711"/>
      <c r="J99" s="711"/>
      <c r="K99" s="711"/>
      <c r="L99" s="711"/>
      <c r="M99" s="711"/>
      <c r="N99" s="711"/>
      <c r="O99" s="113"/>
      <c r="AP99" s="213"/>
      <c r="AQ99" s="213"/>
      <c r="AR99" s="213"/>
      <c r="AS99" s="271"/>
      <c r="AT99" s="271"/>
      <c r="AU99" s="244"/>
      <c r="AV99" s="244"/>
      <c r="AW99" s="244"/>
      <c r="AX99" s="244"/>
      <c r="AY99" s="244"/>
      <c r="AZ99" s="244"/>
      <c r="BA99" s="244"/>
      <c r="BB99" s="244"/>
      <c r="BC99" s="244"/>
      <c r="BD99" s="244"/>
      <c r="BE99" s="244"/>
      <c r="BF99" s="244"/>
      <c r="BG99" s="244"/>
      <c r="BH99" s="244"/>
      <c r="BI99" s="244"/>
      <c r="BJ99" s="244"/>
      <c r="BK99" s="244"/>
      <c r="BL99" s="244"/>
      <c r="BM99" s="244"/>
      <c r="BN99" s="244"/>
      <c r="BO99" s="244"/>
      <c r="BP99" s="244"/>
      <c r="BQ99" s="244"/>
      <c r="BR99" s="244"/>
      <c r="BS99" s="244"/>
      <c r="BT99" s="244"/>
      <c r="BU99" s="244"/>
      <c r="BV99" s="244"/>
      <c r="BW99" s="244"/>
      <c r="BX99" s="244"/>
      <c r="BY99" s="244"/>
      <c r="BZ99" s="244"/>
      <c r="CA99" s="244"/>
      <c r="CB99" s="244"/>
      <c r="CC99" s="244"/>
      <c r="CD99" s="244"/>
      <c r="CE99" s="244"/>
      <c r="CF99" s="244"/>
    </row>
    <row r="100" ht="0" hidden="1" customHeight="1">
      <c r="C100" s="114"/>
      <c r="D100" s="118"/>
      <c r="E100" s="118"/>
      <c r="F100" s="118"/>
      <c r="G100" s="118"/>
      <c r="H100" s="118"/>
      <c r="I100" s="711"/>
      <c r="J100" s="711"/>
      <c r="K100" s="711"/>
      <c r="L100" s="711"/>
      <c r="M100" s="711"/>
      <c r="N100" s="711"/>
      <c r="O100" s="113"/>
      <c r="AP100" s="213"/>
      <c r="AQ100" s="213"/>
      <c r="AR100" s="213"/>
      <c r="AS100" s="271"/>
      <c r="AT100" s="271"/>
      <c r="AU100" s="244"/>
      <c r="AV100" s="244"/>
      <c r="AW100" s="244"/>
      <c r="AX100" s="244"/>
      <c r="AY100" s="244"/>
      <c r="AZ100" s="244"/>
      <c r="BA100" s="244"/>
      <c r="BB100" s="244"/>
      <c r="BC100" s="244"/>
      <c r="BD100" s="244"/>
      <c r="BE100" s="244"/>
      <c r="BF100" s="244"/>
      <c r="BG100" s="244"/>
      <c r="BH100" s="244"/>
      <c r="BI100" s="244"/>
      <c r="BJ100" s="244"/>
      <c r="BK100" s="244"/>
      <c r="BL100" s="244"/>
      <c r="BM100" s="244"/>
      <c r="BN100" s="244"/>
      <c r="BO100" s="244"/>
      <c r="BP100" s="244"/>
      <c r="BQ100" s="244"/>
      <c r="BR100" s="244"/>
      <c r="BS100" s="244"/>
      <c r="BT100" s="244"/>
      <c r="BU100" s="244"/>
      <c r="BV100" s="244"/>
      <c r="BW100" s="244"/>
      <c r="BX100" s="244"/>
      <c r="BY100" s="244"/>
      <c r="BZ100" s="244"/>
      <c r="CA100" s="244"/>
      <c r="CB100" s="244"/>
      <c r="CC100" s="244"/>
      <c r="CD100" s="244"/>
      <c r="CE100" s="244"/>
      <c r="CF100" s="244"/>
    </row>
    <row r="101" ht="0" hidden="1" customHeight="1">
      <c r="C101" s="114"/>
      <c r="D101" s="118"/>
      <c r="E101" s="118"/>
      <c r="F101" s="118"/>
      <c r="G101" s="118"/>
      <c r="H101" s="118"/>
      <c r="I101" s="118"/>
      <c r="J101" s="118"/>
      <c r="K101" s="118"/>
      <c r="L101" s="118"/>
      <c r="M101" s="118"/>
      <c r="N101" s="118"/>
      <c r="O101" s="113"/>
      <c r="AS101" s="244"/>
      <c r="AT101" s="244"/>
      <c r="AU101" s="244"/>
      <c r="AV101" s="244"/>
      <c r="AW101" s="244"/>
      <c r="AX101" s="244"/>
      <c r="AY101" s="244"/>
      <c r="AZ101" s="244"/>
      <c r="BA101" s="244"/>
      <c r="BB101" s="244"/>
      <c r="BC101" s="244"/>
      <c r="BD101" s="244"/>
      <c r="BE101" s="244"/>
      <c r="BF101" s="244"/>
      <c r="BG101" s="244"/>
      <c r="BH101" s="244"/>
      <c r="BI101" s="244"/>
      <c r="BJ101" s="244"/>
      <c r="BK101" s="244"/>
      <c r="BL101" s="244"/>
      <c r="BM101" s="244"/>
      <c r="BN101" s="244"/>
      <c r="BO101" s="244"/>
      <c r="BP101" s="244"/>
      <c r="BQ101" s="244"/>
      <c r="BR101" s="244"/>
      <c r="BS101" s="244"/>
      <c r="BT101" s="244"/>
      <c r="BU101" s="244"/>
      <c r="BV101" s="244"/>
      <c r="BW101" s="244"/>
      <c r="BX101" s="244"/>
      <c r="BY101" s="244"/>
      <c r="BZ101" s="244"/>
      <c r="CA101" s="244"/>
      <c r="CB101" s="244"/>
      <c r="CC101" s="244"/>
      <c r="CD101" s="244"/>
      <c r="CE101" s="244"/>
      <c r="CF101" s="244"/>
    </row>
    <row r="102" ht="18" customHeight="1">
      <c r="E102" s="115"/>
      <c r="F102" s="115"/>
      <c r="G102" s="115"/>
      <c r="Y102" s="121"/>
      <c r="AB102" s="0"/>
      <c r="AC102" s="0"/>
      <c r="AD102" s="0"/>
      <c r="AE102" s="100"/>
      <c r="AI102" s="0"/>
      <c r="AS102" s="244"/>
      <c r="AT102" s="244"/>
      <c r="AU102" s="244"/>
      <c r="AV102" s="244"/>
      <c r="AW102" s="244"/>
      <c r="AX102" s="244"/>
      <c r="AY102" s="244"/>
      <c r="AZ102" s="244"/>
      <c r="BA102" s="244"/>
      <c r="BB102" s="244"/>
      <c r="BC102" s="244"/>
      <c r="BD102" s="244"/>
      <c r="BE102" s="244"/>
      <c r="BF102" s="244"/>
      <c r="BG102" s="244"/>
      <c r="BH102" s="244"/>
      <c r="BI102" s="244"/>
      <c r="BJ102" s="244"/>
      <c r="BK102" s="244"/>
      <c r="BL102" s="244"/>
      <c r="BM102" s="244"/>
      <c r="BN102" s="244"/>
      <c r="BO102" s="244"/>
      <c r="BP102" s="244"/>
      <c r="BQ102" s="244"/>
      <c r="BR102" s="244"/>
      <c r="BS102" s="244"/>
      <c r="BT102" s="244"/>
      <c r="BU102" s="244"/>
      <c r="BV102" s="244"/>
      <c r="BW102" s="244"/>
      <c r="BX102" s="244"/>
      <c r="BY102" s="244"/>
      <c r="BZ102" s="244"/>
      <c r="CA102" s="244"/>
      <c r="CB102" s="244"/>
      <c r="CC102" s="244"/>
      <c r="CD102" s="244"/>
      <c r="CE102" s="244"/>
      <c r="CF102" s="244"/>
    </row>
    <row r="103" ht="39.95" customHeight="1">
      <c r="B103"/>
      <c r="C103" s="712" t="s">
        <v>114</v>
      </c>
      <c r="D103" s="712"/>
      <c r="E103" s="712"/>
      <c r="F103" s="712"/>
      <c r="G103" s="712"/>
      <c r="H103" s="712"/>
      <c r="I103" s="712"/>
      <c r="J103" s="712"/>
      <c r="K103" s="712"/>
      <c r="L103" s="712"/>
      <c r="M103" s="712"/>
      <c r="N103" s="712"/>
      <c r="O103" s="712"/>
      <c r="P103" s="712"/>
      <c r="Q103" s="712"/>
      <c r="R103" s="712"/>
      <c r="S103" s="712"/>
      <c r="T103" s="712"/>
      <c r="U103" s="712"/>
      <c r="V103" s="712"/>
      <c r="W103" s="712"/>
      <c r="X103" s="712"/>
      <c r="Y103" s="712"/>
      <c r="Z103" s="712"/>
      <c r="AA103" s="712"/>
      <c r="AB103" s="712"/>
      <c r="AC103" s="712"/>
      <c r="AD103" s="712"/>
      <c r="AE103" s="712"/>
      <c r="AF103" s="712"/>
      <c r="AG103" s="712"/>
      <c r="AH103" s="712"/>
      <c r="AI103" s="712"/>
      <c r="AJ103" s="712"/>
      <c r="AK103" s="712"/>
      <c r="AL103" s="712"/>
      <c r="AM103" s="712"/>
      <c r="AN103" s="712"/>
      <c r="AO103" s="712"/>
      <c r="AS103" s="244"/>
      <c r="AT103" s="244"/>
      <c r="AU103" s="244"/>
      <c r="AV103" s="244"/>
      <c r="AW103" s="244"/>
      <c r="AX103" s="244"/>
      <c r="AY103" s="244"/>
      <c r="AZ103" s="244"/>
      <c r="BA103" s="244"/>
      <c r="BB103" s="244"/>
      <c r="BC103" s="244"/>
      <c r="BD103" s="244"/>
      <c r="BE103" s="244"/>
      <c r="BF103" s="244"/>
      <c r="BG103" s="244"/>
      <c r="BH103" s="244"/>
      <c r="BI103" s="244"/>
      <c r="BJ103" s="244"/>
      <c r="BK103" s="244"/>
      <c r="BL103" s="244"/>
      <c r="BM103" s="244"/>
      <c r="BN103" s="244"/>
      <c r="BO103" s="244"/>
      <c r="BP103" s="244"/>
      <c r="BQ103" s="244"/>
      <c r="BR103" s="244"/>
      <c r="BS103" s="244"/>
      <c r="BT103" s="244"/>
      <c r="BU103" s="244"/>
      <c r="BV103" s="244"/>
      <c r="BW103" s="244"/>
      <c r="BX103" s="244"/>
      <c r="BY103" s="244"/>
      <c r="BZ103" s="244"/>
      <c r="CA103" s="244"/>
      <c r="CB103" s="244"/>
      <c r="CC103" s="244"/>
      <c r="CD103" s="244"/>
      <c r="CE103" s="244"/>
      <c r="CF103" s="244"/>
    </row>
    <row r="104" s="117" customFormat="1" ht="18" customHeight="1">
      <c r="E104" s="63"/>
      <c r="F104" s="63"/>
      <c r="G104" s="63"/>
      <c r="H104"/>
      <c r="I104"/>
      <c r="J104"/>
      <c r="K104"/>
      <c r="L104"/>
      <c r="M104"/>
      <c r="N104"/>
      <c r="O104"/>
      <c r="P104"/>
      <c r="Q104"/>
      <c r="R104"/>
      <c r="S104"/>
      <c r="T104"/>
      <c r="U104"/>
      <c r="V104"/>
      <c r="W104"/>
      <c r="X104"/>
      <c r="Y104"/>
      <c r="Z104"/>
      <c r="AS104" s="247"/>
      <c r="AT104" s="247"/>
      <c r="AU104" s="247"/>
      <c r="AV104" s="247"/>
      <c r="AW104" s="247"/>
      <c r="AX104" s="247"/>
      <c r="AY104" s="247"/>
      <c r="AZ104" s="247"/>
      <c r="BA104" s="247"/>
      <c r="BB104" s="247"/>
      <c r="BC104" s="247"/>
      <c r="BD104" s="247"/>
      <c r="BE104" s="247"/>
      <c r="BF104" s="247"/>
      <c r="BG104" s="247"/>
      <c r="BH104" s="247"/>
      <c r="BI104" s="247"/>
      <c r="BJ104" s="247"/>
      <c r="BK104" s="247"/>
      <c r="BL104" s="247"/>
      <c r="BM104" s="247"/>
      <c r="BN104" s="247"/>
      <c r="BO104" s="247"/>
      <c r="BP104" s="247"/>
      <c r="BQ104" s="247"/>
      <c r="BR104" s="247"/>
      <c r="BS104" s="247"/>
      <c r="BT104" s="247"/>
      <c r="BU104" s="247"/>
      <c r="BV104" s="247"/>
      <c r="BW104" s="247"/>
      <c r="BX104" s="247"/>
      <c r="BY104" s="247"/>
      <c r="BZ104" s="247"/>
      <c r="CA104" s="247"/>
      <c r="CB104" s="247"/>
      <c r="CC104" s="247"/>
      <c r="CD104" s="247"/>
      <c r="CE104" s="247"/>
      <c r="CF104" s="247"/>
    </row>
    <row r="105" ht="12.75" customHeight="1">
      <c r="A105" s="713"/>
      <c r="B105" s="713"/>
      <c r="C105" s="713"/>
      <c r="D105" s="713"/>
      <c r="E105" s="713"/>
      <c r="F105" s="713"/>
      <c r="G105" s="713"/>
      <c r="H105" s="713"/>
      <c r="I105" s="713"/>
      <c r="J105" s="713"/>
      <c r="K105" s="713"/>
      <c r="L105" s="713"/>
      <c r="M105" s="713"/>
      <c r="N105" s="713"/>
      <c r="O105" s="713"/>
      <c r="P105" s="713"/>
      <c r="Q105" s="713"/>
      <c r="R105" s="713"/>
      <c r="S105" s="713"/>
      <c r="T105" s="713"/>
      <c r="U105" s="713"/>
      <c r="V105" s="713"/>
      <c r="W105" s="713"/>
      <c r="X105" s="713"/>
      <c r="Y105" s="713"/>
      <c r="Z105" s="713"/>
      <c r="AA105" s="713"/>
      <c r="AB105" s="713"/>
      <c r="AC105" s="713"/>
      <c r="AD105" s="713"/>
      <c r="AE105" s="713"/>
      <c r="AF105" s="713"/>
      <c r="AG105" s="713"/>
      <c r="AH105" s="713"/>
      <c r="AI105" s="713"/>
      <c r="AJ105" s="713"/>
      <c r="AK105" s="713"/>
      <c r="AL105" s="713"/>
      <c r="AM105" s="713"/>
      <c r="AN105" s="713"/>
      <c r="AO105" s="713"/>
      <c r="AP105" s="713"/>
      <c r="AQ105" s="713"/>
      <c r="AR105" s="713"/>
      <c r="AS105" s="713"/>
      <c r="AT105" s="713"/>
      <c r="AU105" s="713"/>
      <c r="AV105" s="713"/>
      <c r="AW105" s="713"/>
      <c r="AX105" s="713"/>
      <c r="AY105" s="713"/>
      <c r="AZ105" s="713"/>
      <c r="BA105" s="713"/>
      <c r="BB105" s="713"/>
      <c r="BC105" s="713"/>
      <c r="BD105" s="713"/>
      <c r="BE105" s="713"/>
      <c r="BF105" s="713"/>
      <c r="BG105" s="713"/>
      <c r="BH105" s="713"/>
      <c r="BI105" s="713"/>
      <c r="BJ105" s="713"/>
      <c r="BK105" s="713"/>
      <c r="BL105" s="713"/>
      <c r="BM105" s="713"/>
      <c r="BN105" s="713"/>
      <c r="BO105" s="713"/>
      <c r="BP105" s="713"/>
      <c r="BQ105" s="713"/>
      <c r="BR105" s="244"/>
      <c r="BS105" s="244"/>
      <c r="BT105" s="244"/>
      <c r="BU105" s="244"/>
      <c r="BV105" s="244"/>
      <c r="BW105" s="244"/>
      <c r="BX105" s="244"/>
      <c r="BY105" s="244"/>
      <c r="BZ105" s="244"/>
      <c r="CA105" s="244"/>
      <c r="CB105" s="244"/>
      <c r="CC105" s="244"/>
      <c r="CD105" s="244"/>
      <c r="CE105" s="244"/>
      <c r="CF105" s="244"/>
    </row>
    <row r="106" ht="12.75" customHeight="1">
      <c r="A106" s="713"/>
      <c r="B106" s="713"/>
      <c r="C106" s="713"/>
      <c r="D106" s="713"/>
      <c r="E106" s="713"/>
      <c r="F106" s="713"/>
      <c r="G106" s="713"/>
      <c r="H106" s="713"/>
      <c r="I106" s="713"/>
      <c r="J106" s="713"/>
      <c r="K106" s="713"/>
      <c r="L106" s="713"/>
      <c r="M106" s="713"/>
      <c r="N106" s="713"/>
      <c r="O106" s="713"/>
      <c r="P106" s="713"/>
      <c r="Q106" s="713"/>
      <c r="R106" s="713"/>
      <c r="S106" s="713"/>
      <c r="T106" s="713"/>
      <c r="U106" s="713"/>
      <c r="V106" s="713"/>
      <c r="W106" s="713"/>
      <c r="X106" s="713"/>
      <c r="Y106" s="713"/>
      <c r="Z106" s="713"/>
      <c r="AA106" s="713"/>
      <c r="AB106" s="713"/>
      <c r="AC106" s="713"/>
      <c r="AD106" s="713"/>
      <c r="AE106" s="713"/>
      <c r="AF106" s="713"/>
      <c r="AG106" s="713"/>
      <c r="AH106" s="713"/>
      <c r="AI106" s="713"/>
      <c r="AJ106" s="713"/>
      <c r="AK106" s="713"/>
      <c r="AL106" s="713"/>
      <c r="AM106" s="713"/>
      <c r="AN106" s="713"/>
      <c r="AO106" s="713"/>
      <c r="AP106" s="713"/>
      <c r="AQ106" s="713"/>
      <c r="AR106" s="713"/>
      <c r="AS106" s="713"/>
      <c r="AT106" s="713"/>
      <c r="AU106" s="713"/>
      <c r="AV106" s="713"/>
      <c r="AW106" s="713"/>
      <c r="AX106" s="713"/>
      <c r="AY106" s="713"/>
      <c r="AZ106" s="713"/>
      <c r="BA106" s="713"/>
      <c r="BB106" s="713"/>
      <c r="BC106" s="713"/>
      <c r="BD106" s="713"/>
      <c r="BE106" s="713"/>
      <c r="BF106" s="713"/>
      <c r="BG106" s="713"/>
      <c r="BH106" s="713"/>
      <c r="BI106" s="713"/>
      <c r="BJ106" s="713"/>
      <c r="BK106" s="713"/>
      <c r="BL106" s="713"/>
      <c r="BM106" s="713"/>
      <c r="BN106" s="713"/>
      <c r="BO106" s="713"/>
      <c r="BP106" s="713"/>
      <c r="BQ106" s="713"/>
      <c r="BR106" s="244"/>
      <c r="BS106" s="244"/>
      <c r="BT106" s="244"/>
      <c r="BU106" s="244"/>
      <c r="BV106" s="244"/>
      <c r="BW106" s="244"/>
      <c r="BX106" s="244"/>
      <c r="BY106" s="244"/>
      <c r="BZ106" s="244"/>
      <c r="CA106" s="244"/>
      <c r="CB106" s="244"/>
      <c r="CC106" s="244"/>
      <c r="CD106" s="244"/>
      <c r="CE106" s="244"/>
      <c r="CF106" s="244"/>
    </row>
    <row r="107" ht="12.75" customHeight="1">
      <c r="A107" s="713"/>
      <c r="B107" s="713"/>
      <c r="C107" s="713"/>
      <c r="D107" s="713"/>
      <c r="E107" s="713"/>
      <c r="F107" s="713"/>
      <c r="G107" s="713"/>
      <c r="H107" s="713"/>
      <c r="I107" s="713"/>
      <c r="J107" s="713"/>
      <c r="K107" s="713"/>
      <c r="L107" s="713"/>
      <c r="M107" s="713"/>
      <c r="N107" s="713"/>
      <c r="O107" s="713"/>
      <c r="P107" s="713"/>
      <c r="Q107" s="713"/>
      <c r="R107" s="713"/>
      <c r="S107" s="713"/>
      <c r="T107" s="713"/>
      <c r="U107" s="713"/>
      <c r="V107" s="713"/>
      <c r="W107" s="713"/>
      <c r="X107" s="713"/>
      <c r="Y107" s="713"/>
      <c r="Z107" s="713"/>
      <c r="AA107" s="713"/>
      <c r="AB107" s="713"/>
      <c r="AC107" s="713"/>
      <c r="AD107" s="713"/>
      <c r="AE107" s="713"/>
      <c r="AF107" s="713"/>
      <c r="AG107" s="713"/>
      <c r="AH107" s="713"/>
      <c r="AI107" s="713"/>
      <c r="AJ107" s="713"/>
      <c r="AK107" s="713"/>
      <c r="AL107" s="713"/>
      <c r="AM107" s="713"/>
      <c r="AN107" s="713"/>
      <c r="AO107" s="713"/>
      <c r="AP107" s="713"/>
      <c r="AQ107" s="713"/>
      <c r="AR107" s="713"/>
      <c r="AS107" s="713"/>
      <c r="AT107" s="713"/>
      <c r="AU107" s="713"/>
      <c r="AV107" s="713"/>
      <c r="AW107" s="713"/>
      <c r="AX107" s="713"/>
      <c r="AY107" s="713"/>
      <c r="AZ107" s="713"/>
      <c r="BA107" s="713"/>
      <c r="BB107" s="713"/>
      <c r="BC107" s="713"/>
      <c r="BD107" s="713"/>
      <c r="BE107" s="713"/>
      <c r="BF107" s="713"/>
      <c r="BG107" s="713"/>
      <c r="BH107" s="713"/>
      <c r="BI107" s="713"/>
      <c r="BJ107" s="713"/>
      <c r="BK107" s="713"/>
      <c r="BL107" s="713"/>
      <c r="BM107" s="713"/>
      <c r="BN107" s="713"/>
      <c r="BO107" s="713"/>
      <c r="BP107" s="713"/>
      <c r="BQ107" s="713"/>
      <c r="BR107" s="244"/>
      <c r="BS107" s="244"/>
      <c r="BT107" s="244"/>
      <c r="BU107" s="244"/>
      <c r="BV107" s="244"/>
      <c r="BW107" s="244"/>
      <c r="BX107" s="244"/>
      <c r="BY107" s="244"/>
      <c r="BZ107" s="244"/>
      <c r="CA107" s="244"/>
      <c r="CB107" s="244"/>
      <c r="CC107" s="244"/>
      <c r="CD107" s="244"/>
      <c r="CE107" s="244"/>
      <c r="CF107" s="244"/>
    </row>
    <row r="108" ht="12.75" customHeight="1">
      <c r="A108" s="713"/>
      <c r="B108" s="713"/>
      <c r="C108" s="713"/>
      <c r="D108" s="713"/>
      <c r="E108" s="713"/>
      <c r="F108" s="713"/>
      <c r="G108" s="713"/>
      <c r="H108" s="713"/>
      <c r="I108" s="713"/>
      <c r="J108" s="713"/>
      <c r="K108" s="713"/>
      <c r="L108" s="713"/>
      <c r="M108" s="713"/>
      <c r="N108" s="713"/>
      <c r="O108" s="713"/>
      <c r="P108" s="713"/>
      <c r="Q108" s="713"/>
      <c r="R108" s="713"/>
      <c r="S108" s="713"/>
      <c r="T108" s="713"/>
      <c r="U108" s="713"/>
      <c r="V108" s="713"/>
      <c r="W108" s="713"/>
      <c r="X108" s="713"/>
      <c r="Y108" s="713"/>
      <c r="Z108" s="713"/>
      <c r="AA108" s="713"/>
      <c r="AB108" s="713"/>
      <c r="AC108" s="713"/>
      <c r="AD108" s="713"/>
      <c r="AE108" s="713"/>
      <c r="AF108" s="713"/>
      <c r="AG108" s="713"/>
      <c r="AH108" s="713"/>
      <c r="AI108" s="713"/>
      <c r="AJ108" s="713"/>
      <c r="AK108" s="713"/>
      <c r="AL108" s="713"/>
      <c r="AM108" s="713"/>
      <c r="AN108" s="713"/>
      <c r="AO108" s="713"/>
      <c r="AP108" s="713"/>
      <c r="AQ108" s="713"/>
      <c r="AR108" s="713"/>
      <c r="AS108" s="713"/>
      <c r="AT108" s="713"/>
      <c r="AU108" s="713"/>
      <c r="AV108" s="713"/>
      <c r="AW108" s="713"/>
      <c r="AX108" s="713"/>
      <c r="AY108" s="713"/>
      <c r="AZ108" s="713"/>
      <c r="BA108" s="713"/>
      <c r="BB108" s="713"/>
      <c r="BC108" s="713"/>
      <c r="BD108" s="713"/>
      <c r="BE108" s="713"/>
      <c r="BF108" s="713"/>
      <c r="BG108" s="713"/>
      <c r="BH108" s="713"/>
      <c r="BI108" s="713"/>
      <c r="BJ108" s="713"/>
      <c r="BK108" s="713"/>
      <c r="BL108" s="713"/>
      <c r="BM108" s="713"/>
      <c r="BN108" s="713"/>
      <c r="BO108" s="713"/>
      <c r="BP108" s="713"/>
      <c r="BQ108" s="713"/>
      <c r="BR108" s="244"/>
      <c r="BS108" s="244"/>
      <c r="BT108" s="244"/>
      <c r="BU108" s="244"/>
      <c r="BV108" s="244"/>
      <c r="BW108" s="244"/>
      <c r="BX108" s="244"/>
      <c r="BY108" s="244"/>
      <c r="BZ108" s="244"/>
      <c r="CA108" s="244"/>
      <c r="CB108" s="244"/>
      <c r="CC108" s="244"/>
      <c r="CD108" s="244"/>
      <c r="CE108" s="244"/>
      <c r="CF108" s="244"/>
    </row>
    <row r="109" ht="12.75" customHeight="1">
      <c r="A109" s="713"/>
      <c r="B109" s="713"/>
      <c r="C109" s="713"/>
      <c r="D109" s="713"/>
      <c r="E109" s="713"/>
      <c r="F109" s="713"/>
      <c r="G109" s="713"/>
      <c r="H109" s="713"/>
      <c r="I109" s="713"/>
      <c r="J109" s="713"/>
      <c r="K109" s="713"/>
      <c r="L109" s="713"/>
      <c r="M109" s="713"/>
      <c r="N109" s="713"/>
      <c r="O109" s="713"/>
      <c r="P109" s="713"/>
      <c r="Q109" s="713"/>
      <c r="R109" s="713"/>
      <c r="S109" s="713"/>
      <c r="T109" s="713"/>
      <c r="U109" s="713"/>
      <c r="V109" s="713"/>
      <c r="W109" s="713"/>
      <c r="X109" s="713"/>
      <c r="Y109" s="713"/>
      <c r="Z109" s="713"/>
      <c r="AA109" s="713"/>
      <c r="AB109" s="713"/>
      <c r="AC109" s="713"/>
      <c r="AD109" s="713"/>
      <c r="AE109" s="713"/>
      <c r="AF109" s="713"/>
      <c r="AG109" s="713"/>
      <c r="AH109" s="713"/>
      <c r="AI109" s="713"/>
      <c r="AJ109" s="713"/>
      <c r="AK109" s="713"/>
      <c r="AL109" s="713"/>
      <c r="AM109" s="713"/>
      <c r="AN109" s="713"/>
      <c r="AO109" s="713"/>
      <c r="AP109" s="713"/>
      <c r="AQ109" s="713"/>
      <c r="AR109" s="713"/>
      <c r="AS109" s="713"/>
      <c r="AT109" s="713"/>
      <c r="AU109" s="713"/>
      <c r="AV109" s="713"/>
      <c r="AW109" s="713"/>
      <c r="AX109" s="713"/>
      <c r="AY109" s="713"/>
      <c r="AZ109" s="713"/>
      <c r="BA109" s="713"/>
      <c r="BB109" s="713"/>
      <c r="BC109" s="713"/>
      <c r="BD109" s="713"/>
      <c r="BE109" s="713"/>
      <c r="BF109" s="713"/>
      <c r="BG109" s="713"/>
      <c r="BH109" s="713"/>
      <c r="BI109" s="713"/>
      <c r="BJ109" s="713"/>
      <c r="BK109" s="713"/>
      <c r="BL109" s="713"/>
      <c r="BM109" s="713"/>
      <c r="BN109" s="713"/>
      <c r="BO109" s="713"/>
      <c r="BP109" s="713"/>
      <c r="BQ109" s="713"/>
      <c r="BR109" s="244"/>
      <c r="BS109" s="244"/>
      <c r="BT109" s="244"/>
      <c r="BU109" s="244"/>
      <c r="BV109" s="244"/>
      <c r="BW109" s="244"/>
      <c r="BX109" s="244"/>
      <c r="BY109" s="244"/>
      <c r="BZ109" s="244"/>
      <c r="CA109" s="244"/>
      <c r="CB109" s="244"/>
      <c r="CC109" s="244"/>
      <c r="CD109" s="244"/>
      <c r="CE109" s="244"/>
      <c r="CF109" s="244"/>
    </row>
    <row r="110" ht="12.75" customHeight="1">
      <c r="A110" s="713"/>
      <c r="B110" s="713"/>
      <c r="C110" s="713"/>
      <c r="D110" s="713"/>
      <c r="E110" s="713"/>
      <c r="F110" s="713"/>
      <c r="G110" s="713"/>
      <c r="H110" s="713"/>
      <c r="I110" s="713"/>
      <c r="J110" s="713"/>
      <c r="K110" s="713"/>
      <c r="L110" s="713"/>
      <c r="M110" s="713"/>
      <c r="N110" s="713"/>
      <c r="O110" s="713"/>
      <c r="P110" s="713"/>
      <c r="Q110" s="713"/>
      <c r="R110" s="713"/>
      <c r="S110" s="713"/>
      <c r="T110" s="713"/>
      <c r="U110" s="713"/>
      <c r="V110" s="713"/>
      <c r="W110" s="713"/>
      <c r="X110" s="713"/>
      <c r="Y110" s="713"/>
      <c r="Z110" s="713"/>
      <c r="AA110" s="713"/>
      <c r="AB110" s="713"/>
      <c r="AC110" s="713"/>
      <c r="AD110" s="713"/>
      <c r="AE110" s="713"/>
      <c r="AF110" s="713"/>
      <c r="AG110" s="713"/>
      <c r="AH110" s="713"/>
      <c r="AI110" s="713"/>
      <c r="AJ110" s="713"/>
      <c r="AK110" s="713"/>
      <c r="AL110" s="713"/>
      <c r="AM110" s="713"/>
      <c r="AN110" s="713"/>
      <c r="AO110" s="713"/>
      <c r="AP110" s="713"/>
      <c r="AQ110" s="713"/>
      <c r="AR110" s="713"/>
      <c r="AS110" s="713"/>
      <c r="AT110" s="713"/>
      <c r="AU110" s="713"/>
      <c r="AV110" s="713"/>
      <c r="AW110" s="713"/>
      <c r="AX110" s="713"/>
      <c r="AY110" s="713"/>
      <c r="AZ110" s="713"/>
      <c r="BA110" s="713"/>
      <c r="BB110" s="713"/>
      <c r="BC110" s="713"/>
      <c r="BD110" s="713"/>
      <c r="BE110" s="713"/>
      <c r="BF110" s="713"/>
      <c r="BG110" s="713"/>
      <c r="BH110" s="713"/>
      <c r="BI110" s="713"/>
      <c r="BJ110" s="713"/>
      <c r="BK110" s="713"/>
      <c r="BL110" s="713"/>
      <c r="BM110" s="713"/>
      <c r="BN110" s="713"/>
      <c r="BO110" s="713"/>
      <c r="BP110" s="713"/>
      <c r="BQ110" s="713"/>
      <c r="BR110" s="244"/>
      <c r="BS110" s="244"/>
      <c r="BT110" s="244"/>
      <c r="BU110" s="244"/>
      <c r="BV110" s="244"/>
      <c r="BW110" s="244"/>
      <c r="BX110" s="244"/>
      <c r="BY110" s="244"/>
      <c r="BZ110" s="244"/>
      <c r="CA110" s="244"/>
      <c r="CB110" s="244"/>
      <c r="CC110" s="244"/>
      <c r="CD110" s="244"/>
      <c r="CE110" s="244"/>
      <c r="CF110" s="244"/>
    </row>
    <row r="111" ht="12.75" customHeight="1">
      <c r="A111" s="713"/>
      <c r="B111" s="713"/>
      <c r="C111" s="713"/>
      <c r="D111" s="713"/>
      <c r="E111" s="713"/>
      <c r="F111" s="713"/>
      <c r="G111" s="713"/>
      <c r="H111" s="713"/>
      <c r="I111" s="713"/>
      <c r="J111" s="713"/>
      <c r="K111" s="713"/>
      <c r="L111" s="713"/>
      <c r="M111" s="713"/>
      <c r="N111" s="713"/>
      <c r="O111" s="713"/>
      <c r="P111" s="713"/>
      <c r="Q111" s="713"/>
      <c r="R111" s="713"/>
      <c r="S111" s="713"/>
      <c r="T111" s="713"/>
      <c r="U111" s="713"/>
      <c r="V111" s="713"/>
      <c r="W111" s="713"/>
      <c r="X111" s="713"/>
      <c r="Y111" s="713"/>
      <c r="Z111" s="713"/>
      <c r="AA111" s="713"/>
      <c r="AB111" s="713"/>
      <c r="AC111" s="713"/>
      <c r="AD111" s="713"/>
      <c r="AE111" s="713"/>
      <c r="AF111" s="713"/>
      <c r="AG111" s="713"/>
      <c r="AH111" s="713"/>
      <c r="AI111" s="713"/>
      <c r="AJ111" s="713"/>
      <c r="AK111" s="713"/>
      <c r="AL111" s="713"/>
      <c r="AM111" s="713"/>
      <c r="AN111" s="713"/>
      <c r="AO111" s="713"/>
      <c r="AP111" s="713"/>
      <c r="AQ111" s="713"/>
      <c r="AR111" s="713"/>
      <c r="AS111" s="713"/>
      <c r="AT111" s="713"/>
      <c r="AU111" s="713"/>
      <c r="AV111" s="713"/>
      <c r="AW111" s="713"/>
      <c r="AX111" s="713"/>
      <c r="AY111" s="713"/>
      <c r="AZ111" s="713"/>
      <c r="BA111" s="713"/>
      <c r="BB111" s="713"/>
      <c r="BC111" s="713"/>
      <c r="BD111" s="713"/>
      <c r="BE111" s="713"/>
      <c r="BF111" s="713"/>
      <c r="BG111" s="713"/>
      <c r="BH111" s="713"/>
      <c r="BI111" s="713"/>
      <c r="BJ111" s="713"/>
      <c r="BK111" s="713"/>
      <c r="BL111" s="713"/>
      <c r="BM111" s="713"/>
      <c r="BN111" s="713"/>
      <c r="BO111" s="713"/>
      <c r="BP111" s="713"/>
      <c r="BQ111" s="713"/>
      <c r="BR111" s="244"/>
      <c r="BS111" s="244"/>
      <c r="BT111" s="244"/>
      <c r="BU111" s="244"/>
      <c r="BV111" s="244"/>
      <c r="BW111" s="244"/>
      <c r="BX111" s="244"/>
      <c r="BY111" s="244"/>
      <c r="BZ111" s="244"/>
      <c r="CA111" s="244"/>
      <c r="CB111" s="244"/>
      <c r="CC111" s="244"/>
      <c r="CD111" s="244"/>
      <c r="CE111" s="244"/>
      <c r="CF111" s="244"/>
    </row>
    <row r="112" ht="12.75" customHeight="1">
      <c r="A112" s="713"/>
      <c r="B112" s="713"/>
      <c r="C112" s="713"/>
      <c r="D112" s="713"/>
      <c r="E112" s="713"/>
      <c r="F112" s="713"/>
      <c r="G112" s="713"/>
      <c r="H112" s="713"/>
      <c r="I112" s="713"/>
      <c r="J112" s="713"/>
      <c r="K112" s="713"/>
      <c r="L112" s="713"/>
      <c r="M112" s="713"/>
      <c r="N112" s="713"/>
      <c r="O112" s="713"/>
      <c r="P112" s="713"/>
      <c r="Q112" s="713"/>
      <c r="R112" s="713"/>
      <c r="S112" s="713"/>
      <c r="T112" s="713"/>
      <c r="U112" s="713"/>
      <c r="V112" s="713"/>
      <c r="W112" s="713"/>
      <c r="X112" s="713"/>
      <c r="Y112" s="713"/>
      <c r="Z112" s="713"/>
      <c r="AA112" s="713"/>
      <c r="AB112" s="713"/>
      <c r="AC112" s="713"/>
      <c r="AD112" s="713"/>
      <c r="AE112" s="713"/>
      <c r="AF112" s="713"/>
      <c r="AG112" s="713"/>
      <c r="AH112" s="713"/>
      <c r="AI112" s="713"/>
      <c r="AJ112" s="713"/>
      <c r="AK112" s="713"/>
      <c r="AL112" s="713"/>
      <c r="AM112" s="713"/>
      <c r="AN112" s="713"/>
      <c r="AO112" s="713"/>
      <c r="AP112" s="713"/>
      <c r="AQ112" s="713"/>
      <c r="AR112" s="713"/>
      <c r="AS112" s="713"/>
      <c r="AT112" s="713"/>
      <c r="AU112" s="713"/>
      <c r="AV112" s="713"/>
      <c r="AW112" s="713"/>
      <c r="AX112" s="713"/>
      <c r="AY112" s="713"/>
      <c r="AZ112" s="713"/>
      <c r="BA112" s="713"/>
      <c r="BB112" s="713"/>
      <c r="BC112" s="713"/>
      <c r="BD112" s="713"/>
      <c r="BE112" s="713"/>
      <c r="BF112" s="713"/>
      <c r="BG112" s="713"/>
      <c r="BH112" s="713"/>
      <c r="BI112" s="713"/>
      <c r="BJ112" s="713"/>
      <c r="BK112" s="713"/>
      <c r="BL112" s="713"/>
      <c r="BM112" s="713"/>
      <c r="BN112" s="713"/>
      <c r="BO112" s="713"/>
      <c r="BP112" s="713"/>
      <c r="BQ112" s="713"/>
      <c r="BR112" s="244"/>
      <c r="BS112" s="244"/>
      <c r="BT112" s="244"/>
      <c r="BU112" s="244"/>
      <c r="BV112" s="244"/>
      <c r="BW112" s="244"/>
      <c r="BX112" s="244"/>
      <c r="BY112" s="244"/>
      <c r="BZ112" s="244"/>
      <c r="CA112" s="244"/>
      <c r="CB112" s="244"/>
      <c r="CC112" s="244"/>
      <c r="CD112" s="244"/>
      <c r="CE112" s="244"/>
      <c r="CF112" s="244"/>
    </row>
    <row r="113" ht="12.75" customHeight="1">
      <c r="A113" s="713"/>
      <c r="B113" s="713"/>
      <c r="C113" s="713"/>
      <c r="D113" s="713"/>
      <c r="E113" s="713"/>
      <c r="F113" s="713"/>
      <c r="G113" s="713"/>
      <c r="H113" s="713"/>
      <c r="I113" s="713"/>
      <c r="J113" s="713"/>
      <c r="K113" s="713"/>
      <c r="L113" s="713"/>
      <c r="M113" s="713"/>
      <c r="N113" s="713"/>
      <c r="O113" s="713"/>
      <c r="P113" s="713"/>
      <c r="Q113" s="713"/>
      <c r="R113" s="713"/>
      <c r="S113" s="713"/>
      <c r="T113" s="713"/>
      <c r="U113" s="713"/>
      <c r="V113" s="713"/>
      <c r="W113" s="713"/>
      <c r="X113" s="713"/>
      <c r="Y113" s="713"/>
      <c r="Z113" s="713"/>
      <c r="AA113" s="713"/>
      <c r="AB113" s="713"/>
      <c r="AC113" s="713"/>
      <c r="AD113" s="713"/>
      <c r="AE113" s="713"/>
      <c r="AF113" s="713"/>
      <c r="AG113" s="713"/>
      <c r="AH113" s="713"/>
      <c r="AI113" s="713"/>
      <c r="AJ113" s="713"/>
      <c r="AK113" s="713"/>
      <c r="AL113" s="713"/>
      <c r="AM113" s="713"/>
      <c r="AN113" s="713"/>
      <c r="AO113" s="713"/>
      <c r="AP113" s="713"/>
      <c r="AQ113" s="713"/>
      <c r="AR113" s="713"/>
      <c r="AS113" s="713"/>
      <c r="AT113" s="713"/>
      <c r="AU113" s="713"/>
      <c r="AV113" s="713"/>
      <c r="AW113" s="713"/>
      <c r="AX113" s="713"/>
      <c r="AY113" s="713"/>
      <c r="AZ113" s="713"/>
      <c r="BA113" s="713"/>
      <c r="BB113" s="713"/>
      <c r="BC113" s="713"/>
      <c r="BD113" s="713"/>
      <c r="BE113" s="713"/>
      <c r="BF113" s="713"/>
      <c r="BG113" s="713"/>
      <c r="BH113" s="713"/>
      <c r="BI113" s="713"/>
      <c r="BJ113" s="713"/>
      <c r="BK113" s="713"/>
      <c r="BL113" s="713"/>
      <c r="BM113" s="713"/>
      <c r="BN113" s="713"/>
      <c r="BO113" s="713"/>
      <c r="BP113" s="713"/>
      <c r="BQ113" s="713"/>
      <c r="BR113" s="244"/>
      <c r="BS113" s="244"/>
      <c r="BT113" s="244"/>
      <c r="BU113" s="244"/>
      <c r="BV113" s="244"/>
      <c r="BW113" s="244"/>
      <c r="BX113" s="244"/>
      <c r="BY113" s="244"/>
      <c r="BZ113" s="244"/>
      <c r="CA113" s="244"/>
      <c r="CB113" s="244"/>
      <c r="CC113" s="244"/>
      <c r="CD113" s="244"/>
      <c r="CE113" s="244"/>
      <c r="CF113" s="244"/>
    </row>
    <row r="114">
      <c r="A114" s="713"/>
      <c r="B114" s="713"/>
      <c r="C114" s="713"/>
      <c r="D114" s="713"/>
      <c r="E114" s="713"/>
      <c r="F114" s="713"/>
      <c r="G114" s="713"/>
      <c r="H114" s="713"/>
      <c r="I114" s="713"/>
      <c r="J114" s="713"/>
      <c r="K114" s="713"/>
      <c r="L114" s="713"/>
      <c r="M114" s="713"/>
      <c r="N114" s="713"/>
      <c r="O114" s="713"/>
      <c r="P114" s="713"/>
      <c r="Q114" s="713"/>
      <c r="R114" s="713"/>
      <c r="S114" s="713"/>
      <c r="T114" s="713"/>
      <c r="U114" s="713"/>
      <c r="V114" s="713"/>
      <c r="W114" s="713"/>
      <c r="X114" s="713"/>
      <c r="Y114" s="713"/>
      <c r="Z114" s="713"/>
      <c r="AA114" s="713"/>
      <c r="AB114" s="713"/>
      <c r="AC114" s="713"/>
      <c r="AD114" s="713"/>
      <c r="AE114" s="713"/>
      <c r="AF114" s="713"/>
      <c r="AG114" s="713"/>
      <c r="AH114" s="713"/>
      <c r="AI114" s="713"/>
      <c r="AJ114" s="713"/>
      <c r="AK114" s="713"/>
      <c r="AL114" s="713"/>
      <c r="AM114" s="713"/>
      <c r="AN114" s="713"/>
      <c r="AO114" s="713"/>
      <c r="AP114" s="713"/>
      <c r="AQ114" s="713"/>
      <c r="AR114" s="713"/>
      <c r="AS114" s="713"/>
      <c r="AT114" s="713"/>
      <c r="AU114" s="713"/>
      <c r="AV114" s="713"/>
      <c r="AW114" s="713"/>
      <c r="AX114" s="713"/>
      <c r="AY114" s="713"/>
      <c r="AZ114" s="713"/>
      <c r="BA114" s="713"/>
      <c r="BB114" s="713"/>
      <c r="BC114" s="713"/>
      <c r="BD114" s="713"/>
      <c r="BE114" s="713"/>
      <c r="BF114" s="713"/>
      <c r="BG114" s="713"/>
      <c r="BH114" s="713"/>
      <c r="BI114" s="713"/>
      <c r="BJ114" s="713"/>
      <c r="BK114" s="713"/>
      <c r="BL114" s="713"/>
      <c r="BM114" s="713"/>
      <c r="BN114" s="713"/>
      <c r="BO114" s="713"/>
      <c r="BP114" s="713"/>
      <c r="BQ114" s="713"/>
      <c r="BR114" s="244"/>
      <c r="BS114" s="244"/>
      <c r="BT114" s="244"/>
      <c r="BU114" s="244"/>
      <c r="BV114" s="244"/>
      <c r="BW114" s="244"/>
      <c r="BX114" s="244"/>
      <c r="BY114" s="244"/>
      <c r="BZ114" s="244"/>
      <c r="CA114" s="244"/>
      <c r="CB114" s="244"/>
      <c r="CC114" s="244"/>
      <c r="CD114" s="244"/>
      <c r="CE114" s="244"/>
      <c r="CF114" s="244"/>
    </row>
    <row r="115">
      <c r="A115" s="244"/>
      <c r="B115" s="246"/>
      <c r="C115" s="244"/>
      <c r="D115" s="244"/>
      <c r="E115" s="244"/>
      <c r="F115" s="244"/>
      <c r="G115" s="244"/>
      <c r="H115" s="244"/>
      <c r="I115" s="244"/>
      <c r="J115" s="244"/>
      <c r="K115" s="244"/>
      <c r="L115" s="244"/>
      <c r="M115" s="244"/>
      <c r="N115" s="244"/>
      <c r="O115" s="244"/>
      <c r="P115" s="244"/>
      <c r="Q115" s="244"/>
      <c r="R115" s="244"/>
      <c r="S115" s="244"/>
      <c r="T115" s="244"/>
      <c r="U115" s="244"/>
      <c r="V115" s="244"/>
      <c r="W115" s="244"/>
      <c r="X115" s="244"/>
      <c r="Y115" s="244"/>
      <c r="Z115" s="244"/>
      <c r="AA115" s="244"/>
      <c r="AB115" s="244"/>
      <c r="AC115" s="244"/>
      <c r="AD115" s="244"/>
      <c r="AE115" s="244"/>
      <c r="AF115" s="244"/>
      <c r="AG115" s="244"/>
      <c r="AH115" s="244"/>
      <c r="AI115" s="244"/>
      <c r="AJ115" s="244"/>
      <c r="AK115" s="244"/>
      <c r="AL115" s="244"/>
      <c r="AM115" s="244"/>
      <c r="AN115" s="244"/>
      <c r="AO115" s="244"/>
      <c r="AP115" s="244"/>
      <c r="AQ115" s="244"/>
      <c r="AR115" s="244"/>
      <c r="AS115" s="244"/>
      <c r="AT115" s="244"/>
      <c r="AU115" s="244"/>
      <c r="AV115" s="244"/>
      <c r="AW115" s="244"/>
      <c r="AX115" s="244"/>
      <c r="AY115" s="244"/>
      <c r="AZ115" s="244"/>
      <c r="BA115" s="244"/>
      <c r="BB115" s="244"/>
      <c r="BC115" s="244"/>
      <c r="BD115" s="244"/>
      <c r="BE115" s="244"/>
      <c r="BF115" s="244"/>
      <c r="BG115" s="244"/>
      <c r="BH115" s="244"/>
      <c r="BI115" s="244"/>
      <c r="BJ115" s="244"/>
      <c r="BK115" s="244"/>
      <c r="BL115" s="244"/>
      <c r="BM115" s="244"/>
      <c r="BN115" s="244"/>
      <c r="BO115" s="244"/>
      <c r="BP115" s="244"/>
      <c r="BQ115" s="244"/>
      <c r="BR115" s="244"/>
      <c r="BS115" s="244"/>
      <c r="BT115" s="244"/>
      <c r="BU115" s="244"/>
      <c r="BV115" s="244"/>
      <c r="BW115" s="244"/>
      <c r="BX115" s="244"/>
      <c r="BY115" s="244"/>
      <c r="BZ115" s="244"/>
      <c r="CA115" s="244"/>
      <c r="CB115" s="244"/>
      <c r="CC115" s="244"/>
      <c r="CD115" s="244"/>
      <c r="CE115" s="244"/>
      <c r="CF115" s="244"/>
    </row>
    <row r="116">
      <c r="A116" s="244"/>
      <c r="B116" s="246"/>
      <c r="C116" s="244"/>
      <c r="D116" s="244"/>
      <c r="E116" s="244"/>
      <c r="F116" s="244"/>
      <c r="G116" s="244"/>
      <c r="H116" s="244"/>
      <c r="I116" s="244"/>
      <c r="J116" s="244"/>
      <c r="K116" s="244"/>
      <c r="L116" s="244"/>
      <c r="M116" s="244"/>
      <c r="N116" s="244"/>
      <c r="O116" s="244"/>
      <c r="P116" s="244"/>
      <c r="Q116" s="244"/>
      <c r="R116" s="244"/>
      <c r="S116" s="244"/>
      <c r="T116" s="244"/>
      <c r="U116" s="244"/>
      <c r="V116" s="244"/>
      <c r="W116" s="244"/>
      <c r="X116" s="244"/>
      <c r="Y116" s="244"/>
      <c r="Z116" s="244"/>
      <c r="AA116" s="244"/>
      <c r="AB116" s="244"/>
      <c r="AC116" s="244"/>
      <c r="AD116" s="244"/>
      <c r="AE116" s="244"/>
      <c r="AF116" s="244"/>
      <c r="AG116" s="244"/>
      <c r="AH116" s="244"/>
      <c r="AI116" s="244"/>
      <c r="AJ116" s="244"/>
      <c r="AK116" s="244"/>
      <c r="AL116" s="244"/>
      <c r="AM116" s="244"/>
      <c r="AN116" s="244"/>
      <c r="AO116" s="244"/>
      <c r="AP116" s="244"/>
      <c r="AQ116" s="244"/>
      <c r="AR116" s="244"/>
      <c r="AS116" s="244"/>
      <c r="AT116" s="244"/>
      <c r="AU116" s="244"/>
      <c r="AV116" s="244"/>
      <c r="AW116" s="244"/>
      <c r="AX116" s="244"/>
      <c r="AY116" s="244"/>
      <c r="AZ116" s="244"/>
      <c r="BA116" s="244"/>
      <c r="BB116" s="244"/>
      <c r="BC116" s="244"/>
      <c r="BD116" s="244"/>
      <c r="BE116" s="244"/>
      <c r="BF116" s="244"/>
      <c r="BG116" s="244"/>
      <c r="BH116" s="244"/>
      <c r="BI116" s="244"/>
      <c r="BJ116" s="244"/>
      <c r="BK116" s="244"/>
      <c r="BL116" s="244"/>
      <c r="BM116" s="244"/>
      <c r="BN116" s="244"/>
      <c r="BO116" s="244"/>
      <c r="BP116" s="244"/>
      <c r="BQ116" s="244"/>
      <c r="BR116" s="244"/>
      <c r="BS116" s="244"/>
      <c r="BT116" s="244"/>
      <c r="BU116" s="244"/>
      <c r="BV116" s="244"/>
      <c r="BW116" s="244"/>
      <c r="BX116" s="244"/>
      <c r="BY116" s="244"/>
      <c r="BZ116" s="244"/>
      <c r="CA116" s="244"/>
      <c r="CB116" s="244"/>
      <c r="CC116" s="244"/>
      <c r="CD116" s="244"/>
      <c r="CE116" s="244"/>
      <c r="CF116" s="244"/>
    </row>
    <row r="117">
      <c r="A117" s="244"/>
      <c r="B117" s="246"/>
      <c r="C117" s="244"/>
      <c r="D117" s="244"/>
      <c r="E117" s="244"/>
      <c r="F117" s="244"/>
      <c r="G117" s="244"/>
      <c r="H117" s="244"/>
      <c r="I117" s="244"/>
      <c r="J117" s="244"/>
      <c r="K117" s="244"/>
      <c r="L117" s="244"/>
      <c r="M117" s="244"/>
      <c r="N117" s="244"/>
      <c r="O117" s="244"/>
      <c r="P117" s="244"/>
      <c r="Q117" s="244"/>
      <c r="R117" s="244"/>
      <c r="S117" s="244"/>
      <c r="T117" s="244"/>
      <c r="U117" s="244"/>
      <c r="V117" s="244"/>
      <c r="W117" s="244"/>
      <c r="X117" s="244"/>
      <c r="Y117" s="244"/>
      <c r="Z117" s="244"/>
      <c r="AA117" s="244"/>
      <c r="AB117" s="244"/>
      <c r="AC117" s="244"/>
      <c r="AD117" s="244"/>
      <c r="AE117" s="244"/>
      <c r="AF117" s="244"/>
      <c r="AG117" s="244"/>
      <c r="AH117" s="244"/>
      <c r="AI117" s="244"/>
      <c r="AJ117" s="244"/>
      <c r="AK117" s="244"/>
      <c r="AL117" s="244"/>
      <c r="AM117" s="244"/>
      <c r="AN117" s="244"/>
      <c r="AO117" s="244"/>
      <c r="AP117" s="244"/>
      <c r="AQ117" s="244"/>
      <c r="AR117" s="244"/>
      <c r="AS117" s="244"/>
      <c r="AT117" s="244"/>
      <c r="AU117" s="244"/>
      <c r="AV117" s="244"/>
      <c r="AW117" s="244"/>
      <c r="AX117" s="244"/>
      <c r="AY117" s="244"/>
      <c r="AZ117" s="244"/>
      <c r="BA117" s="244"/>
      <c r="BB117" s="244"/>
      <c r="BC117" s="244"/>
      <c r="BD117" s="244"/>
      <c r="BE117" s="244"/>
      <c r="BF117" s="244"/>
      <c r="BG117" s="244"/>
      <c r="BH117" s="244"/>
      <c r="BI117" s="244"/>
      <c r="BJ117" s="244"/>
      <c r="BK117" s="244"/>
      <c r="BL117" s="244"/>
      <c r="BM117" s="244"/>
      <c r="BN117" s="244"/>
      <c r="BO117" s="244"/>
      <c r="BP117" s="244"/>
      <c r="BQ117" s="244"/>
      <c r="BR117" s="244"/>
      <c r="BS117" s="244"/>
      <c r="BT117" s="244"/>
      <c r="BU117" s="244"/>
      <c r="BV117" s="244"/>
      <c r="BW117" s="244"/>
      <c r="BX117" s="244"/>
      <c r="BY117" s="244"/>
      <c r="BZ117" s="244"/>
      <c r="CA117" s="244"/>
      <c r="CB117" s="244"/>
      <c r="CC117" s="244"/>
      <c r="CD117" s="244"/>
      <c r="CE117" s="244"/>
      <c r="CF117" s="244"/>
    </row>
    <row r="118">
      <c r="A118" s="244"/>
      <c r="B118" s="246"/>
      <c r="C118" s="244"/>
      <c r="D118" s="244"/>
      <c r="E118" s="244"/>
      <c r="F118" s="244"/>
      <c r="G118" s="244"/>
      <c r="H118" s="244"/>
      <c r="I118" s="244"/>
      <c r="J118" s="244"/>
      <c r="K118" s="244"/>
      <c r="L118" s="244"/>
      <c r="M118" s="244"/>
      <c r="N118" s="244"/>
      <c r="O118" s="244"/>
      <c r="P118" s="244"/>
      <c r="Q118" s="244"/>
      <c r="R118" s="244"/>
      <c r="S118" s="244"/>
      <c r="T118" s="244"/>
      <c r="U118" s="244"/>
      <c r="V118" s="244"/>
      <c r="W118" s="244"/>
      <c r="X118" s="244"/>
      <c r="Y118" s="244"/>
      <c r="Z118" s="244"/>
      <c r="AA118" s="244"/>
      <c r="AB118" s="244"/>
      <c r="AC118" s="244"/>
      <c r="AD118" s="244"/>
      <c r="AE118" s="244"/>
      <c r="AF118" s="244"/>
      <c r="AG118" s="244"/>
      <c r="AH118" s="244"/>
      <c r="AI118" s="244"/>
      <c r="AJ118" s="244"/>
      <c r="AK118" s="244"/>
      <c r="AL118" s="244"/>
      <c r="AM118" s="244"/>
      <c r="AN118" s="244"/>
      <c r="AO118" s="244"/>
      <c r="AP118" s="244"/>
      <c r="AQ118" s="244"/>
      <c r="AR118" s="244"/>
      <c r="AS118" s="244"/>
      <c r="AT118" s="244"/>
      <c r="AU118" s="244"/>
      <c r="AV118" s="244"/>
      <c r="AW118" s="244"/>
      <c r="AX118" s="244"/>
      <c r="AY118" s="244"/>
      <c r="AZ118" s="244"/>
      <c r="BA118" s="244"/>
      <c r="BB118" s="244"/>
      <c r="BC118" s="244"/>
      <c r="BD118" s="244"/>
      <c r="BE118" s="244"/>
      <c r="BF118" s="244"/>
      <c r="BG118" s="244"/>
      <c r="BH118" s="244"/>
      <c r="BI118" s="244"/>
      <c r="BJ118" s="244"/>
      <c r="BK118" s="244"/>
      <c r="BL118" s="244"/>
      <c r="BM118" s="244"/>
      <c r="BN118" s="244"/>
      <c r="BO118" s="244"/>
      <c r="BP118" s="244"/>
      <c r="BQ118" s="244"/>
      <c r="BR118" s="244"/>
      <c r="BS118" s="244"/>
      <c r="BT118" s="244"/>
      <c r="BU118" s="244"/>
      <c r="BV118" s="244"/>
      <c r="BW118" s="244"/>
      <c r="BX118" s="244"/>
      <c r="BY118" s="244"/>
      <c r="BZ118" s="244"/>
      <c r="CA118" s="244"/>
      <c r="CB118" s="244"/>
      <c r="CC118" s="244"/>
      <c r="CD118" s="244"/>
      <c r="CE118" s="244"/>
      <c r="CF118" s="244"/>
    </row>
    <row r="119">
      <c r="A119" s="244"/>
      <c r="B119" s="246"/>
      <c r="C119" s="244"/>
      <c r="D119" s="244"/>
      <c r="E119" s="244"/>
      <c r="F119" s="244"/>
      <c r="G119" s="244"/>
      <c r="H119" s="244"/>
      <c r="I119" s="244"/>
      <c r="J119" s="244"/>
      <c r="K119" s="244"/>
      <c r="L119" s="244"/>
      <c r="M119" s="244"/>
      <c r="N119" s="244"/>
      <c r="O119" s="244"/>
      <c r="P119" s="244"/>
      <c r="Q119" s="244"/>
      <c r="R119" s="244"/>
      <c r="S119" s="244"/>
      <c r="T119" s="244"/>
      <c r="U119" s="244"/>
      <c r="V119" s="244"/>
      <c r="W119" s="244"/>
      <c r="X119" s="244"/>
      <c r="Y119" s="244"/>
      <c r="Z119" s="244"/>
      <c r="AA119" s="244"/>
      <c r="AB119" s="244"/>
      <c r="AC119" s="244"/>
      <c r="AD119" s="244"/>
      <c r="AE119" s="244"/>
      <c r="AF119" s="244"/>
      <c r="AG119" s="244"/>
      <c r="AH119" s="244"/>
      <c r="AI119" s="244"/>
      <c r="AJ119" s="244"/>
      <c r="AK119" s="244"/>
      <c r="AL119" s="244"/>
      <c r="AM119" s="244"/>
      <c r="AN119" s="244"/>
      <c r="AO119" s="244"/>
      <c r="AP119" s="244"/>
      <c r="AQ119" s="244"/>
      <c r="AR119" s="244"/>
      <c r="AS119" s="244"/>
      <c r="AT119" s="244"/>
      <c r="AU119" s="244"/>
      <c r="AV119" s="244"/>
      <c r="AW119" s="244"/>
      <c r="AX119" s="244"/>
      <c r="AY119" s="244"/>
      <c r="AZ119" s="244"/>
      <c r="BA119" s="244"/>
      <c r="BB119" s="244"/>
      <c r="BC119" s="244"/>
      <c r="BD119" s="244"/>
      <c r="BE119" s="244"/>
      <c r="BF119" s="244"/>
      <c r="BG119" s="244"/>
      <c r="BH119" s="244"/>
      <c r="BI119" s="244"/>
      <c r="BJ119" s="244"/>
      <c r="BK119" s="244"/>
      <c r="BL119" s="244"/>
      <c r="BM119" s="244"/>
      <c r="BN119" s="244"/>
      <c r="BO119" s="244"/>
      <c r="BP119" s="244"/>
      <c r="BQ119" s="244"/>
      <c r="BR119" s="244"/>
      <c r="BS119" s="244"/>
      <c r="BT119" s="244"/>
      <c r="BU119" s="244"/>
      <c r="BV119" s="244"/>
      <c r="BW119" s="244"/>
      <c r="BX119" s="244"/>
      <c r="BY119" s="244"/>
      <c r="BZ119" s="244"/>
      <c r="CA119" s="244"/>
      <c r="CB119" s="244"/>
      <c r="CC119" s="244"/>
      <c r="CD119" s="244"/>
      <c r="CE119" s="244"/>
      <c r="CF119" s="244"/>
    </row>
    <row r="120">
      <c r="A120" s="244"/>
      <c r="B120" s="246"/>
      <c r="C120" s="244"/>
      <c r="D120" s="244"/>
      <c r="E120" s="244"/>
      <c r="F120" s="244"/>
      <c r="G120" s="244"/>
      <c r="H120" s="244"/>
      <c r="I120" s="244"/>
      <c r="J120" s="244"/>
      <c r="K120" s="244"/>
      <c r="L120" s="244"/>
      <c r="M120" s="244"/>
      <c r="N120" s="244"/>
      <c r="O120" s="244"/>
      <c r="P120" s="244"/>
      <c r="Q120" s="244"/>
      <c r="R120" s="244"/>
      <c r="S120" s="244"/>
      <c r="T120" s="244"/>
      <c r="U120" s="244"/>
      <c r="V120" s="244"/>
      <c r="W120" s="244"/>
      <c r="X120" s="244"/>
      <c r="Y120" s="244"/>
      <c r="Z120" s="244"/>
      <c r="AA120" s="244"/>
      <c r="AB120" s="244"/>
      <c r="AC120" s="244"/>
      <c r="AD120" s="244"/>
      <c r="AE120" s="244"/>
      <c r="AF120" s="244"/>
      <c r="AG120" s="244"/>
      <c r="AH120" s="244"/>
      <c r="AI120" s="244"/>
      <c r="AJ120" s="244"/>
      <c r="AK120" s="244"/>
      <c r="AL120" s="244"/>
      <c r="AM120" s="244"/>
      <c r="AN120" s="244"/>
      <c r="AO120" s="244"/>
      <c r="AP120" s="244"/>
      <c r="AQ120" s="244"/>
      <c r="AR120" s="244"/>
      <c r="AS120" s="244"/>
      <c r="AT120" s="244"/>
      <c r="AU120" s="244"/>
      <c r="AV120" s="244"/>
      <c r="AW120" s="244"/>
      <c r="AX120" s="244"/>
      <c r="AY120" s="244"/>
      <c r="AZ120" s="244"/>
      <c r="BA120" s="244"/>
      <c r="BB120" s="244"/>
      <c r="BC120" s="244"/>
      <c r="BD120" s="244"/>
      <c r="BE120" s="244"/>
      <c r="BF120" s="244"/>
      <c r="BG120" s="244"/>
      <c r="BH120" s="244"/>
      <c r="BI120" s="244"/>
      <c r="BJ120" s="244"/>
      <c r="BK120" s="244"/>
      <c r="BL120" s="244"/>
      <c r="BM120" s="244"/>
      <c r="BN120" s="244"/>
      <c r="BO120" s="244"/>
      <c r="BP120" s="244"/>
      <c r="BQ120" s="244"/>
      <c r="BR120" s="244"/>
      <c r="BS120" s="244"/>
      <c r="BT120" s="244"/>
      <c r="BU120" s="244"/>
      <c r="BV120" s="244"/>
      <c r="BW120" s="244"/>
      <c r="BX120" s="244"/>
      <c r="BY120" s="244"/>
      <c r="BZ120" s="244"/>
      <c r="CA120" s="244"/>
      <c r="CB120" s="244"/>
      <c r="CC120" s="244"/>
      <c r="CD120" s="244"/>
      <c r="CE120" s="244"/>
      <c r="CF120" s="244"/>
    </row>
    <row r="121">
      <c r="A121" s="244"/>
      <c r="B121" s="246"/>
      <c r="C121" s="244"/>
      <c r="D121" s="244"/>
      <c r="E121" s="244"/>
      <c r="F121" s="244"/>
      <c r="G121" s="244"/>
      <c r="H121" s="244"/>
      <c r="I121" s="244"/>
      <c r="J121" s="244"/>
      <c r="K121" s="244"/>
      <c r="L121" s="244"/>
      <c r="M121" s="244"/>
      <c r="N121" s="244"/>
      <c r="O121" s="244"/>
      <c r="P121" s="244"/>
      <c r="Q121" s="244"/>
      <c r="R121" s="244"/>
      <c r="S121" s="244"/>
      <c r="T121" s="244"/>
      <c r="U121" s="244"/>
      <c r="V121" s="244"/>
      <c r="W121" s="244"/>
      <c r="X121" s="244"/>
      <c r="Y121" s="244"/>
      <c r="Z121" s="244"/>
      <c r="AA121" s="244"/>
      <c r="AB121" s="244"/>
      <c r="AC121" s="244"/>
      <c r="AD121" s="244"/>
      <c r="AE121" s="244"/>
      <c r="AF121" s="244"/>
      <c r="AG121" s="244"/>
      <c r="AH121" s="244"/>
      <c r="AI121" s="244"/>
      <c r="AJ121" s="244"/>
      <c r="AK121" s="244"/>
      <c r="AL121" s="244"/>
      <c r="AM121" s="244"/>
      <c r="AN121" s="244"/>
      <c r="AO121" s="244"/>
      <c r="AP121" s="244"/>
      <c r="AQ121" s="244"/>
      <c r="AR121" s="244"/>
      <c r="AS121" s="244"/>
      <c r="AT121" s="244"/>
      <c r="AU121" s="244"/>
      <c r="AV121" s="244"/>
      <c r="AW121" s="244"/>
      <c r="AX121" s="244"/>
      <c r="AY121" s="244"/>
      <c r="AZ121" s="244"/>
      <c r="BA121" s="244"/>
      <c r="BB121" s="244"/>
      <c r="BC121" s="244"/>
      <c r="BD121" s="244"/>
      <c r="BE121" s="244"/>
      <c r="BF121" s="244"/>
      <c r="BG121" s="244"/>
      <c r="BH121" s="244"/>
      <c r="BI121" s="244"/>
      <c r="BJ121" s="244"/>
      <c r="BK121" s="244"/>
      <c r="BL121" s="244"/>
      <c r="BM121" s="244"/>
      <c r="BN121" s="244"/>
      <c r="BO121" s="244"/>
      <c r="BP121" s="244"/>
      <c r="BQ121" s="244"/>
      <c r="BR121" s="244"/>
      <c r="BS121" s="244"/>
      <c r="BT121" s="244"/>
      <c r="BU121" s="244"/>
      <c r="BV121" s="244"/>
      <c r="BW121" s="244"/>
      <c r="BX121" s="244"/>
      <c r="BY121" s="244"/>
      <c r="BZ121" s="244"/>
      <c r="CA121" s="244"/>
      <c r="CB121" s="244"/>
      <c r="CC121" s="244"/>
      <c r="CD121" s="244"/>
      <c r="CE121" s="244"/>
      <c r="CF121" s="244"/>
    </row>
    <row r="122">
      <c r="A122" s="244"/>
      <c r="B122" s="246"/>
      <c r="C122" s="244"/>
      <c r="D122" s="244"/>
      <c r="E122" s="244"/>
      <c r="F122" s="244"/>
      <c r="G122" s="244"/>
      <c r="H122" s="244"/>
      <c r="I122" s="244"/>
      <c r="J122" s="244"/>
      <c r="K122" s="244"/>
      <c r="L122" s="244"/>
      <c r="M122" s="244"/>
      <c r="N122" s="244"/>
      <c r="O122" s="244"/>
      <c r="P122" s="244"/>
      <c r="Q122" s="244"/>
      <c r="R122" s="244"/>
      <c r="S122" s="244"/>
      <c r="T122" s="244"/>
      <c r="U122" s="244"/>
      <c r="V122" s="244"/>
      <c r="W122" s="244"/>
      <c r="X122" s="244"/>
      <c r="Y122" s="244"/>
      <c r="Z122" s="244"/>
      <c r="AA122" s="244"/>
      <c r="AB122" s="244"/>
      <c r="AC122" s="244"/>
      <c r="AD122" s="244"/>
      <c r="AE122" s="244"/>
      <c r="AF122" s="244"/>
      <c r="AG122" s="244"/>
      <c r="AH122" s="244"/>
      <c r="AI122" s="244"/>
      <c r="AJ122" s="244"/>
      <c r="AK122" s="244"/>
      <c r="AL122" s="244"/>
      <c r="AM122" s="244"/>
      <c r="AN122" s="244"/>
      <c r="AO122" s="244"/>
      <c r="AP122" s="244"/>
      <c r="AQ122" s="244"/>
      <c r="AR122" s="244"/>
      <c r="AS122" s="244"/>
      <c r="AT122" s="244"/>
      <c r="AU122" s="244"/>
      <c r="AV122" s="244"/>
      <c r="AW122" s="244"/>
      <c r="AX122" s="244"/>
      <c r="AY122" s="244"/>
      <c r="AZ122" s="244"/>
      <c r="BA122" s="244"/>
      <c r="BB122" s="244"/>
      <c r="BC122" s="244"/>
      <c r="BD122" s="244"/>
      <c r="BE122" s="244"/>
      <c r="BF122" s="244"/>
      <c r="BG122" s="244"/>
      <c r="BH122" s="244"/>
      <c r="BI122" s="244"/>
      <c r="BJ122" s="244"/>
      <c r="BK122" s="244"/>
      <c r="BL122" s="244"/>
      <c r="BM122" s="244"/>
      <c r="BN122" s="244"/>
      <c r="BO122" s="244"/>
      <c r="BP122" s="244"/>
      <c r="BQ122" s="244"/>
      <c r="BR122" s="244"/>
      <c r="BS122" s="244"/>
      <c r="BT122" s="244"/>
      <c r="BU122" s="244"/>
      <c r="BV122" s="244"/>
      <c r="BW122" s="244"/>
      <c r="BX122" s="244"/>
      <c r="BY122" s="244"/>
      <c r="BZ122" s="244"/>
      <c r="CA122" s="244"/>
      <c r="CB122" s="244"/>
      <c r="CC122" s="244"/>
      <c r="CD122" s="244"/>
      <c r="CE122" s="244"/>
      <c r="CF122" s="244"/>
    </row>
    <row r="123">
      <c r="A123" s="244"/>
      <c r="B123" s="246"/>
      <c r="C123" s="244"/>
      <c r="D123" s="244"/>
      <c r="E123" s="244"/>
      <c r="F123" s="244"/>
      <c r="G123" s="244"/>
      <c r="H123" s="244"/>
      <c r="I123" s="244"/>
      <c r="J123" s="244"/>
      <c r="K123" s="244"/>
      <c r="L123" s="244"/>
      <c r="M123" s="244"/>
      <c r="N123" s="244"/>
      <c r="O123" s="244"/>
      <c r="P123" s="244"/>
      <c r="Q123" s="244"/>
      <c r="R123" s="244"/>
      <c r="S123" s="244"/>
      <c r="T123" s="244"/>
      <c r="U123" s="244"/>
      <c r="V123" s="244"/>
      <c r="W123" s="244"/>
      <c r="X123" s="244"/>
      <c r="Y123" s="244"/>
      <c r="Z123" s="244"/>
      <c r="AA123" s="244"/>
      <c r="AB123" s="244"/>
      <c r="AC123" s="244"/>
      <c r="AD123" s="244"/>
      <c r="AE123" s="244"/>
      <c r="AF123" s="244"/>
      <c r="AG123" s="244"/>
      <c r="AH123" s="244"/>
      <c r="AI123" s="244"/>
      <c r="AJ123" s="244"/>
      <c r="AK123" s="244"/>
      <c r="AL123" s="244"/>
      <c r="AM123" s="244"/>
      <c r="AN123" s="244"/>
      <c r="AO123" s="244"/>
      <c r="AP123" s="244"/>
      <c r="AQ123" s="244"/>
      <c r="AR123" s="244"/>
      <c r="AS123" s="244"/>
      <c r="AT123" s="244"/>
      <c r="AU123" s="244"/>
      <c r="AV123" s="244"/>
      <c r="AW123" s="244"/>
      <c r="AX123" s="244"/>
      <c r="AY123" s="244"/>
      <c r="AZ123" s="244"/>
      <c r="BA123" s="244"/>
      <c r="BB123" s="244"/>
      <c r="BC123" s="244"/>
      <c r="BD123" s="244"/>
      <c r="BE123" s="244"/>
      <c r="BF123" s="244"/>
      <c r="BG123" s="244"/>
      <c r="BH123" s="244"/>
      <c r="BI123" s="244"/>
      <c r="BJ123" s="244"/>
      <c r="BK123" s="244"/>
      <c r="BL123" s="244"/>
      <c r="BM123" s="244"/>
      <c r="BN123" s="244"/>
      <c r="BO123" s="244"/>
      <c r="BP123" s="244"/>
      <c r="BQ123" s="244"/>
      <c r="BR123" s="244"/>
      <c r="BS123" s="244"/>
      <c r="BT123" s="244"/>
      <c r="BU123" s="244"/>
      <c r="BV123" s="244"/>
      <c r="BW123" s="244"/>
      <c r="BX123" s="244"/>
      <c r="BY123" s="244"/>
      <c r="BZ123" s="244"/>
      <c r="CA123" s="244"/>
      <c r="CB123" s="244"/>
      <c r="CC123" s="244"/>
      <c r="CD123" s="244"/>
      <c r="CE123" s="244"/>
      <c r="CF123" s="244"/>
    </row>
    <row r="124">
      <c r="A124" s="244"/>
      <c r="B124" s="246"/>
      <c r="C124" s="244"/>
      <c r="D124" s="244"/>
      <c r="E124" s="244"/>
      <c r="F124" s="244"/>
      <c r="G124" s="244"/>
      <c r="H124" s="244"/>
      <c r="I124" s="244"/>
      <c r="J124" s="244"/>
      <c r="K124" s="244"/>
      <c r="L124" s="244"/>
      <c r="M124" s="244"/>
      <c r="N124" s="244"/>
      <c r="O124" s="244"/>
      <c r="P124" s="244"/>
      <c r="Q124" s="244"/>
      <c r="R124" s="244"/>
      <c r="S124" s="244"/>
      <c r="T124" s="244"/>
      <c r="U124" s="244"/>
      <c r="V124" s="244"/>
      <c r="W124" s="244"/>
      <c r="X124" s="244"/>
      <c r="Y124" s="244"/>
      <c r="Z124" s="244"/>
      <c r="AA124" s="244"/>
      <c r="AB124" s="244"/>
      <c r="AC124" s="244"/>
      <c r="AD124" s="244"/>
      <c r="AE124" s="244"/>
      <c r="AF124" s="244"/>
      <c r="AG124" s="244"/>
      <c r="AH124" s="244"/>
      <c r="AI124" s="244"/>
      <c r="AJ124" s="244"/>
      <c r="AK124" s="244"/>
      <c r="AL124" s="244"/>
      <c r="AM124" s="244"/>
      <c r="AN124" s="244"/>
      <c r="AO124" s="244"/>
      <c r="AP124" s="244"/>
      <c r="AQ124" s="244"/>
      <c r="AR124" s="244"/>
      <c r="AS124" s="244"/>
      <c r="AT124" s="244"/>
      <c r="AU124" s="244"/>
      <c r="AV124" s="244"/>
      <c r="AW124" s="244"/>
      <c r="AX124" s="244"/>
      <c r="AY124" s="244"/>
      <c r="AZ124" s="244"/>
      <c r="BA124" s="244"/>
      <c r="BB124" s="244"/>
      <c r="BC124" s="244"/>
      <c r="BD124" s="244"/>
      <c r="BE124" s="244"/>
      <c r="BF124" s="244"/>
      <c r="BG124" s="244"/>
      <c r="BH124" s="244"/>
      <c r="BI124" s="244"/>
      <c r="BJ124" s="244"/>
      <c r="BK124" s="244"/>
      <c r="BL124" s="244"/>
      <c r="BM124" s="244"/>
      <c r="BN124" s="244"/>
      <c r="BO124" s="244"/>
      <c r="BP124" s="244"/>
      <c r="BQ124" s="244"/>
      <c r="BR124" s="244"/>
      <c r="BS124" s="244"/>
      <c r="BT124" s="244"/>
      <c r="BU124" s="244"/>
      <c r="BV124" s="244"/>
      <c r="BW124" s="244"/>
      <c r="BX124" s="244"/>
      <c r="BY124" s="244"/>
      <c r="BZ124" s="244"/>
      <c r="CA124" s="244"/>
      <c r="CB124" s="244"/>
      <c r="CC124" s="244"/>
      <c r="CD124" s="244"/>
      <c r="CE124" s="244"/>
      <c r="CF124" s="244"/>
    </row>
    <row r="125">
      <c r="A125" s="244"/>
      <c r="B125" s="246"/>
      <c r="C125" s="244"/>
      <c r="D125" s="244"/>
      <c r="E125" s="244"/>
      <c r="F125" s="244"/>
      <c r="G125" s="244"/>
      <c r="H125" s="244"/>
      <c r="I125" s="244"/>
      <c r="J125" s="244"/>
      <c r="K125" s="244"/>
      <c r="L125" s="244"/>
      <c r="M125" s="244"/>
      <c r="N125" s="244"/>
      <c r="O125" s="244"/>
      <c r="P125" s="244"/>
      <c r="Q125" s="244"/>
      <c r="R125" s="244"/>
      <c r="S125" s="244"/>
      <c r="T125" s="244"/>
      <c r="U125" s="244"/>
      <c r="V125" s="244"/>
      <c r="W125" s="244"/>
      <c r="X125" s="244"/>
      <c r="Y125" s="244"/>
      <c r="Z125" s="244"/>
      <c r="AA125" s="244"/>
      <c r="AB125" s="244"/>
      <c r="AC125" s="244"/>
      <c r="AD125" s="244"/>
      <c r="AE125" s="244"/>
      <c r="AF125" s="244"/>
      <c r="AG125" s="244"/>
      <c r="AH125" s="244"/>
      <c r="AI125" s="244"/>
      <c r="AJ125" s="244"/>
      <c r="AK125" s="244"/>
      <c r="AL125" s="244"/>
      <c r="AM125" s="244"/>
      <c r="AN125" s="244"/>
      <c r="AO125" s="244"/>
      <c r="AP125" s="244"/>
      <c r="AQ125" s="244"/>
      <c r="AR125" s="244"/>
      <c r="AS125" s="244"/>
      <c r="AT125" s="244"/>
      <c r="AU125" s="244"/>
      <c r="AV125" s="244"/>
      <c r="AW125" s="244"/>
      <c r="AX125" s="244"/>
      <c r="AY125" s="244"/>
      <c r="AZ125" s="244"/>
      <c r="BA125" s="244"/>
      <c r="BB125" s="244"/>
      <c r="BC125" s="244"/>
      <c r="BD125" s="244"/>
      <c r="BE125" s="244"/>
      <c r="BF125" s="244"/>
      <c r="BG125" s="244"/>
      <c r="BH125" s="244"/>
      <c r="BI125" s="244"/>
      <c r="BJ125" s="244"/>
      <c r="BK125" s="244"/>
      <c r="BL125" s="244"/>
      <c r="BM125" s="244"/>
      <c r="BN125" s="244"/>
      <c r="BO125" s="244"/>
      <c r="BP125" s="244"/>
      <c r="BQ125" s="244"/>
      <c r="BR125" s="244"/>
      <c r="BS125" s="244"/>
      <c r="BT125" s="244"/>
      <c r="BU125" s="244"/>
      <c r="BV125" s="244"/>
      <c r="BW125" s="244"/>
      <c r="BX125" s="244"/>
      <c r="BY125" s="244"/>
      <c r="BZ125" s="244"/>
      <c r="CA125" s="244"/>
      <c r="CB125" s="244"/>
      <c r="CC125" s="244"/>
      <c r="CD125" s="244"/>
      <c r="CE125" s="244"/>
      <c r="CF125" s="244"/>
    </row>
    <row r="126">
      <c r="A126" s="244"/>
      <c r="B126" s="246"/>
      <c r="C126" s="244"/>
      <c r="D126" s="244"/>
      <c r="E126" s="244"/>
      <c r="F126" s="244"/>
      <c r="G126" s="244"/>
      <c r="H126" s="244"/>
      <c r="I126" s="244"/>
      <c r="J126" s="244"/>
      <c r="K126" s="244"/>
      <c r="L126" s="244"/>
      <c r="M126" s="244"/>
      <c r="N126" s="244"/>
      <c r="O126" s="244"/>
      <c r="P126" s="244"/>
      <c r="Q126" s="244"/>
      <c r="R126" s="244"/>
      <c r="S126" s="244"/>
      <c r="T126" s="244"/>
      <c r="U126" s="244"/>
      <c r="V126" s="244"/>
      <c r="W126" s="244"/>
      <c r="X126" s="244"/>
      <c r="Y126" s="244"/>
      <c r="Z126" s="244"/>
      <c r="AA126" s="244"/>
      <c r="AB126" s="244"/>
      <c r="AC126" s="244"/>
      <c r="AD126" s="244"/>
      <c r="AE126" s="244"/>
      <c r="AF126" s="244"/>
      <c r="AG126" s="244"/>
      <c r="AH126" s="244"/>
      <c r="AI126" s="244"/>
      <c r="AJ126" s="244"/>
      <c r="AK126" s="244"/>
      <c r="AL126" s="244"/>
      <c r="AM126" s="244"/>
      <c r="AN126" s="244"/>
      <c r="AO126" s="244"/>
      <c r="AP126" s="244"/>
      <c r="AQ126" s="244"/>
      <c r="AR126" s="244"/>
      <c r="AS126" s="244"/>
      <c r="AT126" s="244"/>
      <c r="AU126" s="244"/>
      <c r="AV126" s="244"/>
      <c r="AW126" s="244"/>
      <c r="AX126" s="244"/>
      <c r="AY126" s="244"/>
      <c r="AZ126" s="244"/>
      <c r="BA126" s="244"/>
      <c r="BB126" s="244"/>
      <c r="BC126" s="244"/>
      <c r="BD126" s="244"/>
      <c r="BE126" s="244"/>
      <c r="BF126" s="244"/>
      <c r="BG126" s="244"/>
      <c r="BH126" s="244"/>
      <c r="BI126" s="244"/>
      <c r="BJ126" s="244"/>
      <c r="BK126" s="244"/>
      <c r="BL126" s="244"/>
      <c r="BM126" s="244"/>
      <c r="BN126" s="244"/>
      <c r="BO126" s="244"/>
      <c r="BP126" s="244"/>
      <c r="BQ126" s="244"/>
      <c r="BR126" s="244"/>
      <c r="BS126" s="244"/>
      <c r="BT126" s="244"/>
      <c r="BU126" s="244"/>
      <c r="BV126" s="244"/>
      <c r="BW126" s="244"/>
      <c r="BX126" s="244"/>
      <c r="BY126" s="244"/>
      <c r="BZ126" s="244"/>
      <c r="CA126" s="244"/>
      <c r="CB126" s="244"/>
      <c r="CC126" s="244"/>
      <c r="CD126" s="244"/>
      <c r="CE126" s="244"/>
      <c r="CF126" s="244"/>
    </row>
    <row r="127">
      <c r="A127" s="244"/>
      <c r="B127" s="246"/>
      <c r="C127" s="244"/>
      <c r="D127" s="244"/>
      <c r="E127" s="244"/>
      <c r="F127" s="244"/>
      <c r="G127" s="244"/>
      <c r="H127" s="244"/>
      <c r="I127" s="244"/>
      <c r="J127" s="244"/>
      <c r="K127" s="244"/>
      <c r="L127" s="244"/>
      <c r="M127" s="244"/>
      <c r="N127" s="244"/>
      <c r="O127" s="244"/>
      <c r="P127" s="244"/>
      <c r="Q127" s="244"/>
      <c r="R127" s="244"/>
      <c r="S127" s="244"/>
      <c r="T127" s="244"/>
      <c r="U127" s="244"/>
      <c r="V127" s="244"/>
      <c r="W127" s="244"/>
      <c r="X127" s="244"/>
      <c r="Y127" s="244"/>
      <c r="Z127" s="244"/>
      <c r="AA127" s="244"/>
      <c r="AB127" s="244"/>
      <c r="AC127" s="244"/>
      <c r="AD127" s="244"/>
      <c r="AE127" s="244"/>
      <c r="AF127" s="244"/>
      <c r="AG127" s="244"/>
      <c r="AH127" s="244"/>
      <c r="AI127" s="244"/>
      <c r="AJ127" s="244"/>
      <c r="AK127" s="244"/>
      <c r="AL127" s="244"/>
      <c r="AM127" s="244"/>
      <c r="AN127" s="244"/>
      <c r="AO127" s="244"/>
      <c r="AP127" s="244"/>
      <c r="AQ127" s="244"/>
      <c r="AR127" s="244"/>
      <c r="AS127" s="244"/>
      <c r="AT127" s="244"/>
      <c r="AU127" s="244"/>
      <c r="AV127" s="244"/>
      <c r="AW127" s="244"/>
      <c r="AX127" s="244"/>
      <c r="AY127" s="244"/>
      <c r="AZ127" s="244"/>
      <c r="BA127" s="244"/>
      <c r="BB127" s="244"/>
      <c r="BC127" s="244"/>
      <c r="BD127" s="244"/>
      <c r="BE127" s="244"/>
      <c r="BF127" s="244"/>
      <c r="BG127" s="244"/>
      <c r="BH127" s="244"/>
      <c r="BI127" s="244"/>
      <c r="BJ127" s="244"/>
      <c r="BK127" s="244"/>
      <c r="BL127" s="244"/>
      <c r="BM127" s="244"/>
      <c r="BN127" s="244"/>
      <c r="BO127" s="244"/>
      <c r="BP127" s="244"/>
      <c r="BQ127" s="244"/>
      <c r="BR127" s="244"/>
      <c r="BS127" s="244"/>
      <c r="BT127" s="244"/>
      <c r="BU127" s="244"/>
      <c r="BV127" s="244"/>
      <c r="BW127" s="244"/>
      <c r="BX127" s="244"/>
      <c r="BY127" s="244"/>
      <c r="BZ127" s="244"/>
      <c r="CA127" s="244"/>
      <c r="CB127" s="244"/>
      <c r="CC127" s="244"/>
      <c r="CD127" s="244"/>
      <c r="CE127" s="244"/>
      <c r="CF127" s="244"/>
    </row>
    <row r="128">
      <c r="A128" s="244"/>
      <c r="B128" s="246"/>
      <c r="C128" s="244"/>
      <c r="D128" s="244"/>
      <c r="E128" s="244"/>
      <c r="F128" s="244"/>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c r="AD128" s="244"/>
      <c r="AE128" s="244"/>
      <c r="AF128" s="244"/>
      <c r="AG128" s="244"/>
      <c r="AH128" s="244"/>
      <c r="AI128" s="244"/>
      <c r="AJ128" s="244"/>
      <c r="AK128" s="244"/>
      <c r="AL128" s="244"/>
      <c r="AM128" s="244"/>
      <c r="AN128" s="244"/>
      <c r="AO128" s="244"/>
      <c r="AP128" s="244"/>
      <c r="AQ128" s="244"/>
      <c r="AR128" s="244"/>
      <c r="AS128" s="244"/>
      <c r="AT128" s="244"/>
      <c r="AU128" s="244"/>
      <c r="AV128" s="244"/>
      <c r="AW128" s="244"/>
      <c r="AX128" s="244"/>
      <c r="AY128" s="244"/>
      <c r="AZ128" s="244"/>
      <c r="BA128" s="244"/>
      <c r="BB128" s="244"/>
      <c r="BC128" s="244"/>
      <c r="BD128" s="244"/>
      <c r="BE128" s="244"/>
      <c r="BF128" s="244"/>
      <c r="BG128" s="244"/>
      <c r="BH128" s="244"/>
      <c r="BI128" s="244"/>
      <c r="BJ128" s="244"/>
      <c r="BK128" s="244"/>
      <c r="BL128" s="244"/>
      <c r="BM128" s="244"/>
      <c r="BN128" s="244"/>
      <c r="BO128" s="244"/>
      <c r="BP128" s="244"/>
      <c r="BQ128" s="244"/>
      <c r="BR128" s="244"/>
      <c r="BS128" s="244"/>
      <c r="BT128" s="244"/>
      <c r="BU128" s="244"/>
      <c r="BV128" s="244"/>
      <c r="BW128" s="244"/>
      <c r="BX128" s="244"/>
      <c r="BY128" s="244"/>
      <c r="BZ128" s="244"/>
      <c r="CA128" s="244"/>
      <c r="CB128" s="244"/>
      <c r="CC128" s="244"/>
      <c r="CD128" s="244"/>
      <c r="CE128" s="244"/>
      <c r="CF128" s="244"/>
    </row>
    <row r="129">
      <c r="A129" s="244"/>
      <c r="B129" s="246"/>
      <c r="C129" s="244"/>
      <c r="D129" s="244"/>
      <c r="E129" s="244"/>
      <c r="F129" s="244"/>
      <c r="G129" s="244"/>
      <c r="H129" s="244"/>
      <c r="I129" s="244"/>
      <c r="J129" s="244"/>
      <c r="K129" s="244"/>
      <c r="L129" s="244"/>
      <c r="M129" s="244"/>
      <c r="N129" s="244"/>
      <c r="O129" s="244"/>
      <c r="P129" s="244"/>
      <c r="Q129" s="244"/>
      <c r="R129" s="244"/>
      <c r="S129" s="244"/>
      <c r="T129" s="244"/>
      <c r="U129" s="244"/>
      <c r="V129" s="244"/>
      <c r="W129" s="244"/>
      <c r="X129" s="244"/>
      <c r="Y129" s="244"/>
      <c r="Z129" s="244"/>
      <c r="AA129" s="244"/>
      <c r="AB129" s="244"/>
      <c r="AC129" s="244"/>
      <c r="AD129" s="244"/>
      <c r="AE129" s="244"/>
      <c r="AF129" s="244"/>
      <c r="AG129" s="244"/>
      <c r="AH129" s="244"/>
      <c r="AI129" s="244"/>
      <c r="AJ129" s="244"/>
      <c r="AK129" s="244"/>
      <c r="AL129" s="244"/>
      <c r="AM129" s="244"/>
      <c r="AN129" s="244"/>
      <c r="AO129" s="244"/>
      <c r="AP129" s="244"/>
      <c r="AQ129" s="244"/>
      <c r="AR129" s="244"/>
      <c r="AS129" s="244"/>
      <c r="AT129" s="244"/>
      <c r="AU129" s="244"/>
      <c r="AV129" s="244"/>
      <c r="AW129" s="244"/>
      <c r="AX129" s="244"/>
      <c r="AY129" s="244"/>
      <c r="AZ129" s="244"/>
      <c r="BA129" s="244"/>
      <c r="BB129" s="244"/>
      <c r="BC129" s="244"/>
      <c r="BD129" s="244"/>
      <c r="BE129" s="244"/>
      <c r="BF129" s="244"/>
      <c r="BG129" s="244"/>
      <c r="BH129" s="244"/>
      <c r="BI129" s="244"/>
      <c r="BJ129" s="244"/>
      <c r="BK129" s="244"/>
      <c r="BL129" s="244"/>
      <c r="BM129" s="244"/>
      <c r="BN129" s="244"/>
      <c r="BO129" s="244"/>
      <c r="BP129" s="244"/>
      <c r="BQ129" s="244"/>
      <c r="BR129" s="244"/>
      <c r="BS129" s="244"/>
      <c r="BT129" s="244"/>
      <c r="BU129" s="244"/>
      <c r="BV129" s="244"/>
      <c r="BW129" s="244"/>
      <c r="BX129" s="244"/>
      <c r="BY129" s="244"/>
      <c r="BZ129" s="244"/>
      <c r="CA129" s="244"/>
      <c r="CB129" s="244"/>
      <c r="CC129" s="244"/>
      <c r="CD129" s="244"/>
      <c r="CE129" s="244"/>
      <c r="CF129" s="244"/>
    </row>
    <row r="130">
      <c r="A130" s="244"/>
      <c r="B130" s="246"/>
      <c r="C130" s="244"/>
      <c r="D130" s="244"/>
      <c r="E130" s="244"/>
      <c r="F130" s="244"/>
      <c r="G130" s="244"/>
      <c r="H130" s="244"/>
      <c r="I130" s="244"/>
      <c r="J130" s="244"/>
      <c r="K130" s="244"/>
      <c r="L130" s="244"/>
      <c r="M130" s="244"/>
      <c r="N130" s="244"/>
      <c r="O130" s="244"/>
      <c r="P130" s="244"/>
      <c r="Q130" s="244"/>
      <c r="R130" s="244"/>
      <c r="S130" s="244"/>
      <c r="T130" s="244"/>
      <c r="U130" s="244"/>
      <c r="V130" s="244"/>
      <c r="W130" s="244"/>
      <c r="X130" s="244"/>
      <c r="Y130" s="244"/>
      <c r="Z130" s="244"/>
      <c r="AA130" s="244"/>
      <c r="AB130" s="244"/>
      <c r="AC130" s="244"/>
      <c r="AD130" s="244"/>
      <c r="AE130" s="244"/>
      <c r="AF130" s="244"/>
      <c r="AG130" s="244"/>
      <c r="AH130" s="244"/>
      <c r="AI130" s="244"/>
      <c r="AJ130" s="244"/>
      <c r="AK130" s="244"/>
      <c r="AL130" s="244"/>
      <c r="AM130" s="244"/>
      <c r="AN130" s="244"/>
      <c r="AO130" s="244"/>
      <c r="AP130" s="244"/>
      <c r="AQ130" s="244"/>
      <c r="AR130" s="244"/>
      <c r="AS130" s="244"/>
      <c r="AT130" s="244"/>
      <c r="AU130" s="244"/>
      <c r="AV130" s="244"/>
      <c r="AW130" s="244"/>
      <c r="AX130" s="244"/>
      <c r="AY130" s="244"/>
      <c r="AZ130" s="244"/>
      <c r="BA130" s="244"/>
      <c r="BB130" s="244"/>
      <c r="BC130" s="244"/>
      <c r="BD130" s="244"/>
      <c r="BE130" s="244"/>
      <c r="BF130" s="244"/>
      <c r="BG130" s="244"/>
      <c r="BH130" s="244"/>
      <c r="BI130" s="244"/>
      <c r="BJ130" s="244"/>
      <c r="BK130" s="244"/>
      <c r="BL130" s="244"/>
      <c r="BM130" s="244"/>
      <c r="BN130" s="244"/>
      <c r="BO130" s="244"/>
      <c r="BP130" s="244"/>
      <c r="BQ130" s="244"/>
      <c r="BR130" s="244"/>
      <c r="BS130" s="244"/>
      <c r="BT130" s="244"/>
      <c r="BU130" s="244"/>
      <c r="BV130" s="244"/>
      <c r="BW130" s="244"/>
      <c r="BX130" s="244"/>
      <c r="BY130" s="244"/>
      <c r="BZ130" s="244"/>
      <c r="CA130" s="244"/>
      <c r="CB130" s="244"/>
      <c r="CC130" s="244"/>
      <c r="CD130" s="244"/>
      <c r="CE130" s="244"/>
      <c r="CF130" s="244"/>
    </row>
    <row r="131">
      <c r="A131" s="244"/>
      <c r="B131" s="246"/>
      <c r="C131" s="244"/>
      <c r="D131" s="244"/>
      <c r="E131" s="244"/>
      <c r="F131" s="244"/>
      <c r="G131" s="244"/>
      <c r="H131" s="244"/>
      <c r="I131" s="244"/>
      <c r="J131" s="244"/>
      <c r="K131" s="244"/>
      <c r="L131" s="244"/>
      <c r="M131" s="244"/>
      <c r="N131" s="244"/>
      <c r="O131" s="244"/>
      <c r="P131" s="244"/>
      <c r="Q131" s="244"/>
      <c r="R131" s="244"/>
      <c r="S131" s="244"/>
      <c r="T131" s="244"/>
      <c r="U131" s="244"/>
      <c r="V131" s="244"/>
      <c r="W131" s="244"/>
      <c r="X131" s="244"/>
      <c r="Y131" s="244"/>
      <c r="Z131" s="244"/>
      <c r="AA131" s="244"/>
      <c r="AB131" s="244"/>
      <c r="AC131" s="244"/>
      <c r="AD131" s="244"/>
      <c r="AE131" s="244"/>
      <c r="AF131" s="244"/>
      <c r="AG131" s="244"/>
      <c r="AH131" s="244"/>
      <c r="AI131" s="244"/>
      <c r="AJ131" s="244"/>
      <c r="AK131" s="244"/>
      <c r="AL131" s="244"/>
      <c r="AM131" s="244"/>
      <c r="AN131" s="244"/>
      <c r="AO131" s="244"/>
      <c r="AP131" s="244"/>
      <c r="AQ131" s="244"/>
      <c r="AR131" s="244"/>
      <c r="AS131" s="244"/>
      <c r="AT131" s="244"/>
      <c r="AU131" s="244"/>
      <c r="AV131" s="244"/>
      <c r="AW131" s="244"/>
      <c r="AX131" s="244"/>
      <c r="AY131" s="244"/>
      <c r="AZ131" s="244"/>
      <c r="BA131" s="244"/>
      <c r="BB131" s="244"/>
      <c r="BC131" s="244"/>
      <c r="BD131" s="244"/>
      <c r="BE131" s="244"/>
      <c r="BF131" s="244"/>
      <c r="BG131" s="244"/>
      <c r="BH131" s="244"/>
      <c r="BI131" s="244"/>
      <c r="BJ131" s="244"/>
      <c r="BK131" s="244"/>
      <c r="BL131" s="244"/>
      <c r="BM131" s="244"/>
      <c r="BN131" s="244"/>
      <c r="BO131" s="244"/>
      <c r="BP131" s="244"/>
      <c r="BQ131" s="244"/>
      <c r="BR131" s="244"/>
      <c r="BS131" s="244"/>
      <c r="BT131" s="244"/>
      <c r="BU131" s="244"/>
      <c r="BV131" s="244"/>
      <c r="BW131" s="244"/>
      <c r="BX131" s="244"/>
      <c r="BY131" s="244"/>
      <c r="BZ131" s="244"/>
      <c r="CA131" s="244"/>
      <c r="CB131" s="244"/>
      <c r="CC131" s="244"/>
      <c r="CD131" s="244"/>
      <c r="CE131" s="244"/>
      <c r="CF131" s="244"/>
    </row>
    <row r="132">
      <c r="A132" s="244"/>
      <c r="B132" s="246"/>
      <c r="C132" s="244"/>
      <c r="D132" s="244"/>
      <c r="E132" s="244"/>
      <c r="F132" s="244"/>
      <c r="G132" s="244"/>
      <c r="H132" s="244"/>
      <c r="I132" s="244"/>
      <c r="J132" s="244"/>
      <c r="K132" s="244"/>
      <c r="L132" s="244"/>
      <c r="M132" s="244"/>
      <c r="N132" s="244"/>
      <c r="O132" s="244"/>
      <c r="P132" s="244"/>
      <c r="Q132" s="244"/>
      <c r="R132" s="244"/>
      <c r="S132" s="244"/>
      <c r="T132" s="244"/>
      <c r="U132" s="244"/>
      <c r="V132" s="244"/>
      <c r="W132" s="244"/>
      <c r="X132" s="244"/>
      <c r="Y132" s="244"/>
      <c r="Z132" s="244"/>
      <c r="AA132" s="244"/>
      <c r="AB132" s="244"/>
      <c r="AC132" s="244"/>
      <c r="AD132" s="244"/>
      <c r="AE132" s="244"/>
      <c r="AF132" s="244"/>
      <c r="AG132" s="244"/>
      <c r="AH132" s="244"/>
      <c r="AI132" s="244"/>
      <c r="AJ132" s="244"/>
      <c r="AK132" s="244"/>
      <c r="AL132" s="244"/>
      <c r="AM132" s="244"/>
      <c r="AN132" s="244"/>
      <c r="AO132" s="244"/>
      <c r="AP132" s="244"/>
      <c r="AQ132" s="244"/>
      <c r="AR132" s="244"/>
      <c r="AS132" s="244"/>
      <c r="AT132" s="244"/>
      <c r="AU132" s="244"/>
      <c r="AV132" s="244"/>
      <c r="AW132" s="244"/>
      <c r="AX132" s="244"/>
      <c r="AY132" s="244"/>
      <c r="AZ132" s="244"/>
      <c r="BA132" s="244"/>
      <c r="BB132" s="244"/>
      <c r="BC132" s="244"/>
      <c r="BD132" s="244"/>
      <c r="BE132" s="244"/>
      <c r="BF132" s="244"/>
      <c r="BG132" s="244"/>
      <c r="BH132" s="244"/>
      <c r="BI132" s="244"/>
      <c r="BJ132" s="244"/>
      <c r="BK132" s="244"/>
      <c r="BL132" s="244"/>
      <c r="BM132" s="244"/>
      <c r="BN132" s="244"/>
      <c r="BO132" s="244"/>
      <c r="BP132" s="244"/>
      <c r="BQ132" s="244"/>
      <c r="BR132" s="244"/>
      <c r="BS132" s="244"/>
      <c r="BT132" s="244"/>
      <c r="BU132" s="244"/>
      <c r="BV132" s="244"/>
      <c r="BW132" s="244"/>
      <c r="BX132" s="244"/>
      <c r="BY132" s="244"/>
      <c r="BZ132" s="244"/>
      <c r="CA132" s="244"/>
      <c r="CB132" s="244"/>
      <c r="CC132" s="244"/>
      <c r="CD132" s="244"/>
      <c r="CE132" s="244"/>
      <c r="CF132" s="244"/>
    </row>
    <row r="133">
      <c r="A133" s="244"/>
      <c r="B133" s="246"/>
      <c r="C133" s="244"/>
      <c r="D133" s="244"/>
      <c r="E133" s="244"/>
      <c r="F133" s="244"/>
      <c r="G133" s="244"/>
      <c r="H133" s="244"/>
      <c r="I133" s="244"/>
      <c r="J133" s="244"/>
      <c r="K133" s="244"/>
      <c r="L133" s="244"/>
      <c r="M133" s="244"/>
      <c r="N133" s="244"/>
      <c r="O133" s="244"/>
      <c r="P133" s="244"/>
      <c r="Q133" s="244"/>
      <c r="R133" s="244"/>
      <c r="S133" s="244"/>
      <c r="T133" s="244"/>
      <c r="U133" s="244"/>
      <c r="V133" s="244"/>
      <c r="W133" s="244"/>
      <c r="X133" s="244"/>
      <c r="Y133" s="244"/>
      <c r="Z133" s="244"/>
      <c r="AA133" s="244"/>
      <c r="AB133" s="244"/>
      <c r="AC133" s="244"/>
      <c r="AD133" s="244"/>
      <c r="AE133" s="244"/>
      <c r="AF133" s="244"/>
      <c r="AG133" s="244"/>
      <c r="AH133" s="244"/>
      <c r="AI133" s="244"/>
      <c r="AJ133" s="244"/>
      <c r="AK133" s="244"/>
      <c r="AL133" s="244"/>
      <c r="AM133" s="244"/>
      <c r="AN133" s="244"/>
      <c r="AO133" s="244"/>
      <c r="AP133" s="244"/>
      <c r="AQ133" s="244"/>
      <c r="AR133" s="244"/>
      <c r="AS133" s="244"/>
      <c r="AT133" s="244"/>
      <c r="AU133" s="244"/>
      <c r="AV133" s="244"/>
      <c r="AW133" s="244"/>
      <c r="AX133" s="244"/>
      <c r="AY133" s="244"/>
      <c r="AZ133" s="244"/>
      <c r="BA133" s="244"/>
      <c r="BB133" s="244"/>
      <c r="BC133" s="244"/>
      <c r="BD133" s="244"/>
      <c r="BE133" s="244"/>
      <c r="BF133" s="244"/>
      <c r="BG133" s="244"/>
      <c r="BH133" s="244"/>
      <c r="BI133" s="244"/>
      <c r="BJ133" s="244"/>
      <c r="BK133" s="244"/>
      <c r="BL133" s="244"/>
      <c r="BM133" s="244"/>
      <c r="BN133" s="244"/>
      <c r="BO133" s="244"/>
      <c r="BP133" s="244"/>
      <c r="BQ133" s="244"/>
      <c r="BR133" s="244"/>
      <c r="BS133" s="244"/>
      <c r="BT133" s="244"/>
      <c r="BU133" s="244"/>
      <c r="BV133" s="244"/>
      <c r="BW133" s="244"/>
      <c r="BX133" s="244"/>
      <c r="BY133" s="244"/>
      <c r="BZ133" s="244"/>
      <c r="CA133" s="244"/>
      <c r="CB133" s="244"/>
      <c r="CC133" s="244"/>
      <c r="CD133" s="244"/>
      <c r="CE133" s="244"/>
      <c r="CF133" s="244"/>
    </row>
    <row r="134">
      <c r="A134" s="244"/>
      <c r="B134" s="246"/>
      <c r="C134" s="244"/>
      <c r="D134" s="244"/>
      <c r="E134" s="244"/>
      <c r="F134" s="244"/>
      <c r="G134" s="244"/>
      <c r="H134" s="244"/>
      <c r="I134" s="244"/>
      <c r="J134" s="244"/>
      <c r="K134" s="244"/>
      <c r="L134" s="244"/>
      <c r="M134" s="244"/>
      <c r="N134" s="244"/>
      <c r="O134" s="244"/>
      <c r="P134" s="244"/>
      <c r="Q134" s="244"/>
      <c r="R134" s="244"/>
      <c r="S134" s="244"/>
      <c r="T134" s="244"/>
      <c r="U134" s="244"/>
      <c r="V134" s="244"/>
      <c r="W134" s="244"/>
      <c r="X134" s="244"/>
      <c r="Y134" s="244"/>
      <c r="Z134" s="244"/>
      <c r="AA134" s="244"/>
      <c r="AB134" s="244"/>
      <c r="AC134" s="244"/>
      <c r="AD134" s="244"/>
      <c r="AE134" s="244"/>
      <c r="AF134" s="244"/>
      <c r="AG134" s="244"/>
      <c r="AH134" s="244"/>
      <c r="AI134" s="244"/>
      <c r="AJ134" s="244"/>
      <c r="AK134" s="244"/>
      <c r="AL134" s="244"/>
      <c r="AM134" s="244"/>
      <c r="AN134" s="244"/>
      <c r="AO134" s="244"/>
      <c r="AP134" s="244"/>
      <c r="AQ134" s="244"/>
      <c r="AR134" s="244"/>
      <c r="AS134" s="244"/>
      <c r="AT134" s="244"/>
      <c r="AU134" s="244"/>
      <c r="AV134" s="244"/>
      <c r="AW134" s="244"/>
      <c r="AX134" s="244"/>
      <c r="AY134" s="244"/>
      <c r="AZ134" s="244"/>
      <c r="BA134" s="244"/>
      <c r="BB134" s="244"/>
      <c r="BC134" s="244"/>
      <c r="BD134" s="244"/>
      <c r="BE134" s="244"/>
      <c r="BF134" s="244"/>
      <c r="BG134" s="244"/>
      <c r="BH134" s="244"/>
      <c r="BI134" s="244"/>
      <c r="BJ134" s="244"/>
      <c r="BK134" s="244"/>
      <c r="BL134" s="244"/>
      <c r="BM134" s="244"/>
      <c r="BN134" s="244"/>
      <c r="BO134" s="244"/>
      <c r="BP134" s="244"/>
      <c r="BQ134" s="244"/>
      <c r="BR134" s="244"/>
      <c r="BS134" s="244"/>
      <c r="BT134" s="244"/>
      <c r="BU134" s="244"/>
      <c r="BV134" s="244"/>
      <c r="BW134" s="244"/>
      <c r="BX134" s="244"/>
      <c r="BY134" s="244"/>
      <c r="BZ134" s="244"/>
      <c r="CA134" s="244"/>
      <c r="CB134" s="244"/>
      <c r="CC134" s="244"/>
      <c r="CD134" s="244"/>
      <c r="CE134" s="244"/>
      <c r="CF134" s="244"/>
    </row>
    <row r="135">
      <c r="A135" s="244"/>
      <c r="B135" s="246"/>
      <c r="C135" s="244"/>
      <c r="D135" s="244"/>
      <c r="E135" s="244"/>
      <c r="F135" s="244"/>
      <c r="G135" s="244"/>
      <c r="H135" s="244"/>
      <c r="I135" s="244"/>
      <c r="J135" s="244"/>
      <c r="K135" s="244"/>
      <c r="L135" s="244"/>
      <c r="M135" s="244"/>
      <c r="N135" s="244"/>
      <c r="O135" s="244"/>
      <c r="P135" s="244"/>
      <c r="Q135" s="244"/>
      <c r="R135" s="244"/>
      <c r="S135" s="244"/>
      <c r="T135" s="244"/>
      <c r="U135" s="244"/>
      <c r="V135" s="244"/>
      <c r="W135" s="244"/>
      <c r="X135" s="244"/>
      <c r="Y135" s="244"/>
      <c r="Z135" s="244"/>
      <c r="AA135" s="244"/>
      <c r="AB135" s="244"/>
      <c r="AC135" s="244"/>
      <c r="AD135" s="244"/>
      <c r="AE135" s="244"/>
      <c r="AF135" s="244"/>
      <c r="AG135" s="244"/>
      <c r="AH135" s="244"/>
      <c r="AI135" s="244"/>
      <c r="AJ135" s="244"/>
      <c r="AK135" s="244"/>
      <c r="AL135" s="244"/>
      <c r="AM135" s="244"/>
      <c r="AN135" s="244"/>
      <c r="AO135" s="244"/>
      <c r="AP135" s="244"/>
      <c r="AQ135" s="244"/>
      <c r="AR135" s="244"/>
      <c r="AS135" s="244"/>
      <c r="AT135" s="244"/>
      <c r="AU135" s="244"/>
      <c r="AV135" s="244"/>
      <c r="AW135" s="244"/>
      <c r="AX135" s="244"/>
      <c r="AY135" s="244"/>
      <c r="AZ135" s="244"/>
      <c r="BA135" s="244"/>
      <c r="BB135" s="244"/>
      <c r="BC135" s="244"/>
      <c r="BD135" s="244"/>
      <c r="BE135" s="244"/>
      <c r="BF135" s="244"/>
      <c r="BG135" s="244"/>
      <c r="BH135" s="244"/>
      <c r="BI135" s="244"/>
      <c r="BJ135" s="244"/>
      <c r="BK135" s="244"/>
      <c r="BL135" s="244"/>
      <c r="BM135" s="244"/>
      <c r="BN135" s="244"/>
      <c r="BO135" s="244"/>
      <c r="BP135" s="244"/>
      <c r="BQ135" s="244"/>
      <c r="BR135" s="244"/>
      <c r="BS135" s="244"/>
      <c r="BT135" s="244"/>
      <c r="BU135" s="244"/>
      <c r="BV135" s="244"/>
      <c r="BW135" s="244"/>
      <c r="BX135" s="244"/>
      <c r="BY135" s="244"/>
      <c r="BZ135" s="244"/>
      <c r="CA135" s="244"/>
      <c r="CB135" s="244"/>
      <c r="CC135" s="244"/>
      <c r="CD135" s="244"/>
      <c r="CE135" s="244"/>
      <c r="CF135" s="244"/>
    </row>
    <row r="136">
      <c r="A136" s="244"/>
      <c r="B136" s="246"/>
      <c r="C136" s="244"/>
      <c r="D136" s="244"/>
      <c r="E136" s="244"/>
      <c r="F136" s="244"/>
      <c r="G136" s="244"/>
      <c r="H136" s="244"/>
      <c r="I136" s="244"/>
      <c r="J136" s="244"/>
      <c r="K136" s="244"/>
      <c r="L136" s="244"/>
      <c r="M136" s="244"/>
      <c r="N136" s="244"/>
      <c r="O136" s="244"/>
      <c r="P136" s="244"/>
      <c r="Q136" s="244"/>
      <c r="R136" s="244"/>
      <c r="S136" s="244"/>
      <c r="T136" s="244"/>
      <c r="U136" s="244"/>
      <c r="V136" s="244"/>
      <c r="W136" s="244"/>
      <c r="X136" s="244"/>
      <c r="Y136" s="244"/>
      <c r="Z136" s="244"/>
      <c r="AA136" s="244"/>
      <c r="AB136" s="244"/>
      <c r="AC136" s="244"/>
      <c r="AD136" s="244"/>
      <c r="AE136" s="244"/>
      <c r="AF136" s="244"/>
      <c r="AG136" s="244"/>
      <c r="AH136" s="244"/>
      <c r="AI136" s="244"/>
      <c r="AJ136" s="244"/>
      <c r="AK136" s="244"/>
      <c r="AL136" s="244"/>
      <c r="AM136" s="244"/>
      <c r="AN136" s="244"/>
      <c r="AO136" s="244"/>
      <c r="AP136" s="244"/>
      <c r="AQ136" s="244"/>
      <c r="AR136" s="244"/>
      <c r="AS136" s="244"/>
      <c r="AT136" s="244"/>
      <c r="AU136" s="244"/>
      <c r="AV136" s="244"/>
      <c r="AW136" s="244"/>
      <c r="AX136" s="244"/>
      <c r="AY136" s="244"/>
      <c r="AZ136" s="244"/>
      <c r="BA136" s="244"/>
      <c r="BB136" s="244"/>
      <c r="BC136" s="244"/>
      <c r="BD136" s="244"/>
      <c r="BE136" s="244"/>
      <c r="BF136" s="244"/>
      <c r="BG136" s="244"/>
      <c r="BH136" s="244"/>
      <c r="BI136" s="244"/>
      <c r="BJ136" s="244"/>
      <c r="BK136" s="244"/>
      <c r="BL136" s="244"/>
      <c r="BM136" s="244"/>
      <c r="BN136" s="244"/>
      <c r="BO136" s="244"/>
      <c r="BP136" s="244"/>
      <c r="BQ136" s="244"/>
      <c r="BR136" s="244"/>
      <c r="BS136" s="244"/>
      <c r="BT136" s="244"/>
      <c r="BU136" s="244"/>
      <c r="BV136" s="244"/>
      <c r="BW136" s="244"/>
      <c r="BX136" s="244"/>
      <c r="BY136" s="244"/>
      <c r="BZ136" s="244"/>
      <c r="CA136" s="244"/>
      <c r="CB136" s="244"/>
      <c r="CC136" s="244"/>
      <c r="CD136" s="244"/>
      <c r="CE136" s="244"/>
      <c r="CF136" s="244"/>
    </row>
    <row r="137">
      <c r="A137" s="244"/>
      <c r="B137" s="246"/>
      <c r="C137" s="244"/>
      <c r="D137" s="244"/>
      <c r="E137" s="244"/>
      <c r="F137" s="244"/>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c r="AO137" s="244"/>
      <c r="AP137" s="244"/>
      <c r="AQ137" s="244"/>
      <c r="AR137" s="244"/>
      <c r="AS137" s="244"/>
      <c r="AT137" s="244"/>
      <c r="AU137" s="244"/>
      <c r="AV137" s="244"/>
      <c r="AW137" s="244"/>
      <c r="AX137" s="244"/>
      <c r="AY137" s="244"/>
      <c r="AZ137" s="244"/>
      <c r="BA137" s="244"/>
      <c r="BB137" s="244"/>
      <c r="BC137" s="244"/>
      <c r="BD137" s="244"/>
      <c r="BE137" s="244"/>
      <c r="BF137" s="244"/>
      <c r="BG137" s="244"/>
      <c r="BH137" s="244"/>
      <c r="BI137" s="244"/>
      <c r="BJ137" s="244"/>
      <c r="BK137" s="244"/>
      <c r="BL137" s="244"/>
      <c r="BM137" s="244"/>
      <c r="BN137" s="244"/>
      <c r="BO137" s="244"/>
      <c r="BP137" s="244"/>
      <c r="BQ137" s="244"/>
      <c r="BR137" s="244"/>
      <c r="BS137" s="244"/>
      <c r="BT137" s="244"/>
      <c r="BU137" s="244"/>
      <c r="BV137" s="244"/>
      <c r="BW137" s="244"/>
      <c r="BX137" s="244"/>
      <c r="BY137" s="244"/>
      <c r="BZ137" s="244"/>
      <c r="CA137" s="244"/>
      <c r="CB137" s="244"/>
      <c r="CC137" s="244"/>
      <c r="CD137" s="244"/>
      <c r="CE137" s="244"/>
      <c r="CF137" s="244"/>
    </row>
    <row r="138">
      <c r="A138" s="244"/>
      <c r="B138" s="246"/>
      <c r="C138" s="244"/>
      <c r="D138" s="244"/>
      <c r="E138" s="244"/>
      <c r="F138" s="244"/>
      <c r="G138" s="244"/>
      <c r="H138" s="244"/>
      <c r="I138" s="244"/>
      <c r="J138" s="244"/>
      <c r="K138" s="244"/>
      <c r="L138" s="244"/>
      <c r="M138" s="244"/>
      <c r="N138" s="244"/>
      <c r="O138" s="244"/>
      <c r="P138" s="244"/>
      <c r="Q138" s="244"/>
      <c r="R138" s="244"/>
      <c r="S138" s="244"/>
      <c r="T138" s="244"/>
      <c r="U138" s="244"/>
      <c r="V138" s="244"/>
      <c r="W138" s="244"/>
      <c r="X138" s="244"/>
      <c r="Y138" s="244"/>
      <c r="Z138" s="244"/>
      <c r="AA138" s="244"/>
      <c r="AB138" s="244"/>
      <c r="AC138" s="244"/>
      <c r="AD138" s="244"/>
      <c r="AE138" s="244"/>
      <c r="AF138" s="244"/>
      <c r="AG138" s="244"/>
      <c r="AH138" s="244"/>
      <c r="AI138" s="244"/>
      <c r="AJ138" s="244"/>
      <c r="AK138" s="244"/>
      <c r="AL138" s="244"/>
      <c r="AM138" s="244"/>
      <c r="AN138" s="244"/>
      <c r="AO138" s="244"/>
      <c r="AP138" s="244"/>
      <c r="AQ138" s="244"/>
      <c r="AR138" s="244"/>
      <c r="AS138" s="244"/>
      <c r="AT138" s="244"/>
      <c r="AU138" s="244"/>
      <c r="AV138" s="244"/>
      <c r="AW138" s="244"/>
      <c r="AX138" s="244"/>
      <c r="AY138" s="244"/>
      <c r="AZ138" s="244"/>
      <c r="BA138" s="244"/>
      <c r="BB138" s="244"/>
      <c r="BC138" s="244"/>
      <c r="BD138" s="244"/>
      <c r="BE138" s="244"/>
      <c r="BF138" s="244"/>
      <c r="BG138" s="244"/>
      <c r="BH138" s="244"/>
      <c r="BI138" s="244"/>
      <c r="BJ138" s="244"/>
      <c r="BK138" s="244"/>
      <c r="BL138" s="244"/>
      <c r="BM138" s="244"/>
      <c r="BN138" s="244"/>
      <c r="BO138" s="244"/>
      <c r="BP138" s="244"/>
      <c r="BQ138" s="244"/>
      <c r="BR138" s="244"/>
      <c r="BS138" s="244"/>
      <c r="BT138" s="244"/>
      <c r="BU138" s="244"/>
      <c r="BV138" s="244"/>
      <c r="BW138" s="244"/>
      <c r="BX138" s="244"/>
      <c r="BY138" s="244"/>
      <c r="BZ138" s="244"/>
      <c r="CA138" s="244"/>
      <c r="CB138" s="244"/>
      <c r="CC138" s="244"/>
      <c r="CD138" s="244"/>
      <c r="CE138" s="244"/>
      <c r="CF138" s="244"/>
    </row>
    <row r="139">
      <c r="A139" s="244"/>
      <c r="B139" s="246"/>
      <c r="C139" s="244"/>
      <c r="D139" s="244"/>
      <c r="E139" s="244"/>
      <c r="F139" s="244"/>
      <c r="G139" s="244"/>
      <c r="H139" s="244"/>
      <c r="I139" s="244"/>
      <c r="J139" s="244"/>
      <c r="K139" s="244"/>
      <c r="L139" s="244"/>
      <c r="M139" s="244"/>
      <c r="N139" s="244"/>
      <c r="O139" s="244"/>
      <c r="P139" s="244"/>
      <c r="Q139" s="244"/>
      <c r="R139" s="244"/>
      <c r="S139" s="244"/>
      <c r="T139" s="244"/>
      <c r="U139" s="244"/>
      <c r="V139" s="244"/>
      <c r="W139" s="244"/>
      <c r="X139" s="244"/>
      <c r="Y139" s="244"/>
      <c r="Z139" s="244"/>
      <c r="AA139" s="244"/>
      <c r="AB139" s="244"/>
      <c r="AC139" s="244"/>
      <c r="AD139" s="244"/>
      <c r="AE139" s="244"/>
      <c r="AF139" s="244"/>
      <c r="AG139" s="244"/>
      <c r="AH139" s="244"/>
      <c r="AI139" s="244"/>
      <c r="AJ139" s="244"/>
      <c r="AK139" s="244"/>
      <c r="AL139" s="244"/>
      <c r="AM139" s="244"/>
      <c r="AN139" s="244"/>
      <c r="AO139" s="244"/>
      <c r="AP139" s="244"/>
      <c r="AQ139" s="244"/>
      <c r="AR139" s="244"/>
      <c r="AS139" s="244"/>
      <c r="AT139" s="244"/>
      <c r="AU139" s="244"/>
      <c r="AV139" s="244"/>
      <c r="AW139" s="244"/>
      <c r="AX139" s="244"/>
      <c r="AY139" s="244"/>
      <c r="AZ139" s="244"/>
      <c r="BA139" s="244"/>
      <c r="BB139" s="244"/>
      <c r="BC139" s="244"/>
      <c r="BD139" s="244"/>
      <c r="BE139" s="244"/>
      <c r="BF139" s="244"/>
      <c r="BG139" s="244"/>
      <c r="BH139" s="244"/>
      <c r="BI139" s="244"/>
      <c r="BJ139" s="244"/>
      <c r="BK139" s="244"/>
      <c r="BL139" s="244"/>
      <c r="BM139" s="244"/>
      <c r="BN139" s="244"/>
      <c r="BO139" s="244"/>
      <c r="BP139" s="244"/>
      <c r="BQ139" s="244"/>
      <c r="BR139" s="244"/>
      <c r="BS139" s="244"/>
      <c r="BT139" s="244"/>
      <c r="BU139" s="244"/>
      <c r="BV139" s="244"/>
      <c r="BW139" s="244"/>
      <c r="BX139" s="244"/>
      <c r="BY139" s="244"/>
      <c r="BZ139" s="244"/>
      <c r="CA139" s="244"/>
      <c r="CB139" s="244"/>
      <c r="CC139" s="244"/>
      <c r="CD139" s="244"/>
      <c r="CE139" s="244"/>
      <c r="CF139" s="244"/>
    </row>
    <row r="140">
      <c r="A140" s="244"/>
      <c r="B140" s="246"/>
      <c r="C140" s="244"/>
      <c r="D140" s="244"/>
      <c r="E140" s="244"/>
      <c r="F140" s="244"/>
      <c r="G140" s="244"/>
      <c r="H140" s="244"/>
      <c r="I140" s="244"/>
      <c r="J140" s="244"/>
      <c r="K140" s="244"/>
      <c r="L140" s="244"/>
      <c r="M140" s="244"/>
      <c r="N140" s="244"/>
      <c r="O140" s="244"/>
      <c r="P140" s="244"/>
      <c r="Q140" s="244"/>
      <c r="R140" s="244"/>
      <c r="S140" s="244"/>
      <c r="T140" s="244"/>
      <c r="U140" s="244"/>
      <c r="V140" s="244"/>
      <c r="W140" s="244"/>
      <c r="X140" s="244"/>
      <c r="Y140" s="244"/>
      <c r="Z140" s="244"/>
      <c r="AA140" s="244"/>
      <c r="AB140" s="244"/>
      <c r="AC140" s="244"/>
      <c r="AD140" s="244"/>
      <c r="AE140" s="244"/>
      <c r="AF140" s="244"/>
      <c r="AG140" s="244"/>
      <c r="AH140" s="244"/>
      <c r="AI140" s="244"/>
      <c r="AJ140" s="244"/>
      <c r="AK140" s="244"/>
      <c r="AL140" s="244"/>
      <c r="AM140" s="244"/>
      <c r="AN140" s="244"/>
      <c r="AO140" s="244"/>
      <c r="AP140" s="244"/>
      <c r="AQ140" s="244"/>
      <c r="AR140" s="244"/>
      <c r="AS140" s="244"/>
      <c r="AT140" s="244"/>
      <c r="AU140" s="244"/>
      <c r="AV140" s="244"/>
      <c r="AW140" s="244"/>
      <c r="AX140" s="244"/>
      <c r="AY140" s="244"/>
      <c r="AZ140" s="244"/>
      <c r="BA140" s="244"/>
      <c r="BB140" s="244"/>
      <c r="BC140" s="244"/>
      <c r="BD140" s="244"/>
      <c r="BE140" s="244"/>
      <c r="BF140" s="244"/>
      <c r="BG140" s="244"/>
      <c r="BH140" s="244"/>
      <c r="BI140" s="244"/>
      <c r="BJ140" s="244"/>
      <c r="BK140" s="244"/>
      <c r="BL140" s="244"/>
      <c r="BM140" s="244"/>
      <c r="BN140" s="244"/>
      <c r="BO140" s="244"/>
      <c r="BP140" s="244"/>
      <c r="BQ140" s="244"/>
      <c r="BR140" s="244"/>
      <c r="BS140" s="244"/>
      <c r="BT140" s="244"/>
      <c r="BU140" s="244"/>
      <c r="BV140" s="244"/>
      <c r="BW140" s="244"/>
      <c r="BX140" s="244"/>
      <c r="BY140" s="244"/>
      <c r="BZ140" s="244"/>
      <c r="CA140" s="244"/>
      <c r="CB140" s="244"/>
      <c r="CC140" s="244"/>
      <c r="CD140" s="244"/>
      <c r="CE140" s="244"/>
      <c r="CF140" s="244"/>
    </row>
    <row r="141">
      <c r="A141" s="244"/>
      <c r="B141" s="246"/>
      <c r="C141" s="244"/>
      <c r="D141" s="244"/>
      <c r="E141" s="244"/>
      <c r="F141" s="244"/>
      <c r="G141" s="244"/>
      <c r="H141" s="244"/>
      <c r="I141" s="244"/>
      <c r="J141" s="244"/>
      <c r="K141" s="244"/>
      <c r="L141" s="244"/>
      <c r="M141" s="244"/>
      <c r="N141" s="244"/>
      <c r="O141" s="244"/>
      <c r="P141" s="244"/>
      <c r="Q141" s="244"/>
      <c r="R141" s="244"/>
      <c r="S141" s="244"/>
      <c r="T141" s="244"/>
      <c r="U141" s="244"/>
      <c r="V141" s="244"/>
      <c r="W141" s="244"/>
      <c r="X141" s="244"/>
      <c r="Y141" s="244"/>
      <c r="Z141" s="244"/>
      <c r="AA141" s="244"/>
      <c r="AB141" s="244"/>
      <c r="AC141" s="244"/>
      <c r="AD141" s="244"/>
      <c r="AE141" s="244"/>
      <c r="AF141" s="244"/>
      <c r="AG141" s="244"/>
      <c r="AH141" s="244"/>
      <c r="AI141" s="244"/>
      <c r="AJ141" s="244"/>
      <c r="AK141" s="244"/>
      <c r="AL141" s="244"/>
      <c r="AM141" s="244"/>
      <c r="AN141" s="244"/>
      <c r="AO141" s="244"/>
      <c r="AP141" s="244"/>
      <c r="AQ141" s="244"/>
      <c r="AR141" s="244"/>
      <c r="AS141" s="244"/>
      <c r="AT141" s="244"/>
      <c r="AU141" s="244"/>
      <c r="AV141" s="244"/>
      <c r="AW141" s="244"/>
      <c r="AX141" s="244"/>
      <c r="AY141" s="244"/>
      <c r="AZ141" s="244"/>
      <c r="BA141" s="244"/>
      <c r="BB141" s="244"/>
      <c r="BC141" s="244"/>
      <c r="BD141" s="244"/>
      <c r="BE141" s="244"/>
      <c r="BF141" s="244"/>
      <c r="BG141" s="244"/>
      <c r="BH141" s="244"/>
      <c r="BI141" s="244"/>
      <c r="BJ141" s="244"/>
      <c r="BK141" s="244"/>
      <c r="BL141" s="244"/>
      <c r="BM141" s="244"/>
      <c r="BN141" s="244"/>
      <c r="BO141" s="244"/>
      <c r="BP141" s="244"/>
      <c r="BQ141" s="244"/>
      <c r="BR141" s="244"/>
      <c r="BS141" s="244"/>
      <c r="BT141" s="244"/>
      <c r="BU141" s="244"/>
      <c r="BV141" s="244"/>
      <c r="BW141" s="244"/>
      <c r="BX141" s="244"/>
      <c r="BY141" s="244"/>
      <c r="BZ141" s="244"/>
      <c r="CA141" s="244"/>
      <c r="CB141" s="244"/>
      <c r="CC141" s="244"/>
      <c r="CD141" s="244"/>
      <c r="CE141" s="244"/>
      <c r="CF141" s="244"/>
    </row>
    <row r="142">
      <c r="A142" s="244"/>
      <c r="B142" s="246"/>
      <c r="C142" s="244"/>
      <c r="D142" s="244"/>
      <c r="E142" s="244"/>
      <c r="F142" s="244"/>
      <c r="G142" s="244"/>
      <c r="H142" s="244"/>
      <c r="I142" s="244"/>
      <c r="J142" s="244"/>
      <c r="K142" s="244"/>
      <c r="L142" s="244"/>
      <c r="M142" s="244"/>
      <c r="N142" s="244"/>
      <c r="O142" s="244"/>
      <c r="P142" s="244"/>
      <c r="Q142" s="244"/>
      <c r="R142" s="244"/>
      <c r="S142" s="244"/>
      <c r="T142" s="244"/>
      <c r="U142" s="244"/>
      <c r="V142" s="244"/>
      <c r="W142" s="244"/>
      <c r="X142" s="244"/>
      <c r="Y142" s="244"/>
      <c r="Z142" s="244"/>
      <c r="AA142" s="244"/>
      <c r="AB142" s="244"/>
      <c r="AC142" s="244"/>
      <c r="AD142" s="244"/>
      <c r="AE142" s="244"/>
      <c r="AF142" s="244"/>
      <c r="AG142" s="244"/>
      <c r="AH142" s="244"/>
      <c r="AI142" s="244"/>
      <c r="AJ142" s="244"/>
      <c r="AK142" s="244"/>
      <c r="AL142" s="244"/>
      <c r="AM142" s="244"/>
      <c r="AN142" s="244"/>
      <c r="AO142" s="244"/>
      <c r="AP142" s="244"/>
      <c r="AQ142" s="244"/>
      <c r="AR142" s="244"/>
      <c r="AS142" s="244"/>
      <c r="AT142" s="244"/>
      <c r="AU142" s="244"/>
      <c r="AV142" s="244"/>
      <c r="AW142" s="244"/>
      <c r="AX142" s="244"/>
      <c r="AY142" s="244"/>
      <c r="AZ142" s="244"/>
      <c r="BA142" s="244"/>
      <c r="BB142" s="244"/>
      <c r="BC142" s="244"/>
      <c r="BD142" s="244"/>
      <c r="BE142" s="244"/>
      <c r="BF142" s="244"/>
      <c r="BG142" s="244"/>
      <c r="BH142" s="244"/>
      <c r="BI142" s="244"/>
      <c r="BJ142" s="244"/>
      <c r="BK142" s="244"/>
      <c r="BL142" s="244"/>
      <c r="BM142" s="244"/>
      <c r="BN142" s="244"/>
      <c r="BO142" s="244"/>
      <c r="BP142" s="244"/>
      <c r="BQ142" s="244"/>
      <c r="BR142" s="244"/>
      <c r="BS142" s="244"/>
      <c r="BT142" s="244"/>
      <c r="BU142" s="244"/>
      <c r="BV142" s="244"/>
      <c r="BW142" s="244"/>
      <c r="BX142" s="244"/>
      <c r="BY142" s="244"/>
      <c r="BZ142" s="244"/>
      <c r="CA142" s="244"/>
      <c r="CB142" s="244"/>
      <c r="CC142" s="244"/>
      <c r="CD142" s="244"/>
      <c r="CE142" s="244"/>
      <c r="CF142" s="244"/>
    </row>
    <row r="143">
      <c r="A143" s="244"/>
      <c r="B143" s="246"/>
      <c r="C143" s="244"/>
      <c r="D143" s="244"/>
      <c r="E143" s="244"/>
      <c r="F143" s="244"/>
      <c r="G143" s="244"/>
      <c r="H143" s="244"/>
      <c r="I143" s="244"/>
      <c r="J143" s="244"/>
      <c r="K143" s="244"/>
      <c r="L143" s="244"/>
      <c r="M143" s="244"/>
      <c r="N143" s="244"/>
      <c r="O143" s="244"/>
      <c r="P143" s="244"/>
      <c r="Q143" s="244"/>
      <c r="R143" s="244"/>
      <c r="S143" s="244"/>
      <c r="T143" s="244"/>
      <c r="U143" s="244"/>
      <c r="V143" s="244"/>
      <c r="W143" s="244"/>
      <c r="X143" s="244"/>
      <c r="Y143" s="244"/>
      <c r="Z143" s="244"/>
      <c r="AA143" s="244"/>
      <c r="AB143" s="244"/>
      <c r="AC143" s="244"/>
      <c r="AD143" s="244"/>
      <c r="AE143" s="244"/>
      <c r="AF143" s="244"/>
      <c r="AG143" s="244"/>
      <c r="AH143" s="244"/>
      <c r="AI143" s="244"/>
      <c r="AJ143" s="244"/>
      <c r="AK143" s="244"/>
      <c r="AL143" s="244"/>
      <c r="AM143" s="244"/>
      <c r="AN143" s="244"/>
      <c r="AO143" s="244"/>
      <c r="AP143" s="244"/>
      <c r="AQ143" s="244"/>
      <c r="AR143" s="244"/>
      <c r="AS143" s="244"/>
      <c r="AT143" s="244"/>
      <c r="AU143" s="244"/>
      <c r="AV143" s="244"/>
      <c r="AW143" s="244"/>
      <c r="AX143" s="244"/>
      <c r="AY143" s="244"/>
      <c r="AZ143" s="244"/>
      <c r="BA143" s="244"/>
      <c r="BB143" s="244"/>
      <c r="BC143" s="244"/>
      <c r="BD143" s="244"/>
      <c r="BE143" s="244"/>
      <c r="BF143" s="244"/>
      <c r="BG143" s="244"/>
      <c r="BH143" s="244"/>
      <c r="BI143" s="244"/>
      <c r="BJ143" s="244"/>
      <c r="BK143" s="244"/>
      <c r="BL143" s="244"/>
      <c r="BM143" s="244"/>
      <c r="BN143" s="244"/>
      <c r="BO143" s="244"/>
      <c r="BP143" s="244"/>
      <c r="BQ143" s="244"/>
      <c r="BR143" s="244"/>
      <c r="BS143" s="244"/>
      <c r="BT143" s="244"/>
      <c r="BU143" s="244"/>
      <c r="BV143" s="244"/>
      <c r="BW143" s="244"/>
      <c r="BX143" s="244"/>
      <c r="BY143" s="244"/>
      <c r="BZ143" s="244"/>
      <c r="CA143" s="244"/>
      <c r="CB143" s="244"/>
      <c r="CC143" s="244"/>
      <c r="CD143" s="244"/>
      <c r="CE143" s="244"/>
      <c r="CF143" s="244"/>
    </row>
    <row r="144">
      <c r="A144" s="244"/>
      <c r="B144" s="246"/>
      <c r="C144" s="244"/>
      <c r="D144" s="244"/>
      <c r="E144" s="244"/>
      <c r="F144" s="244"/>
      <c r="G144" s="244"/>
      <c r="H144" s="244"/>
      <c r="I144" s="244"/>
      <c r="J144" s="244"/>
      <c r="K144" s="244"/>
      <c r="L144" s="244"/>
      <c r="M144" s="244"/>
      <c r="N144" s="244"/>
      <c r="O144" s="244"/>
      <c r="P144" s="244"/>
      <c r="Q144" s="244"/>
      <c r="R144" s="244"/>
      <c r="S144" s="244"/>
      <c r="T144" s="244"/>
      <c r="U144" s="244"/>
      <c r="V144" s="244"/>
      <c r="W144" s="244"/>
      <c r="X144" s="244"/>
      <c r="Y144" s="244"/>
      <c r="Z144" s="244"/>
      <c r="AA144" s="244"/>
      <c r="AB144" s="244"/>
      <c r="AC144" s="244"/>
      <c r="AD144" s="244"/>
      <c r="AE144" s="244"/>
      <c r="AF144" s="244"/>
      <c r="AG144" s="244"/>
      <c r="AH144" s="244"/>
      <c r="AI144" s="244"/>
      <c r="AJ144" s="244"/>
      <c r="AK144" s="244"/>
      <c r="AL144" s="244"/>
      <c r="AM144" s="244"/>
      <c r="AN144" s="244"/>
      <c r="AO144" s="244"/>
      <c r="AP144" s="244"/>
      <c r="AQ144" s="244"/>
      <c r="AR144" s="244"/>
      <c r="AS144" s="244"/>
      <c r="AT144" s="244"/>
      <c r="AU144" s="244"/>
      <c r="AV144" s="244"/>
      <c r="AW144" s="244"/>
      <c r="AX144" s="244"/>
      <c r="AY144" s="244"/>
      <c r="AZ144" s="244"/>
      <c r="BA144" s="244"/>
      <c r="BB144" s="244"/>
      <c r="BC144" s="244"/>
      <c r="BD144" s="244"/>
      <c r="BE144" s="244"/>
      <c r="BF144" s="244"/>
      <c r="BG144" s="244"/>
      <c r="BH144" s="244"/>
      <c r="BI144" s="244"/>
      <c r="BJ144" s="244"/>
      <c r="BK144" s="244"/>
      <c r="BL144" s="244"/>
      <c r="BM144" s="244"/>
      <c r="BN144" s="244"/>
      <c r="BO144" s="244"/>
      <c r="BP144" s="244"/>
      <c r="BQ144" s="244"/>
      <c r="BR144" s="244"/>
      <c r="BS144" s="244"/>
      <c r="BT144" s="244"/>
      <c r="BU144" s="244"/>
      <c r="BV144" s="244"/>
      <c r="BW144" s="244"/>
      <c r="BX144" s="244"/>
      <c r="BY144" s="244"/>
      <c r="BZ144" s="244"/>
      <c r="CA144" s="244"/>
      <c r="CB144" s="244"/>
      <c r="CC144" s="244"/>
      <c r="CD144" s="244"/>
      <c r="CE144" s="244"/>
      <c r="CF144" s="244"/>
    </row>
    <row r="145">
      <c r="A145" s="244"/>
      <c r="B145" s="246"/>
      <c r="C145" s="244"/>
      <c r="D145" s="244"/>
      <c r="E145" s="244"/>
      <c r="F145" s="244"/>
      <c r="G145" s="244"/>
      <c r="H145" s="244"/>
      <c r="I145" s="244"/>
      <c r="J145" s="244"/>
      <c r="K145" s="244"/>
      <c r="L145" s="244"/>
      <c r="M145" s="244"/>
      <c r="N145" s="244"/>
      <c r="O145" s="244"/>
      <c r="P145" s="244"/>
      <c r="Q145" s="244"/>
      <c r="R145" s="244"/>
      <c r="S145" s="244"/>
      <c r="T145" s="244"/>
      <c r="U145" s="244"/>
      <c r="V145" s="244"/>
      <c r="W145" s="244"/>
      <c r="X145" s="244"/>
      <c r="Y145" s="244"/>
      <c r="Z145" s="244"/>
      <c r="AA145" s="244"/>
      <c r="AB145" s="244"/>
      <c r="AC145" s="244"/>
      <c r="AD145" s="244"/>
      <c r="AE145" s="244"/>
      <c r="AF145" s="244"/>
      <c r="AG145" s="244"/>
      <c r="AH145" s="244"/>
      <c r="AI145" s="244"/>
      <c r="AJ145" s="244"/>
      <c r="AK145" s="244"/>
      <c r="AL145" s="244"/>
      <c r="AM145" s="244"/>
      <c r="AN145" s="244"/>
      <c r="AO145" s="244"/>
      <c r="AP145" s="244"/>
      <c r="AQ145" s="244"/>
      <c r="AR145" s="244"/>
      <c r="AS145" s="244"/>
      <c r="AT145" s="244"/>
      <c r="AU145" s="244"/>
      <c r="AV145" s="244"/>
      <c r="AW145" s="244"/>
      <c r="AX145" s="244"/>
      <c r="AY145" s="244"/>
      <c r="AZ145" s="244"/>
      <c r="BA145" s="244"/>
      <c r="BB145" s="244"/>
      <c r="BC145" s="244"/>
      <c r="BD145" s="244"/>
      <c r="BE145" s="244"/>
      <c r="BF145" s="244"/>
      <c r="BG145" s="244"/>
      <c r="BH145" s="244"/>
      <c r="BI145" s="244"/>
      <c r="BJ145" s="244"/>
      <c r="BK145" s="244"/>
      <c r="BL145" s="244"/>
      <c r="BM145" s="244"/>
      <c r="BN145" s="244"/>
      <c r="BO145" s="244"/>
      <c r="BP145" s="244"/>
      <c r="BQ145" s="244"/>
      <c r="BR145" s="244"/>
      <c r="BS145" s="244"/>
      <c r="BT145" s="244"/>
      <c r="BU145" s="244"/>
      <c r="BV145" s="244"/>
      <c r="BW145" s="244"/>
      <c r="BX145" s="244"/>
      <c r="BY145" s="244"/>
      <c r="BZ145" s="244"/>
      <c r="CA145" s="244"/>
      <c r="CB145" s="244"/>
      <c r="CC145" s="244"/>
      <c r="CD145" s="244"/>
      <c r="CE145" s="244"/>
      <c r="CF145" s="244"/>
    </row>
    <row r="146">
      <c r="A146" s="244"/>
      <c r="B146" s="246"/>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c r="AG146" s="244"/>
      <c r="AH146" s="244"/>
      <c r="AI146" s="244"/>
      <c r="AJ146" s="244"/>
      <c r="AK146" s="244"/>
      <c r="AL146" s="244"/>
      <c r="AM146" s="244"/>
      <c r="AN146" s="244"/>
      <c r="AO146" s="244"/>
      <c r="AP146" s="244"/>
      <c r="AQ146" s="244"/>
      <c r="AR146" s="244"/>
      <c r="AS146" s="244"/>
      <c r="AT146" s="244"/>
      <c r="AU146" s="244"/>
      <c r="AV146" s="244"/>
      <c r="AW146" s="244"/>
      <c r="AX146" s="244"/>
      <c r="AY146" s="244"/>
      <c r="AZ146" s="244"/>
      <c r="BA146" s="244"/>
      <c r="BB146" s="244"/>
      <c r="BC146" s="244"/>
      <c r="BD146" s="244"/>
      <c r="BE146" s="244"/>
      <c r="BF146" s="244"/>
      <c r="BG146" s="244"/>
      <c r="BH146" s="244"/>
      <c r="BI146" s="244"/>
      <c r="BJ146" s="244"/>
      <c r="BK146" s="244"/>
      <c r="BL146" s="244"/>
      <c r="BM146" s="244"/>
      <c r="BN146" s="244"/>
      <c r="BO146" s="244"/>
      <c r="BP146" s="244"/>
      <c r="BQ146" s="244"/>
      <c r="BR146" s="244"/>
      <c r="BS146" s="244"/>
      <c r="BT146" s="244"/>
      <c r="BU146" s="244"/>
      <c r="BV146" s="244"/>
      <c r="BW146" s="244"/>
      <c r="BX146" s="244"/>
      <c r="BY146" s="244"/>
      <c r="BZ146" s="244"/>
      <c r="CA146" s="244"/>
      <c r="CB146" s="244"/>
      <c r="CC146" s="244"/>
      <c r="CD146" s="244"/>
      <c r="CE146" s="244"/>
      <c r="CF146" s="244"/>
    </row>
    <row r="147">
      <c r="A147" s="244"/>
      <c r="B147" s="246"/>
      <c r="C147" s="244"/>
      <c r="D147" s="244"/>
      <c r="E147" s="244"/>
      <c r="F147" s="244"/>
      <c r="G147" s="244"/>
      <c r="H147" s="244"/>
      <c r="I147" s="244"/>
      <c r="J147" s="244"/>
      <c r="K147" s="244"/>
      <c r="L147" s="244"/>
      <c r="M147" s="244"/>
      <c r="N147" s="244"/>
      <c r="O147" s="244"/>
      <c r="P147" s="244"/>
      <c r="Q147" s="244"/>
      <c r="R147" s="244"/>
      <c r="S147" s="244"/>
      <c r="T147" s="244"/>
      <c r="U147" s="244"/>
      <c r="V147" s="244"/>
      <c r="W147" s="244"/>
      <c r="X147" s="244"/>
      <c r="Y147" s="244"/>
      <c r="Z147" s="244"/>
      <c r="AA147" s="244"/>
      <c r="AB147" s="244"/>
      <c r="AC147" s="244"/>
      <c r="AD147" s="244"/>
      <c r="AE147" s="244"/>
      <c r="AF147" s="244"/>
      <c r="AG147" s="244"/>
      <c r="AH147" s="244"/>
      <c r="AI147" s="244"/>
      <c r="AJ147" s="244"/>
      <c r="AK147" s="244"/>
      <c r="AL147" s="244"/>
      <c r="AM147" s="244"/>
      <c r="AN147" s="244"/>
      <c r="AO147" s="244"/>
      <c r="AP147" s="244"/>
      <c r="AQ147" s="244"/>
      <c r="AR147" s="244"/>
      <c r="AS147" s="244"/>
      <c r="AT147" s="244"/>
      <c r="AU147" s="244"/>
      <c r="AV147" s="244"/>
      <c r="AW147" s="244"/>
      <c r="AX147" s="244"/>
      <c r="AY147" s="244"/>
      <c r="AZ147" s="244"/>
      <c r="BA147" s="244"/>
      <c r="BB147" s="244"/>
      <c r="BC147" s="244"/>
      <c r="BD147" s="244"/>
      <c r="BE147" s="244"/>
      <c r="BF147" s="244"/>
      <c r="BG147" s="244"/>
      <c r="BH147" s="244"/>
      <c r="BI147" s="244"/>
      <c r="BJ147" s="244"/>
      <c r="BK147" s="244"/>
      <c r="BL147" s="244"/>
      <c r="BM147" s="244"/>
      <c r="BN147" s="244"/>
      <c r="BO147" s="244"/>
      <c r="BP147" s="244"/>
      <c r="BQ147" s="244"/>
      <c r="BR147" s="244"/>
      <c r="BS147" s="244"/>
      <c r="BT147" s="244"/>
      <c r="BU147" s="244"/>
      <c r="BV147" s="244"/>
      <c r="BW147" s="244"/>
      <c r="BX147" s="244"/>
      <c r="BY147" s="244"/>
      <c r="BZ147" s="244"/>
      <c r="CA147" s="244"/>
      <c r="CB147" s="244"/>
      <c r="CC147" s="244"/>
      <c r="CD147" s="244"/>
      <c r="CE147" s="244"/>
      <c r="CF147" s="244"/>
    </row>
    <row r="148">
      <c r="A148" s="244"/>
      <c r="B148" s="246"/>
      <c r="C148" s="244"/>
      <c r="D148" s="244"/>
      <c r="E148" s="244"/>
      <c r="F148" s="244"/>
      <c r="G148" s="244"/>
      <c r="H148" s="244"/>
      <c r="I148" s="244"/>
      <c r="J148" s="244"/>
      <c r="K148" s="244"/>
      <c r="L148" s="244"/>
      <c r="M148" s="244"/>
      <c r="N148" s="244"/>
      <c r="O148" s="244"/>
      <c r="P148" s="244"/>
      <c r="Q148" s="244"/>
      <c r="R148" s="244"/>
      <c r="S148" s="244"/>
      <c r="T148" s="244"/>
      <c r="U148" s="244"/>
      <c r="V148" s="244"/>
      <c r="W148" s="244"/>
      <c r="X148" s="244"/>
      <c r="Y148" s="244"/>
      <c r="Z148" s="244"/>
      <c r="AA148" s="244"/>
      <c r="AB148" s="244"/>
      <c r="AC148" s="244"/>
      <c r="AD148" s="244"/>
      <c r="AE148" s="244"/>
      <c r="AF148" s="244"/>
      <c r="AG148" s="244"/>
      <c r="AH148" s="244"/>
      <c r="AI148" s="244"/>
      <c r="AJ148" s="244"/>
      <c r="AK148" s="244"/>
      <c r="AL148" s="244"/>
      <c r="AM148" s="244"/>
      <c r="AN148" s="244"/>
      <c r="AO148" s="244"/>
      <c r="AP148" s="244"/>
      <c r="AQ148" s="244"/>
      <c r="AR148" s="244"/>
      <c r="AS148" s="244"/>
      <c r="AT148" s="244"/>
      <c r="AU148" s="244"/>
      <c r="AV148" s="244"/>
      <c r="AW148" s="244"/>
      <c r="AX148" s="244"/>
      <c r="AY148" s="244"/>
      <c r="AZ148" s="244"/>
      <c r="BA148" s="244"/>
      <c r="BB148" s="244"/>
      <c r="BC148" s="244"/>
      <c r="BD148" s="244"/>
      <c r="BE148" s="244"/>
      <c r="BF148" s="244"/>
      <c r="BG148" s="244"/>
      <c r="BH148" s="244"/>
      <c r="BI148" s="244"/>
      <c r="BJ148" s="244"/>
      <c r="BK148" s="244"/>
      <c r="BL148" s="244"/>
      <c r="BM148" s="244"/>
      <c r="BN148" s="244"/>
      <c r="BO148" s="244"/>
      <c r="BP148" s="244"/>
      <c r="BQ148" s="244"/>
      <c r="BR148" s="244"/>
      <c r="BS148" s="244"/>
      <c r="BT148" s="244"/>
      <c r="BU148" s="244"/>
      <c r="BV148" s="244"/>
      <c r="BW148" s="244"/>
      <c r="BX148" s="244"/>
      <c r="BY148" s="244"/>
      <c r="BZ148" s="244"/>
      <c r="CA148" s="244"/>
      <c r="CB148" s="244"/>
      <c r="CC148" s="244"/>
      <c r="CD148" s="244"/>
      <c r="CE148" s="244"/>
      <c r="CF148" s="244"/>
    </row>
  </sheetData>
  <mergeCells count="187">
    <mergeCell ref="I94:N94"/>
    <mergeCell ref="I95:N95"/>
    <mergeCell ref="I96:N96"/>
    <mergeCell ref="I97:N97"/>
    <mergeCell ref="C103:AO103"/>
    <mergeCell ref="I98:N98"/>
    <mergeCell ref="I99:N99"/>
    <mergeCell ref="I100:N100"/>
    <mergeCell ref="I88:N88"/>
    <mergeCell ref="I89:N89"/>
    <mergeCell ref="I90:N90"/>
    <mergeCell ref="I91:N91"/>
    <mergeCell ref="I92:N92"/>
    <mergeCell ref="I93:N93"/>
    <mergeCell ref="I82:N82"/>
    <mergeCell ref="I83:N83"/>
    <mergeCell ref="I84:N84"/>
    <mergeCell ref="I85:N85"/>
    <mergeCell ref="I86:N86"/>
    <mergeCell ref="I87:N87"/>
    <mergeCell ref="I76:N76"/>
    <mergeCell ref="I77:N77"/>
    <mergeCell ref="I78:N78"/>
    <mergeCell ref="I79:N79"/>
    <mergeCell ref="I80:N80"/>
    <mergeCell ref="I81:N81"/>
    <mergeCell ref="I70:N70"/>
    <mergeCell ref="I71:N71"/>
    <mergeCell ref="I72:N72"/>
    <mergeCell ref="I73:N73"/>
    <mergeCell ref="I74:N74"/>
    <mergeCell ref="I75:N75"/>
    <mergeCell ref="I64:N64"/>
    <mergeCell ref="I65:N65"/>
    <mergeCell ref="I66:N66"/>
    <mergeCell ref="I67:N67"/>
    <mergeCell ref="I68:N68"/>
    <mergeCell ref="I69:N69"/>
    <mergeCell ref="I58:N58"/>
    <mergeCell ref="I59:N59"/>
    <mergeCell ref="I60:N60"/>
    <mergeCell ref="I61:N61"/>
    <mergeCell ref="I62:N62"/>
    <mergeCell ref="I63:N63"/>
    <mergeCell ref="I52:N52"/>
    <mergeCell ref="I53:N53"/>
    <mergeCell ref="I54:N54"/>
    <mergeCell ref="I55:N55"/>
    <mergeCell ref="I56:N56"/>
    <mergeCell ref="I57:N57"/>
    <mergeCell ref="I46:N46"/>
    <mergeCell ref="I47:N47"/>
    <mergeCell ref="I48:N48"/>
    <mergeCell ref="I49:N49"/>
    <mergeCell ref="I50:N50"/>
    <mergeCell ref="I51:N51"/>
    <mergeCell ref="I40:N40"/>
    <mergeCell ref="I41:N41"/>
    <mergeCell ref="I42:N42"/>
    <mergeCell ref="I43:N43"/>
    <mergeCell ref="I44:N44"/>
    <mergeCell ref="I45:N45"/>
    <mergeCell ref="I34:N34"/>
    <mergeCell ref="I35:N35"/>
    <mergeCell ref="I36:N36"/>
    <mergeCell ref="I37:N37"/>
    <mergeCell ref="I38:N38"/>
    <mergeCell ref="I39:N39"/>
    <mergeCell ref="I28:N28"/>
    <mergeCell ref="I29:N29"/>
    <mergeCell ref="I30:N30"/>
    <mergeCell ref="I31:N31"/>
    <mergeCell ref="I32:N32"/>
    <mergeCell ref="I33:N33"/>
    <mergeCell ref="I24:N24"/>
    <mergeCell ref="I25:N25"/>
    <mergeCell ref="I22:N22"/>
    <mergeCell ref="I23:N23"/>
    <mergeCell ref="I26:N26"/>
    <mergeCell ref="I27:N27"/>
    <mergeCell ref="S6:T6"/>
    <mergeCell ref="U6:V6"/>
    <mergeCell ref="AV20:BB20"/>
    <mergeCell ref="Q19:W20"/>
    <mergeCell ref="Z19:AF20"/>
    <mergeCell ref="AI19:AO20"/>
    <mergeCell ref="AM7:AN7"/>
    <mergeCell ref="Q7:R7"/>
    <mergeCell ref="S7:T7"/>
    <mergeCell ref="U7:V7"/>
    <mergeCell ref="I7:J7"/>
    <mergeCell ref="K7:L7"/>
    <mergeCell ref="M7:N7"/>
    <mergeCell ref="O7:P7"/>
    <mergeCell ref="AI7:AJ7"/>
    <mergeCell ref="AK7:AL7"/>
    <mergeCell ref="AG9:AH9"/>
    <mergeCell ref="AI9:AJ9"/>
    <mergeCell ref="H5:V5"/>
    <mergeCell ref="I6:J6"/>
    <mergeCell ref="K6:L6"/>
    <mergeCell ref="M6:N6"/>
    <mergeCell ref="O6:P6"/>
    <mergeCell ref="Q6:R6"/>
    <mergeCell ref="AC7:AD7"/>
    <mergeCell ref="AE7:AF7"/>
    <mergeCell ref="AG7:AH7"/>
    <mergeCell ref="AB5:AP5"/>
    <mergeCell ref="AC6:AD6"/>
    <mergeCell ref="AE6:AF6"/>
    <mergeCell ref="AG6:AH6"/>
    <mergeCell ref="AI6:AJ6"/>
    <mergeCell ref="AK6:AL6"/>
    <mergeCell ref="AM6:AN6"/>
    <mergeCell ref="AO6:AP6"/>
    <mergeCell ref="AO7:AP7"/>
    <mergeCell ref="AE8:AF8"/>
    <mergeCell ref="AG11:AH11"/>
    <mergeCell ref="AI11:AJ11"/>
    <mergeCell ref="AG10:AH10"/>
    <mergeCell ref="AI10:AJ10"/>
    <mergeCell ref="AK10:AL10"/>
    <mergeCell ref="AM10:AN10"/>
    <mergeCell ref="AK12:AL12"/>
    <mergeCell ref="AM12:AN12"/>
    <mergeCell ref="AM9:AN9"/>
    <mergeCell ref="AI8:AJ8"/>
    <mergeCell ref="AK8:AL8"/>
    <mergeCell ref="AM8:AN8"/>
    <mergeCell ref="AC8:AD8"/>
    <mergeCell ref="AG8:AH8"/>
    <mergeCell ref="AM11:AN11"/>
    <mergeCell ref="AO11:AP11"/>
    <mergeCell ref="I12:J12"/>
    <mergeCell ref="AE11:AF11"/>
    <mergeCell ref="K12:L12"/>
    <mergeCell ref="M12:N12"/>
    <mergeCell ref="O12:P12"/>
    <mergeCell ref="U9:V9"/>
    <mergeCell ref="AC9:AD9"/>
    <mergeCell ref="AE9:AF9"/>
    <mergeCell ref="U11:V11"/>
    <mergeCell ref="AC11:AD11"/>
    <mergeCell ref="AK11:AL11"/>
    <mergeCell ref="I11:J11"/>
    <mergeCell ref="K11:L11"/>
    <mergeCell ref="M11:N11"/>
    <mergeCell ref="O11:P11"/>
    <mergeCell ref="Q11:R11"/>
    <mergeCell ref="S11:T11"/>
    <mergeCell ref="AO12:AP12"/>
    <mergeCell ref="AO10:AP10"/>
    <mergeCell ref="AK9:AL9"/>
    <mergeCell ref="AO8:AP8"/>
    <mergeCell ref="I9:J9"/>
    <mergeCell ref="K9:L9"/>
    <mergeCell ref="M9:N9"/>
    <mergeCell ref="O9:P9"/>
    <mergeCell ref="Q9:R9"/>
    <mergeCell ref="S9:T9"/>
    <mergeCell ref="AO9:AP9"/>
    <mergeCell ref="I10:J10"/>
    <mergeCell ref="K10:L10"/>
    <mergeCell ref="M10:N10"/>
    <mergeCell ref="O10:P10"/>
    <mergeCell ref="Q10:R10"/>
    <mergeCell ref="S10:T10"/>
    <mergeCell ref="I8:J8"/>
    <mergeCell ref="K8:L8"/>
    <mergeCell ref="M8:N8"/>
    <mergeCell ref="O8:P8"/>
    <mergeCell ref="Q8:R8"/>
    <mergeCell ref="S8:T8"/>
    <mergeCell ref="U10:V10"/>
    <mergeCell ref="AC10:AD10"/>
    <mergeCell ref="AE10:AF10"/>
    <mergeCell ref="U8:V8"/>
    <mergeCell ref="O14:U14"/>
    <mergeCell ref="W14:AC14"/>
    <mergeCell ref="AE14:AK14"/>
    <mergeCell ref="S12:T12"/>
    <mergeCell ref="U12:V12"/>
    <mergeCell ref="AC12:AD12"/>
    <mergeCell ref="AE12:AF12"/>
    <mergeCell ref="AG12:AH12"/>
    <mergeCell ref="AI12:AJ12"/>
    <mergeCell ref="Q12:R12"/>
  </mergeCells>
  <phoneticPr fontId="0" type="noConversion"/>
  <printOptions horizontalCentered="1" verticalCentered="1"/>
  <pageMargins left="0.25" right="0.25" top="0.25" bottom="0.25" header="0.17" footer="0.32"/>
  <pageSetup scale="56" orientation="landscape" r:id="rId1"/>
  <headerFooter alignWithMargins="0">
    <oddHeader/>
    <oddFooter/>
  </headerFooter>
  <drawing r:id="rId5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Manager>30446161</Manager>
  <Company>131</Company>
  <Pages>0</Pages>
  <Words>0</Words>
  <Characters>0</Characters>
  <Lines>0</Lines>
  <Paragraphs>0</Paragraphs>
  <Slides>0</Slides>
  <Notes>0</Notes>
  <TotalTime>0</TotalTime>
  <HiddenSlides>0</HiddenSlides>
  <MMClips>0</MMClips>
  <ScaleCrop>0</ScaleCrop>
  <HeadingPairs>
    <vt:vector baseType="variant" size="4">
      <vt:variant>
        <vt:lpstr>Worksheets</vt:lpstr>
      </vt:variant>
      <vt:variant>
        <vt:i4>16</vt:i4>
      </vt:variant>
      <vt:variant>
        <vt:lpstr>Named Ranges</vt:lpstr>
      </vt:variant>
      <vt:variant>
        <vt:i4>16</vt:i4>
      </vt:variant>
    </vt:vector>
  </HeadingPairs>
  <TitlesOfParts>
    <vt:vector baseType="lpstr" size="32">
      <vt:lpstr>Table of Contents</vt:lpstr>
      <vt:lpstr>Summary</vt:lpstr>
      <vt:lpstr>Plus Summary</vt:lpstr>
      <vt:lpstr>Combined</vt:lpstr>
      <vt:lpstr>MTD Classic</vt:lpstr>
      <vt:lpstr>Occ</vt:lpstr>
      <vt:lpstr>Occ Plus</vt:lpstr>
      <vt:lpstr>ADR</vt:lpstr>
      <vt:lpstr>ADR Plus</vt:lpstr>
      <vt:lpstr>RevPAR</vt:lpstr>
      <vt:lpstr>RevPAR Plus</vt:lpstr>
      <vt:lpstr>Other Revenue</vt:lpstr>
      <vt:lpstr>WeeklySTARsight</vt:lpstr>
      <vt:lpstr>Response</vt:lpstr>
      <vt:lpstr>Response Plus</vt:lpstr>
      <vt:lpstr>Help</vt:lpstr>
      <vt:lpstr>ADR!Print_Area</vt:lpstr>
      <vt:lpstr>'ADR Plus'!Print_Area</vt:lpstr>
      <vt:lpstr>Combined!Print_Area</vt:lpstr>
      <vt:lpstr>Help!Print_Area</vt:lpstr>
      <vt:lpstr>'MTD Classic'!Print_Area</vt:lpstr>
      <vt:lpstr>Occ!Print_Area</vt:lpstr>
      <vt:lpstr>'Occ Plus'!Print_Area</vt:lpstr>
      <vt:lpstr>'Other Revenue'!Print_Area</vt:lpstr>
      <vt:lpstr>'Plus Summary'!Print_Area</vt:lpstr>
      <vt:lpstr>Response!Print_Area</vt:lpstr>
      <vt:lpstr>'Response Plus'!Print_Area</vt:lpstr>
      <vt:lpstr>RevPAR!Print_Area</vt:lpstr>
      <vt:lpstr>'RevPAR Plus'!Print_Area</vt:lpstr>
      <vt:lpstr>Summary!Print_Area</vt:lpstr>
      <vt:lpstr>'Table of Contents'!Print_Area</vt:lpstr>
      <vt:lpstr>WeeklySTARsight!Print_Area</vt:lpstr>
    </vt:vector>
  </TitlesOfParts>
  <LinksUpToDate>0</LinksUpToDate>
  <CharactersWithSpaces>0</CharactersWithSpaces>
  <SharedDoc>0</SharedDoc>
  <HyperlinksChanged>0</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634</cp:category>
  <dcterms:created xsi:type="dcterms:W3CDTF">2003-06-11T18:24:11Z</dcterms:created>
  <dc:creator>STR, Inc.</dc:creator>
  <cp:keywords>60180</cp:keywords>
  <cp:lastModifiedBy>Jim Hawkins</cp:lastModifiedBy>
  <cp:lastPrinted>2016-02-16T16:32:42Z</cp:lastPrinted>
  <dcterms:modified xsi:type="dcterms:W3CDTF">2023-04-05T19:50:13Z</dcterms:modified>
  <dc:subject>60180</dc:subject>
  <dc:title>Weekly STAR</dc:title>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