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8.xml" ContentType="application/vnd.openxmlformats-officedocument.spreadsheetml.worksheet+xml"/>
  <Override PartName="/xl/printerSettings/printerSettings19.bin" ContentType="application/vnd.openxmlformats-officedocument.spreadsheetml.printerSettings"/>
  <Override PartName="/xl/drawings/drawing20.xml" ContentType="application/vnd.openxmlformats-officedocument.drawing+xml"/>
  <Override PartName="/xl/worksheets/sheet22.xml" ContentType="application/vnd.openxmlformats-officedocument.spreadsheetml.worksheet+xml"/>
  <Override PartName="/xl/printerSettings/printerSettings23.bin" ContentType="application/vnd.openxmlformats-officedocument.spreadsheetml.printerSettings"/>
  <Override PartName="/xl/drawings/drawing24.xml" ContentType="application/vnd.openxmlformats-officedocument.drawing+xml"/>
  <Override PartName="/xl/worksheets/sheet26.xml" ContentType="application/vnd.openxmlformats-officedocument.spreadsheetml.worksheet+xml"/>
  <Override PartName="/xl/printerSettings/printerSettings27.bin" ContentType="application/vnd.openxmlformats-officedocument.spreadsheetml.printerSettings"/>
  <Override PartName="/xl/drawings/drawing28.xml" ContentType="application/vnd.openxmlformats-officedocument.drawing+xml"/>
  <Override PartName="/xl/worksheets/sheet30.xml" ContentType="application/vnd.openxmlformats-officedocument.spreadsheetml.worksheet+xml"/>
  <Override PartName="/xl/printerSettings/printerSettings31.bin" ContentType="application/vnd.openxmlformats-officedocument.spreadsheetml.printerSettings"/>
  <Override PartName="/xl/drawings/drawing32.xml" ContentType="application/vnd.openxmlformats-officedocument.drawing+xml"/>
  <Override PartName="/xl/worksheets/sheet34.xml" ContentType="application/vnd.openxmlformats-officedocument.spreadsheetml.worksheet+xml"/>
  <Override PartName="/xl/printerSettings/printerSettings35.bin" ContentType="application/vnd.openxmlformats-officedocument.spreadsheetml.printerSettings"/>
  <Override PartName="/xl/drawings/drawing36.xml" ContentType="application/vnd.openxmlformats-officedocument.drawing+xml"/>
  <Override PartName="/xl/worksheets/sheet38.xml" ContentType="application/vnd.openxmlformats-officedocument.spreadsheetml.worksheet+xml"/>
  <Override PartName="/xl/printerSettings/printerSettings39.bin" ContentType="application/vnd.openxmlformats-officedocument.spreadsheetml.printerSettings"/>
  <Override PartName="/xl/drawings/drawing40.xml" ContentType="application/vnd.openxmlformats-officedocument.drawing+xml"/>
  <Override PartName="/xl/worksheets/sheet42.xml" ContentType="application/vnd.openxmlformats-officedocument.spreadsheetml.worksheet+xml"/>
  <Override PartName="/xl/printerSettings/printerSettings43.bin" ContentType="application/vnd.openxmlformats-officedocument.spreadsheetml.printerSettings"/>
  <Override PartName="/xl/drawings/drawing44.xml" ContentType="application/vnd.openxmlformats-officedocument.drawing+xml"/>
  <Override PartName="/xl/worksheets/sheet46.xml" ContentType="application/vnd.openxmlformats-officedocument.spreadsheetml.worksheet+xml"/>
  <Override PartName="/xl/printerSettings/printerSettings47.bin" ContentType="application/vnd.openxmlformats-officedocument.spreadsheetml.printerSettings"/>
  <Override PartName="/xl/drawings/drawing48.xml" ContentType="application/vnd.openxmlformats-officedocument.drawing+xml"/>
  <Override PartName="/xl/charts/chart49.xml" ContentType="application/vnd.openxmlformats-officedocument.drawingml.chart+xml"/>
  <Override PartName="/xl/drawings/drawing50.xml" ContentType="application/vnd.openxmlformats-officedocument.drawing+xml"/>
  <Override PartName="/xl/charts/chart51.xml" ContentType="application/vnd.openxmlformats-officedocument.drawingml.chart+xml"/>
  <Override PartName="/xl/drawings/drawing52.xml" ContentType="application/vnd.openxmlformats-officedocument.drawing+xml"/>
  <Override PartName="/xl/charts/chart53.xml" ContentType="application/vnd.openxmlformats-officedocument.drawingml.chart+xml"/>
  <Override PartName="/xl/drawings/drawing54.xml" ContentType="application/vnd.openxmlformats-officedocument.drawing+xml"/>
  <Override PartName="/xl/charts/chart55.xml" ContentType="application/vnd.openxmlformats-officedocument.drawingml.chart+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21"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6" rupBuild="26026"/>
  <workbookPr codeName="ThisWorkbook"/>
  <bookViews>
    <workbookView xWindow="4080" yWindow="1170" windowWidth="21420" windowHeight="11400" tabRatio="898"/>
  </bookViews>
  <sheets>
    <sheet name="Table of Contents" sheetId="1" r:id="rId9"/>
    <sheet name="Glance" sheetId="19" r:id="rId8"/>
    <sheet name="Segmentation Glance" sheetId="20" r:id="rId7"/>
    <sheet name="Daily by Month" sheetId="21" r:id="rId6"/>
    <sheet name="Occ" sheetId="4" r:id="rId10"/>
    <sheet name="Segmentation Occ" sheetId="22" r:id="rId5"/>
    <sheet name="ADR" sheetId="6" r:id="rId11"/>
    <sheet name="Segmentation ADR" sheetId="23" r:id="rId4"/>
    <sheet name="RevPAR" sheetId="8" r:id="rId12"/>
    <sheet name="Segmentation RevPAR" sheetId="24" r:id="rId3"/>
    <sheet name="Additional Revenue" sheetId="25" r:id="rId2"/>
    <sheet name="Response" sheetId="26" r:id="rId1"/>
    <sheet name="Help" sheetId="18" r:id="rId13"/>
  </sheets>
  <definedNames>
    <definedName name="_xlnm.Print_Area" localSheetId="6">ADR!$A$1:$AI$61</definedName>
    <definedName name="_xlnm.Print_Area" localSheetId="12">Help!$A$1:$J$16</definedName>
    <definedName name="_xlnm.Print_Area" localSheetId="4">Occ!$A$1:$AI$58</definedName>
    <definedName name="_xlnm.Print_Area" localSheetId="8">RevPAR!$A$1:$AI$61</definedName>
    <definedName name="_xlnm.Print_Area" localSheetId="0">'Table of Contents'!$A$1:$H$48</definedName>
    <definedName name="_xlnm.Print_Area" localSheetId="1">Glance!$A$1:$AC$42</definedName>
    <definedName name="_xlnm.Print_Area" localSheetId="2">'Segmentation Glance'!$A$1:$T$42</definedName>
    <definedName name="_xlnm.Print_Area" localSheetId="3">'Daily by Month'!$A$1:$AL$63</definedName>
    <definedName name="_xlnm.Print_Area" localSheetId="5">'Segmentation Occ'!$A$1:$AB$54</definedName>
    <definedName name="_xlnm.Print_Area" localSheetId="7">'Segmentation ADR'!$A$1:$AC$54</definedName>
    <definedName name="_xlnm.Print_Area" localSheetId="9">'Segmentation RevPAR'!$A$1:$AC$54</definedName>
    <definedName name="_xlnm.Print_Area" localSheetId="10">'Additional Revenue'!$A$1:$AC$54</definedName>
    <definedName name="_xlnm.Print_Area" localSheetId="11">Response!$A$1:$AR$104</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<sst xmlns="http://schemas.openxmlformats.org/spreadsheetml/2006/main" xmlns:r="http://schemas.openxmlformats.org/officeDocument/2006/relationships" xmlns:xdr="http://schemas.openxmlformats.org/drawingml/2006/spreadsheetDrawing" xmlns:s="http://schemas.openxmlformats.org/officeDocument/2006/sharedTypes" xmlns:vt="http://schemas.openxmlformats.org/officeDocument/2006/docPropsVTypes" xmlns:a="http://schemas.openxmlformats.org/drawingml/2006/main" xmlns:cdr="http://schemas.openxmlformats.org/drawingml/2006/chartDrawing" count="969" uniqueCount="114">
  <si>
    <t>Sun</t>
  </si>
  <si>
    <t>Mon</t>
  </si>
  <si>
    <t>Tue</t>
  </si>
  <si>
    <t>Wed</t>
  </si>
  <si>
    <t>Thu</t>
  </si>
  <si>
    <t>Fri</t>
  </si>
  <si>
    <t>Sat</t>
  </si>
  <si>
    <t>This Year</t>
  </si>
  <si>
    <t>Last Year</t>
  </si>
  <si>
    <t>Last Week</t>
  </si>
  <si>
    <t>ADR ($)</t>
  </si>
  <si>
    <t>RevPAR ($)</t>
  </si>
  <si>
    <t>ADR</t>
  </si>
  <si>
    <t>RevPAR</t>
  </si>
  <si>
    <t>Last 4 Sundays</t>
  </si>
  <si>
    <t>Last 4 Mondays</t>
  </si>
  <si>
    <t>Last 4 Tuesdays</t>
  </si>
  <si>
    <t>Last 4 Wednesdays</t>
  </si>
  <si>
    <t>Last 4 Thursdays</t>
  </si>
  <si>
    <t>Last 4 Fridays</t>
  </si>
  <si>
    <t>Last 4 Saturdays</t>
  </si>
  <si>
    <t>Transient</t>
  </si>
  <si>
    <t>Index</t>
  </si>
  <si>
    <t>Total</t>
  </si>
  <si>
    <t>Group</t>
  </si>
  <si>
    <t>Contract</t>
  </si>
  <si>
    <t>Comp Set</t>
  </si>
  <si>
    <t>Comp set</t>
  </si>
  <si>
    <t>Occupancy</t>
  </si>
  <si>
    <t>Other</t>
  </si>
  <si>
    <t>F&amp;B</t>
  </si>
  <si>
    <t>MTD</t>
  </si>
  <si>
    <t>My Property</t>
  </si>
  <si>
    <t>Room</t>
  </si>
  <si>
    <t>STR ID</t>
  </si>
  <si>
    <t>Name</t>
  </si>
  <si>
    <t>City, State</t>
  </si>
  <si>
    <t>PLUS Default</t>
  </si>
  <si>
    <t>Plus Default</t>
  </si>
  <si>
    <t>Monday</t>
  </si>
  <si>
    <t>Sunday</t>
  </si>
  <si>
    <t>Tuesday</t>
  </si>
  <si>
    <t>Wednesday</t>
  </si>
  <si>
    <t>Thursday</t>
  </si>
  <si>
    <t>Friday</t>
  </si>
  <si>
    <t>Saturday</t>
  </si>
  <si>
    <t xml:space="preserve"> </t>
  </si>
  <si>
    <t>Mo</t>
  </si>
  <si>
    <t>Tu</t>
  </si>
  <si>
    <t>Su</t>
  </si>
  <si>
    <t>We</t>
  </si>
  <si>
    <t>Th</t>
  </si>
  <si>
    <t>Fr</t>
  </si>
  <si>
    <t>Sa</t>
  </si>
  <si>
    <t>Occupancy (%)</t>
  </si>
  <si>
    <t>Rank</t>
  </si>
  <si>
    <t>Your rank</t>
  </si>
  <si>
    <t>% Chg</t>
  </si>
  <si>
    <t>Current</t>
  </si>
  <si>
    <t>Run</t>
  </si>
  <si>
    <t>Week</t>
  </si>
  <si>
    <t>Running 28 Days</t>
  </si>
  <si>
    <t>% of Total Revenue</t>
  </si>
  <si>
    <t>My Prop</t>
  </si>
  <si>
    <t>This Week</t>
  </si>
  <si>
    <t>TY</t>
  </si>
  <si>
    <t>LY</t>
  </si>
  <si>
    <t>Property</t>
  </si>
  <si>
    <t>Compset</t>
  </si>
  <si>
    <t>Running 28 Days (by Day of Week)</t>
  </si>
  <si>
    <t>Rooms</t>
  </si>
  <si>
    <t>Open Date</t>
  </si>
  <si>
    <t>Current Week</t>
  </si>
  <si>
    <t>Phone</t>
  </si>
  <si>
    <t>Zip</t>
  </si>
  <si>
    <t>Occ (%)</t>
  </si>
  <si>
    <t>Occ % Chg</t>
  </si>
  <si>
    <t>Index % Chg</t>
  </si>
  <si>
    <t>ADR % Chg</t>
  </si>
  <si>
    <t>RevPAR % Chg</t>
  </si>
  <si>
    <t>Start Date - EndDate</t>
  </si>
  <si>
    <t>Combined Summary - My Hotel vs. Comp Set 2</t>
  </si>
  <si>
    <t>Exchange Rate*</t>
  </si>
  <si>
    <t>Revenue Per Room Sold</t>
  </si>
  <si>
    <t xml:space="preserve">Segmentation </t>
  </si>
  <si>
    <t>Additional Revenue</t>
  </si>
  <si>
    <t>Percent Change (%)</t>
  </si>
  <si>
    <t xml:space="preserve">     % Chg</t>
  </si>
  <si>
    <t>WD</t>
  </si>
  <si>
    <t>WE</t>
  </si>
  <si>
    <t>Weekly STAR</t>
  </si>
  <si>
    <t>Index (MPI)</t>
  </si>
  <si>
    <t>Index (ARI)</t>
  </si>
  <si>
    <t>Index (RGI)</t>
  </si>
  <si>
    <t>Total (TrevPOR**)</t>
  </si>
  <si>
    <t xml:space="preserve">** TrevPOR = Total revenue per occupied room (sum of Room, F&amp;B, and Other revenue divided by total occupied rooms).  </t>
  </si>
  <si>
    <t>Job #</t>
  </si>
  <si>
    <t>Title</t>
  </si>
  <si>
    <t>Options</t>
  </si>
  <si>
    <t>Table Of Contents</t>
  </si>
  <si>
    <t>support@str.com     www.str.com</t>
  </si>
  <si>
    <t>Period</t>
  </si>
  <si>
    <t>Glossary:</t>
  </si>
  <si>
    <t>Frequently Asked Questions (FAQ):</t>
  </si>
  <si>
    <r>
      <t xml:space="preserve">For the latest in industry news, visit </t>
    </r>
    <r>
      <rPr>
        <u/>
        <sz val="11"/>
        <rFont val="Arial"/>
        <family val="2"/>
      </rPr>
      <t xml:space="preserve">HotelNewsNow.com</t>
    </r>
    <r>
      <rPr>
        <sz val="11"/>
        <rFont val="Arial"/>
        <family val="2"/>
      </rPr>
      <t xml:space="preserve">.</t>
    </r>
  </si>
  <si>
    <r>
      <t xml:space="preserve">To learn more about the Hotel Data Conference, visit </t>
    </r>
    <r>
      <rPr>
        <u/>
        <sz val="11"/>
        <rFont val="Arial"/>
        <family val="2"/>
      </rPr>
      <t xml:space="preserve">HotelDataConference.com</t>
    </r>
    <r>
      <rPr>
        <sz val="11"/>
        <rFont val="Arial"/>
        <family val="2"/>
      </rPr>
      <t xml:space="preserve">.</t>
    </r>
  </si>
  <si>
    <t>Corporate North American Headquarters</t>
  </si>
  <si>
    <t>International Headquarters</t>
  </si>
  <si>
    <t>T: +44 (0) 207 922 1930</t>
  </si>
  <si>
    <r>
      <t xml:space="preserve">For all STR definitions, please click here or visit </t>
    </r>
    <r>
      <rPr>
        <u/>
        <sz val="11"/>
        <rFont val="Arial"/>
        <family val="2"/>
      </rPr>
      <t xml:space="preserve">www.str.com/data-insights/resources/glossary</t>
    </r>
  </si>
  <si>
    <r>
      <t xml:space="preserve">For all STR FAQs, please click here or visit </t>
    </r>
    <r>
      <rPr>
        <u/>
        <sz val="11"/>
        <rFont val="Arial"/>
        <family val="2"/>
      </rPr>
      <t xml:space="preserve">www.str.com/data-insights/resources/FAQ</t>
    </r>
  </si>
  <si>
    <r>
      <t xml:space="preserve">For additional support, please </t>
    </r>
    <r>
      <rPr>
        <u/>
        <sz val="11"/>
        <rFont val="Arial"/>
        <family val="2"/>
      </rPr>
      <t xml:space="preserve">contact</t>
    </r>
    <r>
      <rPr>
        <sz val="11"/>
        <rFont val="Arial"/>
        <family val="2"/>
      </rPr>
      <t xml:space="preserve"> your regional office.</t>
    </r>
  </si>
  <si>
    <t>T: +1 (615) 824 8664</t>
  </si>
  <si>
    <t>hotelinfo@str.com     www.str.com</t>
  </si>
  <si>
    <t>2025 © CoStar Group. This STR Report is a publication of STR, LLC and STR Global, Ltd., CoStar Group companies, and is intended solely for use by paid subscribers. The information in the STR Report is provided on an “as is” and “as available” basis and should not be construed as investment, tax, accounting or legal advice. Reproduction or distribution of this STR Report, in whole or part, without written permission is prohibited and subject to legal action. If you have received this report and are NOT a subscriber to this STR Report, please contact us immediately. Source: 2025 STR, LLC / STR Global, Ltd. trading as “STR”.</t>
  </si>
  <si>
    <t>Tab 2 - Weekly Performance at a Glance - My Property vs. Competitive Set</t>
  </si>
  <si>
    <t>Weekly Performance at a Glance</t>
  </si>
  <si>
    <t>Tab 3 - Segmentation at a Glance - My Property vs. Competitive Set</t>
  </si>
  <si>
    <t>Segmentation at a Glance</t>
  </si>
  <si>
    <t>Tab 4 - Daily Data for the Month</t>
  </si>
  <si>
    <t>Daily Data for the Month</t>
  </si>
  <si>
    <t>Tab 5 - Occupancy Perspectives</t>
  </si>
  <si>
    <t>Occupancy Perspectives</t>
  </si>
  <si>
    <t>Tab 6 - Segmentation Occupancy Analysis</t>
  </si>
  <si>
    <t>Segmentation Occupancy Analysis</t>
  </si>
  <si>
    <t>Tab 7 - ADR Perspectives</t>
  </si>
  <si>
    <t>ADR Perspectives</t>
  </si>
  <si>
    <t>Tab 8 - Segmentation ADR Analysis</t>
  </si>
  <si>
    <t>Segmentation ADR Analysis</t>
  </si>
  <si>
    <t>Tab 9 - RevPAR Perspectives</t>
  </si>
  <si>
    <t>RevPAR Perspectives</t>
  </si>
  <si>
    <t>Tab 10 - Segmentation RevPAR Analysis</t>
  </si>
  <si>
    <t>Segmentation RevPAR Analysis</t>
  </si>
  <si>
    <t>Tab 11 - Additional Revenue</t>
  </si>
  <si>
    <t>Tab 12 - Response Report</t>
  </si>
  <si>
    <t>Response Report</t>
  </si>
  <si>
    <t>Help</t>
  </si>
  <si>
    <t>Weekly STAR Report : Hilton Garden Inn Jackson Downtown</t>
  </si>
  <si>
    <t>STR # 60180 / Created September 09, 2025</t>
  </si>
  <si>
    <t>For the Week of: August 31, 2025 - September 06, 2025</t>
  </si>
  <si>
    <t>Currency: US Dollar  /  Competitive Set Data Excludes Subject Property</t>
  </si>
  <si>
    <t>Hilton Garden Inn Jackson Downtown        235 W Capitol St        Jackson, MS 39201        Phone: (601) 353-5464</t>
  </si>
  <si>
    <t>STR # 60180        Chain ID: 000043085        Mgt Co: Dellisart Hospitality        Owner: Desai Hotel Group</t>
  </si>
  <si>
    <t>For the Week of: August 31, 2025 - September 06, 2025        Date Created: September 09, 2025        Competitive Set Data Excludes Subject Property</t>
  </si>
  <si>
    <t>August 31, 2025 - September 06, 2025</t>
  </si>
  <si>
    <t>Aug</t>
  </si>
  <si>
    <t>Market Scale: Jackson, MS Upscale Chains</t>
  </si>
  <si>
    <t>Market Scale</t>
  </si>
  <si>
    <t>Sep</t>
  </si>
  <si>
    <t>6 of 6</t>
  </si>
  <si>
    <t>5 of 6</t>
  </si>
  <si>
    <t>4 of 6</t>
  </si>
  <si>
    <t>3 of 6</t>
  </si>
  <si>
    <t>5 of 5</t>
  </si>
  <si>
    <t>2 of 6</t>
  </si>
  <si>
    <t>1 of 6</t>
  </si>
  <si>
    <t>Market Scale*: Jackson, MS Upscale Chains</t>
  </si>
  <si>
    <t>For the Week of: August 31, 2025 - September 06, 2025        Date Created: September 09, 2025</t>
  </si>
  <si>
    <t>Hilton Garden Inn Jackson Downtown</t>
  </si>
  <si>
    <t>Jackson, MS</t>
  </si>
  <si>
    <t>39201</t>
  </si>
  <si>
    <t>(601) 353-5464</t>
  </si>
  <si>
    <t>192312</t>
  </si>
  <si>
    <t>X</t>
  </si>
  <si>
    <t/>
  </si>
  <si>
    <t>Holiday Inn Express &amp; Suites Jackson Downtown Coliseum</t>
  </si>
  <si>
    <t>39202</t>
  </si>
  <si>
    <t>(601) 948-4466</t>
  </si>
  <si>
    <t>198905</t>
  </si>
  <si>
    <t>Courtyard Jackson Ridgeland</t>
  </si>
  <si>
    <t>39211</t>
  </si>
  <si>
    <t>(601) 956-9991</t>
  </si>
  <si>
    <t>199505</t>
  </si>
  <si>
    <t>Hampton Inn &amp; Suites Jackson Downtown-Coliseum</t>
  </si>
  <si>
    <t>(601) 352-1700</t>
  </si>
  <si>
    <t>199611</t>
  </si>
  <si>
    <t>Country Inn &amp; Suites by Radisson, Jackson-Airport, MS</t>
  </si>
  <si>
    <t>Pearl, MS</t>
  </si>
  <si>
    <t>39208</t>
  </si>
  <si>
    <t>(601) 420-2244</t>
  </si>
  <si>
    <t>200108</t>
  </si>
  <si>
    <t>Hyatt Place Jackson/Ridgeland</t>
  </si>
  <si>
    <t>Ridgeland, MS</t>
  </si>
  <si>
    <t>39157-8719</t>
  </si>
  <si>
    <t>(601) 898-8815</t>
  </si>
  <si>
    <t>200810</t>
  </si>
  <si>
    <t>L</t>
  </si>
  <si>
    <t>Data received: X = Both years, T = This year only, L = Last year only, blank = No data</t>
  </si>
  <si>
    <t>2025 (This Year)</t>
  </si>
  <si>
    <t>Jul/Aug</t>
  </si>
  <si>
    <t>Aug/Sep</t>
  </si>
  <si>
    <t>2024 (Last Year)</t>
  </si>
  <si>
    <t>Sep 1st</t>
  </si>
  <si>
    <t>- Labor Day</t>
  </si>
  <si>
    <t>Sep 2nd</t>
  </si>
  <si>
    <t>Oct 3rd</t>
  </si>
  <si>
    <t>- Rosh Hashanah</t>
  </si>
  <si>
    <t>Oct 12th</t>
  </si>
  <si>
    <t>- Yom Kippur</t>
  </si>
  <si>
    <t>Oct 14th</t>
  </si>
  <si>
    <t>- Columbus Day</t>
  </si>
  <si>
    <t>Oct 31st</t>
  </si>
  <si>
    <t>- Halloween</t>
  </si>
  <si>
    <t>Nov 11th</t>
  </si>
  <si>
    <t>- Veterans Day</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</si>
</sst>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quot;$&quot;#,##0.00"/>
    <numFmt numFmtId="168" formatCode="#,##0.0_);\(#,##0.0\);_(* &quot;&quot;??_);"/>
    <numFmt numFmtId="169" formatCode="mmm\ dd"/>
    <numFmt numFmtId="170" formatCode="[$-409]d\-mmm;@"/>
  </numFmts>
  <fonts count="84">
    <font>
      <sz val="10"/>
      <name val="Arial"/>
    </font>
    <font>
      <sz val="10"/>
      <name val="Arial"/>
    </font>
    <font>
      <u/>
      <sz val="10"/>
      <color indexed="36"/>
      <name val="Arial"/>
      <family val="2"/>
    </font>
    <font>
      <b/>
      <sz val="11"/>
      <color indexed="9"/>
      <name val="Arial"/>
      <family val="2"/>
    </font>
    <font>
      <sz val="10"/>
      <name val="Arial"/>
      <family val="2"/>
    </font>
    <font>
      <sz val="11"/>
      <name val="Arial"/>
      <family val="2"/>
    </font>
    <font>
      <b/>
      <sz val="12"/>
      <name val="Arial"/>
      <family val="2"/>
    </font>
    <font>
      <sz val="16"/>
      <name val="Arial"/>
      <family val="2"/>
    </font>
    <font>
      <sz val="14"/>
      <name val="Arial"/>
      <family val="2"/>
    </font>
    <font>
      <sz val="9"/>
      <name val="Arial"/>
      <family val="2"/>
    </font>
    <font>
      <b/>
      <sz val="9"/>
      <name val="Arial"/>
      <family val="2"/>
    </font>
    <font>
      <b/>
      <sz val="10"/>
      <name val="Arial"/>
      <family val="2"/>
    </font>
    <font>
      <sz val="8"/>
      <name val="Arial"/>
      <family val="2"/>
    </font>
    <font>
      <sz val="18"/>
      <name val="Arial"/>
      <family val="2"/>
    </font>
    <font>
      <sz val="12"/>
      <name val="Arial"/>
      <family val="2"/>
    </font>
    <font>
      <sz val="25"/>
      <name val="Arial"/>
      <family val="2"/>
    </font>
    <font>
      <b/>
      <sz val="13"/>
      <name val="Arial"/>
      <family val="2"/>
    </font>
    <font>
      <sz val="7.5"/>
      <name val="Arial"/>
      <family val="2"/>
    </font>
    <font>
      <sz val="10"/>
      <color indexed="8"/>
      <name val="Arial"/>
      <family val="2"/>
    </font>
    <font>
      <b/>
      <sz val="12"/>
      <color indexed="9"/>
      <name val="Arial"/>
      <family val="2"/>
    </font>
    <font>
      <b/>
      <sz val="14"/>
      <name val="Arial"/>
      <family val="2"/>
    </font>
    <font>
      <b/>
      <sz val="12"/>
      <color indexed="8"/>
      <name val="Arial"/>
      <family val="2"/>
    </font>
    <font>
      <b/>
      <i/>
      <sz val="14"/>
      <color indexed="10"/>
      <name val="Arial"/>
      <family val="2"/>
    </font>
    <font>
      <b/>
      <sz val="14"/>
      <color indexed="8"/>
      <name val="Arial"/>
      <family val="2"/>
    </font>
    <font>
      <b/>
      <sz val="9"/>
      <color indexed="8"/>
      <name val="Arial"/>
      <family val="2"/>
    </font>
    <font>
      <sz val="13"/>
      <name val="Arial"/>
      <family val="2"/>
    </font>
    <font>
      <sz val="8"/>
      <name val="Wingdings"/>
      <charset val="2"/>
    </font>
    <font>
      <b/>
      <sz val="18"/>
      <name val="Arial"/>
      <family val="2"/>
    </font>
    <font>
      <b/>
      <sz val="14"/>
      <color indexed="9"/>
      <name val="Arial"/>
      <family val="2"/>
    </font>
    <font>
      <sz val="10"/>
      <color indexed="9"/>
      <name val="Arial"/>
      <family val="2"/>
    </font>
    <font>
      <sz val="10"/>
      <color indexed="55"/>
      <name val="Arial"/>
      <family val="2"/>
    </font>
    <font>
      <b/>
      <sz val="8"/>
      <name val="Arial"/>
      <family val="2"/>
    </font>
    <font>
      <sz val="14"/>
      <name val="Arial"/>
      <family val="2"/>
    </font>
    <font>
      <b/>
      <sz val="9"/>
      <name val="Arial"/>
      <family val="2"/>
    </font>
    <font>
      <sz val="9"/>
      <name val="Arial"/>
      <family val="2"/>
    </font>
    <font>
      <sz val="18"/>
      <name val="Arial"/>
      <family val="2"/>
    </font>
    <font>
      <b/>
      <sz val="10"/>
      <name val="Arial"/>
      <family val="2"/>
    </font>
    <font>
      <sz val="12"/>
      <name val="Arial"/>
      <family val="2"/>
    </font>
    <font>
      <sz val="7"/>
      <name val="Webdings"/>
      <family val="1"/>
      <charset val="2"/>
    </font>
    <font>
      <sz val="8"/>
      <name val="Arial"/>
      <family val="2"/>
    </font>
    <font>
      <b/>
      <sz val="12"/>
      <name val="Arial"/>
      <family val="2"/>
    </font>
    <font>
      <sz val="10"/>
      <name val="Webdings"/>
      <family val="1"/>
      <charset val="2"/>
    </font>
    <font>
      <sz val="11"/>
      <name val="Arial"/>
      <family val="2"/>
    </font>
    <font>
      <b/>
      <sz val="11"/>
      <name val="Arial"/>
      <family val="2"/>
    </font>
    <font>
      <b/>
      <sz val="11"/>
      <name val="Arial"/>
      <family val="2"/>
    </font>
    <font>
      <sz val="13"/>
      <name val="Arial"/>
      <family val="2"/>
    </font>
    <font>
      <b/>
      <sz val="13"/>
      <name val="Arial"/>
      <family val="2"/>
    </font>
    <font>
      <sz val="10"/>
      <name val="Webdings"/>
      <family val="1"/>
      <charset val="2"/>
    </font>
    <font>
      <u/>
      <sz val="10"/>
      <color indexed="39"/>
      <name val="Arial"/>
      <family val="2"/>
    </font>
    <font>
      <sz val="24"/>
      <color indexed="9"/>
      <name val="Arial"/>
      <family val="2"/>
    </font>
    <font>
      <b/>
      <sz val="14"/>
      <name val="Arial"/>
      <family val="2"/>
    </font>
    <font>
      <b/>
      <sz val="14"/>
      <color indexed="8"/>
      <name val="Arial"/>
      <family val="2"/>
    </font>
    <font>
      <sz val="10"/>
      <color indexed="8"/>
      <name val="Arial"/>
      <family val="2"/>
    </font>
    <font>
      <b/>
      <sz val="9"/>
      <color indexed="8"/>
      <name val="Arial"/>
      <family val="2"/>
    </font>
    <font>
      <sz val="10"/>
      <color indexed="9"/>
      <name val="Arial"/>
      <family val="2"/>
    </font>
    <font>
      <b/>
      <sz val="14"/>
      <color indexed="9"/>
      <name val="Arial"/>
      <family val="2"/>
    </font>
    <font>
      <b/>
      <sz val="13"/>
      <color indexed="9"/>
      <name val="Arial"/>
      <family val="2"/>
    </font>
    <font>
      <b/>
      <sz val="16"/>
      <color indexed="9"/>
      <name val="Arial"/>
      <family val="2"/>
    </font>
    <font>
      <sz val="11"/>
      <color indexed="55"/>
      <name val="Arial"/>
      <family val="2"/>
    </font>
    <font>
      <sz val="10"/>
      <name val="Arial"/>
      <family val="2"/>
    </font>
    <font>
      <b/>
      <sz val="16"/>
      <name val="Arial"/>
      <family val="2"/>
    </font>
    <font>
      <sz val="13"/>
      <color indexed="9"/>
      <name val="Arial"/>
      <family val="2"/>
    </font>
    <font>
      <b/>
      <sz val="12"/>
      <color indexed="38"/>
      <name val="Arial"/>
      <family val="2"/>
    </font>
    <font>
      <sz val="9"/>
      <color indexed="9"/>
      <name val="Arial"/>
      <family val="2"/>
    </font>
    <font>
      <sz val="12"/>
      <color indexed="38"/>
      <name val="Arial"/>
      <family val="2"/>
    </font>
    <font>
      <sz val="24"/>
      <color indexed="9"/>
      <name val="Arial"/>
      <family val="2"/>
    </font>
    <font>
      <b/>
      <sz val="10"/>
      <color indexed="9"/>
      <name val="Arial"/>
      <family val="2"/>
    </font>
    <font>
      <sz val="8"/>
      <color indexed="9"/>
      <name val="Arial"/>
      <family val="2"/>
    </font>
    <font>
      <sz val="19"/>
      <color indexed="9"/>
      <name val="Arial"/>
      <family val="2"/>
    </font>
    <font>
      <sz val="10"/>
      <name val="Arial"/>
      <family val="2"/>
    </font>
    <font>
      <u/>
      <sz val="11"/>
      <name val="Arial"/>
      <family val="2"/>
    </font>
    <font>
      <b/>
      <i/>
      <sz val="10"/>
      <color indexed="10"/>
      <name val="Arial"/>
      <family val="2"/>
    </font>
    <font>
      <b/>
      <i/>
      <sz val="9"/>
      <color indexed="10"/>
      <name val="Arial"/>
      <family val="2"/>
    </font>
    <font>
      <sz val="11"/>
      <color theme="1"/>
      <name val="Calibri"/>
      <family val="2"/>
      <scheme val="minor"/>
    </font>
    <font>
      <u/>
      <sz val="11"/>
      <color theme="10"/>
      <name val="Calibri"/>
      <family val="2"/>
      <scheme val="minor"/>
    </font>
    <font>
      <sz val="11"/>
      <color rgb="FFFF0000"/>
      <name val="Calibri"/>
      <family val="2"/>
      <scheme val="minor"/>
    </font>
    <font>
      <b/>
      <sz val="18"/>
      <color theme="1"/>
      <name val="Arial"/>
      <family val="2"/>
    </font>
    <font>
      <sz val="18"/>
      <color theme="1"/>
      <name val="Arial"/>
      <family val="2"/>
    </font>
    <font>
      <b/>
      <sz val="11"/>
      <color theme="1"/>
      <name val="Arial"/>
      <family val="2"/>
    </font>
    <font>
      <sz val="11"/>
      <color theme="1"/>
      <name val="Arial"/>
      <family val="2"/>
    </font>
    <font>
      <u/>
      <color rgb="FF0000FF"/>
    </font>
    <font>
      <color rgb="FFFFFFFF"/>
    </font>
    <font>
      <color rgb="FFA0A0A0"/>
    </font>
    <font/>
  </fonts>
  <fills count="18">
    <fill>
      <patternFill patternType="none"/>
    </fill>
    <fill>
      <patternFill patternType="gray125"/>
    </fill>
    <fill>
      <patternFill patternType="solid">
        <fgColor indexed="59"/>
      </patternFill>
    </fill>
    <fill>
      <patternFill patternType="solid">
        <fgColor indexed="9"/>
      </patternFill>
    </fill>
    <fill>
      <patternFill patternType="solid">
        <fgColor indexed="63"/>
      </patternFill>
    </fill>
    <fill>
      <patternFill patternType="solid">
        <fgColor indexed="55"/>
      </patternFill>
    </fill>
    <fill>
      <patternFill patternType="solid">
        <fgColor indexed="22"/>
      </patternFill>
    </fill>
    <fill>
      <patternFill patternType="solid">
        <fgColor indexed="61"/>
      </patternFill>
    </fill>
    <fill>
      <patternFill patternType="solid">
        <fgColor indexed="60"/>
      </patternFill>
    </fill>
    <fill>
      <patternFill patternType="solid">
        <fgColor indexed="57"/>
      </patternFill>
    </fill>
    <fill>
      <patternFill patternType="solid">
        <fgColor indexed="31"/>
      </patternFill>
    </fill>
    <fill>
      <patternFill patternType="solid">
        <fgColor indexed="39"/>
      </patternFill>
    </fill>
    <fill>
      <patternFill patternType="solid">
        <fgColor indexed="45"/>
      </patternFill>
    </fill>
    <fill>
      <patternFill patternType="solid">
        <fgColor theme="0"/>
      </patternFill>
    </fill>
    <fill>
      <patternFill patternType="solid">
        <fgColor rgb="FFFFFFFF"/>
      </patternFill>
    </fill>
    <fill>
      <patternFill patternType="solid">
        <fgColor rgb="FFFFFFFF"/>
      </patternFill>
    </fill>
    <fill>
      <patternFill patternType="solid">
        <fgColor rgb="FFA0A0A0"/>
      </patternFill>
    </fill>
    <fill>
      <patternFill patternType="solid">
        <fgColor rgb="FFEAEAEA"/>
      </patternFill>
    </fill>
  </fills>
  <borders count="72">
    <border>
      <left>
        <color/>
      </left>
      <right>
        <color/>
      </right>
      <top>
        <color/>
      </top>
      <bottom>
        <color/>
      </bottom>
      <diagonal>
        <color/>
      </diagonal>
    </border>
    <border>
      <left style="thin">
        <color indexed="39"/>
      </left>
      <right style="thin">
        <color indexed="39"/>
      </right>
      <top style="thin">
        <color indexed="39"/>
      </top>
      <bottom style="thin">
        <color indexed="39"/>
      </bottom>
      <diagonal>
        <color/>
      </diagonal>
    </border>
    <border>
      <left style="thin">
        <color indexed="55"/>
      </left>
      <right style="thin">
        <color indexed="55"/>
      </right>
      <top style="thin">
        <color indexed="55"/>
      </top>
      <bottom style="thin">
        <color indexed="55"/>
      </bottom>
      <diagonal>
        <color/>
      </diagonal>
    </border>
    <border>
      <left>
        <color/>
      </left>
      <right>
        <color/>
      </right>
      <top style="thin">
        <color indexed="55"/>
      </top>
      <bottom style="thin">
        <color indexed="55"/>
      </bottom>
      <diagonal>
        <color/>
      </diagonal>
    </border>
    <border>
      <left style="thin">
        <color indexed="55"/>
      </left>
      <right>
        <color/>
      </right>
      <top style="thin">
        <color indexed="55"/>
      </top>
      <bottom style="thin">
        <color indexed="55"/>
      </bottom>
      <diagonal>
        <color/>
      </diagonal>
    </border>
    <border>
      <left>
        <color/>
      </left>
      <right style="thin">
        <color indexed="55"/>
      </right>
      <top style="thin">
        <color indexed="55"/>
      </top>
      <bottom style="thin">
        <color indexed="55"/>
      </bottom>
      <diagonal>
        <color/>
      </diagonal>
    </border>
    <border>
      <left style="medium">
        <color indexed="64"/>
      </left>
      <right>
        <color/>
      </right>
      <top>
        <color/>
      </top>
      <bottom>
        <color/>
      </bottom>
      <diagonal>
        <color/>
      </diagonal>
    </border>
    <border>
      <left>
        <color/>
      </left>
      <right style="medium">
        <color indexed="64"/>
      </right>
      <top>
        <color/>
      </top>
      <bottom>
        <color/>
      </bottom>
      <diagonal>
        <color/>
      </diagonal>
    </border>
    <border>
      <left>
        <color/>
      </left>
      <right style="thin">
        <color indexed="55"/>
      </right>
      <top>
        <color/>
      </top>
      <bottom>
        <color/>
      </bottom>
      <diagonal>
        <color/>
      </diagonal>
    </border>
    <border>
      <left>
        <color/>
      </left>
      <right style="thin">
        <color indexed="55"/>
      </right>
      <top>
        <color/>
      </top>
      <bottom style="thin">
        <color indexed="55"/>
      </bottom>
      <diagonal>
        <color/>
      </diagonal>
    </border>
    <border>
      <left>
        <color/>
      </left>
      <right style="thin">
        <color indexed="55"/>
      </right>
      <top style="thin">
        <color indexed="55"/>
      </top>
      <bottom>
        <color/>
      </bottom>
      <diagonal>
        <color/>
      </diagonal>
    </border>
    <border>
      <left>
        <color/>
      </left>
      <right>
        <color/>
      </right>
      <top>
        <color/>
      </top>
      <bottom style="thin">
        <color indexed="55"/>
      </bottom>
      <diagonal>
        <color/>
      </diagonal>
    </border>
    <border>
      <left>
        <color/>
      </left>
      <right>
        <color/>
      </right>
      <top style="thin">
        <color indexed="55"/>
      </top>
      <bottom>
        <color/>
      </bottom>
      <diagonal>
        <color/>
      </diagonal>
    </border>
    <border>
      <left style="thin">
        <color indexed="22"/>
      </left>
      <right>
        <color/>
      </right>
      <top style="thin">
        <color indexed="22"/>
      </top>
      <bottom>
        <color/>
      </bottom>
      <diagonal>
        <color/>
      </diagonal>
    </border>
    <border>
      <left style="thin">
        <color indexed="22"/>
      </left>
      <right>
        <color/>
      </right>
      <top>
        <color/>
      </top>
      <bottom>
        <color/>
      </bottom>
      <diagonal>
        <color/>
      </diagonal>
    </border>
    <border>
      <left style="thin">
        <color indexed="22"/>
      </left>
      <right>
        <color/>
      </right>
      <top>
        <color/>
      </top>
      <bottom style="thin">
        <color indexed="22"/>
      </bottom>
      <diagonal>
        <color/>
      </diagonal>
    </border>
    <border>
      <left style="medium">
        <color indexed="64"/>
      </left>
      <right>
        <color/>
      </right>
      <top>
        <color/>
      </top>
      <bottom style="medium">
        <color indexed="64"/>
      </bottom>
      <diagonal>
        <color/>
      </diagonal>
    </border>
    <border>
      <left>
        <color/>
      </left>
      <right>
        <color/>
      </right>
      <top>
        <color/>
      </top>
      <bottom style="medium">
        <color indexed="64"/>
      </bottom>
      <diagonal>
        <color/>
      </diagonal>
    </border>
    <border>
      <left>
        <color/>
      </left>
      <right style="medium">
        <color indexed="64"/>
      </right>
      <top>
        <color/>
      </top>
      <bottom style="medium">
        <color indexed="64"/>
      </bottom>
      <diagonal>
        <color/>
      </diagonal>
    </border>
    <border>
      <left>
        <color/>
      </left>
      <right>
        <color/>
      </right>
      <top>
        <color/>
      </top>
      <bottom style="thin">
        <color indexed="64"/>
      </bottom>
      <diagonal>
        <color/>
      </diagonal>
    </border>
    <border>
      <left style="thin">
        <color indexed="64"/>
      </left>
      <right>
        <color/>
      </right>
      <top>
        <color/>
      </top>
      <bottom>
        <color/>
      </bottom>
      <diagonal>
        <color/>
      </diagonal>
    </border>
    <border>
      <left style="thin">
        <color indexed="64"/>
      </left>
      <right>
        <color/>
      </right>
      <top>
        <color/>
      </top>
      <bottom style="thin">
        <color indexed="64"/>
      </bottom>
      <diagonal>
        <color/>
      </diagonal>
    </border>
    <border>
      <left style="thin">
        <color indexed="39"/>
      </left>
      <right>
        <color/>
      </right>
      <top>
        <color/>
      </top>
      <bottom>
        <color/>
      </bottom>
      <diagonal>
        <color/>
      </diagonal>
    </border>
    <border>
      <left>
        <color/>
      </left>
      <right style="thin">
        <color indexed="39"/>
      </right>
      <top>
        <color/>
      </top>
      <bottom>
        <color/>
      </bottom>
      <diagonal>
        <color/>
      </diagonal>
    </border>
    <border>
      <left style="thin">
        <color indexed="39"/>
      </left>
      <right>
        <color/>
      </right>
      <top style="thin">
        <color indexed="39"/>
      </top>
      <bottom>
        <color/>
      </bottom>
      <diagonal>
        <color/>
      </diagonal>
    </border>
    <border>
      <left>
        <color/>
      </left>
      <right>
        <color/>
      </right>
      <top style="thin">
        <color indexed="39"/>
      </top>
      <bottom>
        <color/>
      </bottom>
      <diagonal>
        <color/>
      </diagonal>
    </border>
    <border>
      <left>
        <color/>
      </left>
      <right style="thin">
        <color indexed="39"/>
      </right>
      <top style="thin">
        <color indexed="39"/>
      </top>
      <bottom>
        <color/>
      </bottom>
      <diagonal>
        <color/>
      </diagonal>
    </border>
    <border>
      <left style="thin">
        <color indexed="39"/>
      </left>
      <right>
        <color/>
      </right>
      <top>
        <color/>
      </top>
      <bottom style="thin">
        <color indexed="39"/>
      </bottom>
      <diagonal>
        <color/>
      </diagonal>
    </border>
    <border>
      <left>
        <color/>
      </left>
      <right>
        <color/>
      </right>
      <top>
        <color/>
      </top>
      <bottom style="thin">
        <color indexed="39"/>
      </bottom>
      <diagonal>
        <color/>
      </diagonal>
    </border>
    <border>
      <left>
        <color/>
      </left>
      <right style="thin">
        <color indexed="39"/>
      </right>
      <top>
        <color/>
      </top>
      <bottom style="thin">
        <color indexed="39"/>
      </bottom>
      <diagonal>
        <color/>
      </diagonal>
    </border>
    <border>
      <left style="thin">
        <color indexed="39"/>
      </left>
      <right>
        <color/>
      </right>
      <top style="thin">
        <color indexed="39"/>
      </top>
      <bottom style="thin">
        <color indexed="39"/>
      </bottom>
      <diagonal>
        <color/>
      </diagonal>
    </border>
    <border>
      <left>
        <color/>
      </left>
      <right>
        <color/>
      </right>
      <top style="thin">
        <color indexed="39"/>
      </top>
      <bottom style="thin">
        <color indexed="39"/>
      </bottom>
      <diagonal>
        <color/>
      </diagonal>
    </border>
    <border>
      <left>
        <color/>
      </left>
      <right style="thin">
        <color indexed="39"/>
      </right>
      <top style="thin">
        <color indexed="39"/>
      </top>
      <bottom style="thin">
        <color indexed="39"/>
      </bottom>
      <diagonal>
        <color/>
      </diagonal>
    </border>
    <border>
      <left style="thin">
        <color indexed="39"/>
      </left>
      <right style="thin">
        <color indexed="39"/>
      </right>
      <top style="thin">
        <color indexed="39"/>
      </top>
      <bottom>
        <color/>
      </bottom>
      <diagonal>
        <color/>
      </diagonal>
    </border>
    <border>
      <left style="thin">
        <color indexed="39"/>
      </left>
      <right style="thin">
        <color indexed="39"/>
      </right>
      <top>
        <color/>
      </top>
      <bottom>
        <color/>
      </bottom>
      <diagonal>
        <color/>
      </diagonal>
    </border>
    <border>
      <left style="thin">
        <color indexed="39"/>
      </left>
      <right style="thin">
        <color indexed="39"/>
      </right>
      <top>
        <color/>
      </top>
      <bottom style="thin">
        <color indexed="39"/>
      </bottom>
      <diagonal>
        <color/>
      </diagonal>
    </border>
    <border>
      <left style="medium">
        <color indexed="64"/>
      </left>
      <right>
        <color/>
      </right>
      <top style="thin">
        <color indexed="39"/>
      </top>
      <bottom>
        <color/>
      </bottom>
      <diagonal>
        <color/>
      </diagonal>
    </border>
    <border>
      <left style="medium">
        <color indexed="64"/>
      </left>
      <right>
        <color/>
      </right>
      <top>
        <color/>
      </top>
      <bottom style="thin">
        <color indexed="39"/>
      </bottom>
      <diagonal>
        <color/>
      </diagonal>
    </border>
    <border>
      <left>
        <color/>
      </left>
      <right style="medium">
        <color indexed="64"/>
      </right>
      <top style="thin">
        <color indexed="39"/>
      </top>
      <bottom>
        <color/>
      </bottom>
      <diagonal>
        <color/>
      </diagonal>
    </border>
    <border>
      <left>
        <color/>
      </left>
      <right style="medium">
        <color indexed="64"/>
      </right>
      <top>
        <color/>
      </top>
      <bottom style="thin">
        <color indexed="39"/>
      </bottom>
      <diagonal>
        <color/>
      </diagonal>
    </border>
    <border>
      <left style="medium">
        <color indexed="64"/>
      </left>
      <right>
        <color/>
      </right>
      <top style="thin">
        <color indexed="39"/>
      </top>
      <bottom style="thin">
        <color indexed="39"/>
      </bottom>
      <diagonal>
        <color/>
      </diagonal>
    </border>
    <border>
      <left>
        <color/>
      </left>
      <right style="medium">
        <color indexed="64"/>
      </right>
      <top style="thin">
        <color indexed="39"/>
      </top>
      <bottom style="thin">
        <color indexed="39"/>
      </bottom>
      <diagonal>
        <color/>
      </diagonal>
    </border>
    <border>
      <left style="medium">
        <color indexed="64"/>
      </left>
      <right>
        <color/>
      </right>
      <top style="medium">
        <color indexed="64"/>
      </top>
      <bottom>
        <color/>
      </bottom>
      <diagonal>
        <color/>
      </diagonal>
    </border>
    <border>
      <left>
        <color/>
      </left>
      <right>
        <color/>
      </right>
      <top style="medium">
        <color indexed="64"/>
      </top>
      <bottom>
        <color/>
      </bottom>
      <diagonal>
        <color/>
      </diagonal>
    </border>
    <border>
      <left>
        <color/>
      </left>
      <right style="medium">
        <color indexed="64"/>
      </right>
      <top style="medium">
        <color indexed="64"/>
      </top>
      <bottom>
        <color/>
      </bottom>
      <diagonal>
        <color/>
      </diagonal>
    </border>
    <border>
      <left style="medium">
        <color indexed="64"/>
      </left>
      <right style="medium">
        <color indexed="64"/>
      </right>
      <top style="medium">
        <color indexed="64"/>
      </top>
      <bottom>
        <color/>
      </bottom>
      <diagonal>
        <color/>
      </diagonal>
    </border>
    <border>
      <left style="medium">
        <color indexed="64"/>
      </left>
      <right style="medium">
        <color indexed="64"/>
      </right>
      <top>
        <color/>
      </top>
      <bottom>
        <color/>
      </bottom>
      <diagonal>
        <color/>
      </diagonal>
    </border>
    <border diagonalUp="0" diagonalDown="0">
      <left>
        <color auto="1" indexed="64"/>
      </left>
      <right>
        <color auto="1" indexed="64"/>
      </right>
      <top>
        <color auto="1" indexed="64"/>
      </top>
      <bottom>
        <color auto="1" indexed="64"/>
      </bottom>
      <diagonal>
        <color/>
      </diagonal>
    </border>
    <border diagonalUp="1" diagonalDown="1">
      <left>
        <color rgb="FFFFFFFF"/>
      </left>
      <right>
        <color rgb="FFFFFFFF"/>
      </right>
      <top>
        <color rgb="FFFFFFFF"/>
      </top>
      <bottom>
        <color rgb="FFFFFFFF"/>
      </bottom>
      <diagonal>
        <color rgb="FFFFFFFF"/>
      </diagonal>
    </border>
    <border>
      <left style="thin">
        <color rgb="FFA0A0A0"/>
      </left>
      <right>
        <color/>
      </right>
      <top style="thin">
        <color indexed="39"/>
      </top>
      <bottom>
        <color/>
      </bottom>
      <diagonal>
        <color/>
      </diagonal>
    </border>
    <border>
      <left style="thin">
        <color rgb="FFA0A0A0"/>
      </left>
      <right>
        <color/>
      </right>
      <top>
        <color/>
      </top>
      <bottom>
        <color/>
      </bottom>
      <diagonal>
        <color/>
      </diagonal>
    </border>
    <border>
      <left style="thin">
        <color rgb="FFA0A0A0"/>
      </left>
      <right>
        <color/>
      </right>
      <top>
        <color/>
      </top>
      <bottom style="thin">
        <color indexed="39"/>
      </bottom>
      <diagonal>
        <color/>
      </diagonal>
    </border>
    <border>
      <left style="thin">
        <color rgb="FFA0A0A0"/>
      </left>
      <right>
        <color/>
      </right>
      <top>
        <color/>
      </top>
      <bottom style="medium">
        <color indexed="64"/>
      </bottom>
      <diagonal>
        <color/>
      </diagonal>
    </border>
    <border>
      <left style="thin">
        <color indexed="39"/>
      </left>
      <right>
        <color/>
      </right>
      <top style="thin">
        <color rgb="FFA0A0A0"/>
      </top>
      <bottom>
        <color/>
      </bottom>
      <diagonal>
        <color/>
      </diagonal>
    </border>
    <border>
      <left>
        <color/>
      </left>
      <right>
        <color/>
      </right>
      <top style="thin">
        <color rgb="FFA0A0A0"/>
      </top>
      <bottom>
        <color/>
      </bottom>
      <diagonal>
        <color/>
      </diagonal>
    </border>
    <border>
      <left>
        <color/>
      </left>
      <right style="thin">
        <color indexed="39"/>
      </right>
      <top style="thin">
        <color rgb="FFA0A0A0"/>
      </top>
      <bottom>
        <color/>
      </bottom>
      <diagonal>
        <color/>
      </diagonal>
    </border>
    <border diagonalUp="0" diagonalDown="0">
      <left style="thin">
        <color indexed="39"/>
      </left>
      <right style="thin">
        <color indexed="39"/>
      </right>
      <top style="thin">
        <color indexed="39"/>
      </top>
      <bottom>
        <color auto="1" indexed="64"/>
      </bottom>
      <diagonal>
        <color/>
      </diagonal>
    </border>
    <border diagonalUp="0" diagonalDown="0">
      <left style="thin">
        <color indexed="39"/>
      </left>
      <right style="thin">
        <color indexed="39"/>
      </right>
      <top>
        <color auto="1" indexed="64"/>
      </top>
      <bottom style="thin">
        <color indexed="39"/>
      </bottom>
      <diagonal>
        <color/>
      </diagonal>
    </border>
    <border diagonalUp="0" diagonalDown="0">
      <left>
        <color auto="1" indexed="64"/>
      </left>
      <right style="thin">
        <color indexed="55"/>
      </right>
      <top>
        <color auto="1" indexed="64"/>
      </top>
      <bottom style="thin">
        <color indexed="55"/>
      </bottom>
      <diagonal>
        <color/>
      </diagonal>
    </border>
    <border>
      <left>
        <color/>
      </left>
      <right style="thin">
        <color indexed="55"/>
      </right>
      <top style="thin">
        <color rgb="FFA0A0A0"/>
      </top>
      <bottom>
        <color/>
      </bottom>
      <diagonal>
        <color/>
      </diagonal>
    </border>
    <border diagonalUp="0" diagonalDown="0">
      <left style="thin">
        <color indexed="39"/>
      </left>
      <right>
        <color auto="1" indexed="64"/>
      </right>
      <top style="thin">
        <color indexed="39"/>
      </top>
      <bottom>
        <color auto="1" indexed="64"/>
      </bottom>
      <diagonal>
        <color/>
      </diagonal>
    </border>
    <border diagonalUp="0" diagonalDown="0">
      <left>
        <color auto="1" indexed="64"/>
      </left>
      <right>
        <color auto="1" indexed="64"/>
      </right>
      <top style="thin">
        <color indexed="39"/>
      </top>
      <bottom>
        <color auto="1" indexed="64"/>
      </bottom>
      <diagonal>
        <color/>
      </diagonal>
    </border>
    <border diagonalUp="0" diagonalDown="0">
      <left>
        <color auto="1" indexed="64"/>
      </left>
      <right style="thin">
        <color indexed="39"/>
      </right>
      <top style="thin">
        <color indexed="39"/>
      </top>
      <bottom>
        <color auto="1" indexed="64"/>
      </bottom>
      <diagonal>
        <color/>
      </diagonal>
    </border>
    <border diagonalUp="0" diagonalDown="0">
      <left style="thin">
        <color indexed="39"/>
      </left>
      <right>
        <color auto="1" indexed="64"/>
      </right>
      <top>
        <color auto="1" indexed="64"/>
      </top>
      <bottom>
        <color auto="1" indexed="64"/>
      </bottom>
      <diagonal>
        <color/>
      </diagonal>
    </border>
    <border diagonalUp="0" diagonalDown="0">
      <left>
        <color auto="1" indexed="64"/>
      </left>
      <right style="thin">
        <color indexed="39"/>
      </right>
      <top>
        <color auto="1" indexed="64"/>
      </top>
      <bottom>
        <color auto="1" indexed="64"/>
      </bottom>
      <diagonal>
        <color/>
      </diagonal>
    </border>
    <border diagonalUp="0" diagonalDown="0">
      <left style="thin">
        <color indexed="39"/>
      </left>
      <right>
        <color auto="1" indexed="64"/>
      </right>
      <top>
        <color auto="1" indexed="64"/>
      </top>
      <bottom style="thin">
        <color indexed="39"/>
      </bottom>
      <diagonal>
        <color/>
      </diagonal>
    </border>
    <border diagonalUp="0" diagonalDown="0">
      <left>
        <color auto="1" indexed="64"/>
      </left>
      <right>
        <color auto="1" indexed="64"/>
      </right>
      <top>
        <color auto="1" indexed="64"/>
      </top>
      <bottom style="thin">
        <color indexed="39"/>
      </bottom>
      <diagonal>
        <color/>
      </diagonal>
    </border>
    <border diagonalUp="0" diagonalDown="0">
      <left>
        <color auto="1" indexed="64"/>
      </left>
      <right style="thin">
        <color indexed="39"/>
      </right>
      <top>
        <color auto="1" indexed="64"/>
      </top>
      <bottom style="thin">
        <color indexed="39"/>
      </bottom>
      <diagonal>
        <color/>
      </diagonal>
    </border>
    <border diagonalUp="1" diagonalDown="1">
      <left style="thin">
        <color rgb="FFA0A0A0"/>
      </left>
      <right style="thin">
        <color rgb="FFA0A0A0"/>
      </right>
      <top style="thin">
        <color rgb="FFA0A0A0"/>
      </top>
      <bottom style="thin">
        <color rgb="FFA0A0A0"/>
      </bottom>
      <diagonal>
        <color rgb="FFA0A0A0"/>
      </diagonal>
    </border>
    <border diagonalUp="1" diagonalDown="1">
      <left style="thin">
        <color rgb="FFA0A0A0"/>
      </left>
      <right>
        <color rgb="FFA0A0A0"/>
      </right>
      <top style="thin">
        <color rgb="FFA0A0A0"/>
      </top>
      <bottom style="thin">
        <color rgb="FFA0A0A0"/>
      </bottom>
      <diagonal>
        <color rgb="FFA0A0A0"/>
      </diagonal>
    </border>
    <border diagonalUp="1" diagonalDown="1">
      <left>
        <color rgb="FFA0A0A0"/>
      </left>
      <right>
        <color rgb="FFA0A0A0"/>
      </right>
      <top style="thin">
        <color rgb="FFA0A0A0"/>
      </top>
      <bottom style="thin">
        <color rgb="FFA0A0A0"/>
      </bottom>
      <diagonal>
        <color rgb="FFA0A0A0"/>
      </diagonal>
    </border>
    <border diagonalUp="1" diagonalDown="1">
      <left>
        <color rgb="FFA0A0A0"/>
      </left>
      <right style="thin">
        <color rgb="FFA0A0A0"/>
      </right>
      <top style="thin">
        <color rgb="FFA0A0A0"/>
      </top>
      <bottom style="thin">
        <color rgb="FFA0A0A0"/>
      </bottom>
      <diagonal>
        <color rgb="FFA0A0A0"/>
      </diagonal>
    </border>
  </borders>
  <cellStyleXfs count="176">
    <xf numFmtId="0" fontId="1" fillId="0" borderId="0" applyFont="1" applyFill="1"/>
    <xf numFmtId="43" fontId="1" fillId="0" borderId="0" applyNumberFormat="1" applyFont="1" applyFill="1" applyBorder="0"/>
    <xf numFmtId="43" fontId="1" fillId="0" borderId="0" applyNumberFormat="1" applyFont="1" applyFill="1" applyBorder="0"/>
    <xf numFmtId="44" fontId="1" fillId="0" borderId="0" applyNumberFormat="1" applyFont="1" applyFill="1" applyBorder="0"/>
    <xf numFmtId="0" fontId="1" fillId="0" borderId="0" applyFont="1" applyFill="1"/>
    <xf numFmtId="43" fontId="1" fillId="0" borderId="0" applyNumberFormat="1" applyFont="1" applyFill="1" applyBorder="0"/>
    <xf numFmtId="41" fontId="1" fillId="0" borderId="0" applyNumberFormat="1" applyFont="1" applyFill="1" applyBorder="0"/>
    <xf numFmtId="44" fontId="1" fillId="0" borderId="0" applyNumberFormat="1" applyFont="1" applyFill="1" applyBorder="0"/>
    <xf numFmtId="42"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74" fillId="0" borderId="0" applyNumberFormat="0" applyFont="1" applyFill="1" applyBorder="0"/>
    <xf numFmtId="0" fontId="73" fillId="0" borderId="0" applyFont="1" applyFill="1"/>
    <xf numFmtId="9" fontId="1" fillId="0" borderId="0" applyNumberFormat="1" applyFont="1" applyFill="1" applyBorder="0"/>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9" fillId="3" borderId="3" applyNumberFormat="0" applyFont="1" applyFill="1" applyBorder="1"/>
    <xf numFmtId="0" fontId="69" fillId="6" borderId="3" applyNumberFormat="0" applyFont="1" applyFill="1" applyBorder="1"/>
    <xf numFmtId="0" fontId="65" fillId="2" borderId="0" applyNumberFormat="0" applyFont="1" applyFill="1" applyBorder="0" applyAlignment="1">
      <alignment horizontal="center" wrapText="1"/>
    </xf>
    <xf numFmtId="0" fontId="65" fillId="2" borderId="0" applyNumberFormat="0" applyFont="1" applyFill="1" applyBorder="0" applyAlignment="1">
      <alignment horizontal="center" wrapText="1"/>
    </xf>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6" borderId="2" applyNumberFormat="0" applyFont="1" applyFill="1" applyBorder="1"/>
    <xf numFmtId="0" fontId="1" fillId="6" borderId="3" applyNumberFormat="0" applyFont="1" applyFill="1" applyBorder="1"/>
    <xf numFmtId="0" fontId="1" fillId="6" borderId="4" applyNumberFormat="0" applyFont="1" applyFill="1" applyBorder="1"/>
    <xf numFmtId="0" fontId="1" fillId="6" borderId="5" applyNumberFormat="0" applyFont="1" applyFill="1" applyBorder="1"/>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xf>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applyAlignment="1">
      <alignment horizontal="left"/>
    </xf>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56" fillId="7" borderId="0" applyNumberFormat="0" applyFont="1" applyFill="1" applyBorder="0" applyAlignment="1">
      <alignment horizontal="left"/>
    </xf>
    <xf numFmtId="0" fontId="61" fillId="8" borderId="0" applyNumberFormat="0" applyFont="1" applyFill="1" applyBorder="0" applyAlignment="1">
      <alignment horizontal="center"/>
    </xf>
    <xf numFmtId="0" fontId="65" fillId="2" borderId="0" applyNumberFormat="0" applyFont="1" applyFill="1" applyBorder="0" applyAlignment="1">
      <alignment horizontal="center" wrapText="1"/>
    </xf>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80" borderId="0" applyFont="1" applyAlignment="1">
      <alignment vertical="top"/>
    </xf>
  </cellStyleXfs>
  <cellXfs count="715">
    <xf numFmtId="0" fontId="1" fillId="0" borderId="0" applyFont="1" applyFill="1"/>
    <xf numFmtId="0" fontId="1" fillId="3" borderId="0" applyFont="1" applyFill="1"/>
    <xf numFmtId="0" fontId="1" fillId="3" borderId="0" applyFont="1" applyFill="1" applyAlignment="1">
      <alignment horizontal="centerContinuous"/>
    </xf>
    <xf numFmtId="0" fontId="1" fillId="3" borderId="0" applyFont="1" applyFill="1" applyAlignment="1">
      <alignment horizontal="center"/>
    </xf>
    <xf numFmtId="0" fontId="69" fillId="0" borderId="0" applyFont="1" applyFill="1"/>
    <xf numFmtId="0" fontId="35" fillId="0" borderId="0" applyFont="1" applyFill="1"/>
    <xf numFmtId="0" fontId="37" fillId="0" borderId="0" applyFont="1" applyFill="1"/>
    <xf numFmtId="164" fontId="37" fillId="3" borderId="0" applyNumberFormat="1" applyFont="1" applyFill="1" applyAlignment="1">
      <alignment horizontal="left"/>
    </xf>
    <xf numFmtId="0" fontId="40" fillId="0" borderId="0" applyFont="1" applyFill="1"/>
    <xf numFmtId="0" fontId="36" fillId="0" borderId="0" applyFont="1" applyFill="1"/>
    <xf numFmtId="164" fontId="69" fillId="3" borderId="0" applyNumberFormat="1" applyFont="1" applyFill="1" applyAlignment="1">
      <alignment horizontal="left"/>
    </xf>
    <xf numFmtId="0" fontId="46" fillId="3" borderId="0" applyFont="1" applyFill="1" applyAlignment="1">
      <alignment horizontal="left"/>
    </xf>
    <xf numFmtId="0" fontId="1" fillId="3" borderId="0" applyFont="1" applyFill="1" applyAlignment="1">
      <alignment horizontal="right"/>
    </xf>
    <xf numFmtId="0" fontId="17" fillId="3" borderId="0" applyFont="1" applyFill="1"/>
    <xf numFmtId="0" fontId="32" fillId="3" borderId="0" applyFont="1" applyFill="1" applyAlignment="1">
      <alignment horizontal="centerContinuous"/>
    </xf>
    <xf numFmtId="0" fontId="32" fillId="3" borderId="0" applyFont="1" applyFill="1" applyAlignment="1">
      <alignment horizontal="right"/>
    </xf>
    <xf numFmtId="0" fontId="7" fillId="3" borderId="0" applyFont="1" applyFill="1" applyAlignment="1">
      <alignment horizontal="right"/>
    </xf>
    <xf numFmtId="0" fontId="42" fillId="3" borderId="0" applyFont="1" applyFill="1" applyAlignment="1">
      <alignment horizontal="left"/>
    </xf>
    <xf numFmtId="44" fontId="69" fillId="3" borderId="0" applyNumberFormat="1" applyFont="1" applyFill="1" applyAlignment="1">
      <alignment horizontal="right"/>
    </xf>
    <xf numFmtId="165" fontId="69" fillId="3" borderId="0" applyNumberFormat="1" applyFont="1" applyFill="1" applyAlignment="1">
      <alignment horizontal="right"/>
    </xf>
    <xf numFmtId="0" fontId="35" fillId="3" borderId="0" applyFont="1" applyFill="1" applyAlignment="1">
      <alignment horizontal="left"/>
    </xf>
    <xf numFmtId="0" fontId="1" fillId="0" borderId="0" applyFont="1" applyFill="1" applyAlignment="1">
      <alignment horizontal="center"/>
    </xf>
    <xf numFmtId="0" fontId="42" fillId="0" borderId="0" applyFont="1" applyFill="1"/>
    <xf numFmtId="0" fontId="69" fillId="0" borderId="0" applyFont="1" applyFill="1" applyAlignment="1">
      <alignment horizontal="center"/>
    </xf>
    <xf numFmtId="0" fontId="33" fillId="3" borderId="0" applyFont="1" applyFill="1" applyAlignment="1">
      <alignment horizontal="right"/>
    </xf>
    <xf numFmtId="0" fontId="52" fillId="0" borderId="0" applyFont="1" applyFill="1"/>
    <xf numFmtId="0" fontId="1" fillId="0" borderId="0" applyFont="1" applyFill="1" applyAlignment="1">
      <alignment horizontal="centerContinuous"/>
    </xf>
    <xf numFmtId="0" fontId="1" fillId="0" borderId="6" applyFont="1" applyFill="1" applyBorder="1"/>
    <xf numFmtId="0" fontId="1" fillId="0" borderId="7" applyFont="1" applyFill="1" applyBorder="1"/>
    <xf numFmtId="0" fontId="50" fillId="0" borderId="0" applyFont="1" applyFill="1"/>
    <xf numFmtId="0" fontId="1" fillId="0" borderId="0" applyFont="1" applyFill="1" applyAlignment="1">
      <alignment horizontal="left"/>
    </xf>
    <xf numFmtId="166" fontId="42" fillId="0" borderId="8" applyNumberFormat="1" applyFont="1" applyFill="1" applyBorder="1" applyAlignment="1">
      <alignment horizontal="center"/>
    </xf>
    <xf numFmtId="166" fontId="42" fillId="10" borderId="8" applyNumberFormat="1" applyFont="1" applyFill="1" applyBorder="1" applyAlignment="1">
      <alignment horizontal="center"/>
    </xf>
    <xf numFmtId="166" fontId="42" fillId="10" borderId="9" applyNumberFormat="1" applyFont="1" applyFill="1" applyBorder="1" applyAlignment="1">
      <alignment horizontal="center"/>
    </xf>
    <xf numFmtId="166" fontId="42" fillId="0" borderId="10" applyNumberFormat="1" applyFont="1" applyFill="1" applyBorder="1" applyAlignment="1">
      <alignment horizontal="center"/>
    </xf>
    <xf numFmtId="166" fontId="42" fillId="0" borderId="0" applyNumberFormat="1" applyFont="1" applyFill="1" applyAlignment="1">
      <alignment horizontal="center"/>
    </xf>
    <xf numFmtId="166" fontId="42" fillId="10" borderId="0" applyNumberFormat="1" applyFont="1" applyFill="1" applyAlignment="1">
      <alignment horizontal="center"/>
    </xf>
    <xf numFmtId="166" fontId="42" fillId="10" borderId="11" applyNumberFormat="1" applyFont="1" applyFill="1" applyBorder="1" applyAlignment="1">
      <alignment horizontal="center"/>
    </xf>
    <xf numFmtId="166" fontId="42" fillId="0" borderId="12" applyNumberFormat="1" applyFont="1" applyFill="1" applyBorder="1" applyAlignment="1">
      <alignment horizontal="center"/>
    </xf>
    <xf numFmtId="0" fontId="35" fillId="0" borderId="0" applyFont="1" applyFill="1" applyAlignment="1">
      <alignment vertical="center"/>
    </xf>
    <xf numFmtId="0" fontId="69" fillId="0" borderId="0" applyFont="1" applyFill="1" applyAlignment="1">
      <alignment horizontal="right"/>
    </xf>
    <xf numFmtId="0" fontId="51" fillId="0" borderId="0" applyFont="1" applyFill="1"/>
    <xf numFmtId="0" fontId="53" fillId="0" borderId="0" applyFont="1" applyFill="1" applyAlignment="1">
      <alignment horizontal="center"/>
    </xf>
    <xf numFmtId="166" fontId="42" fillId="0" borderId="0" applyNumberFormat="1" applyFont="1" applyFill="1"/>
    <xf numFmtId="0" fontId="69" fillId="0" borderId="6" applyFont="1" applyFill="1" applyBorder="1" applyAlignment="1">
      <alignment horizontal="center"/>
    </xf>
    <xf numFmtId="0" fontId="69" fillId="0" borderId="7" applyFont="1" applyFill="1" applyBorder="1" applyAlignment="1">
      <alignment horizontal="center"/>
    </xf>
    <xf numFmtId="0" fontId="42" fillId="0" borderId="13" applyFont="1" applyFill="1" applyBorder="1" applyAlignment="1">
      <alignment horizontal="right"/>
    </xf>
    <xf numFmtId="0" fontId="42" fillId="10" borderId="14" applyFont="1" applyFill="1" applyBorder="1" applyAlignment="1">
      <alignment horizontal="right"/>
    </xf>
    <xf numFmtId="0" fontId="42" fillId="10" borderId="15" applyFont="1" applyFill="1" applyBorder="1" applyAlignment="1">
      <alignment horizontal="right"/>
    </xf>
    <xf numFmtId="0" fontId="42" fillId="0" borderId="15" applyFont="1" applyFill="1" applyBorder="1" applyAlignment="1">
      <alignment horizontal="right"/>
    </xf>
    <xf numFmtId="0" fontId="45" fillId="0" borderId="0" applyFont="1" applyFill="1" applyAlignment="1">
      <alignment horizontal="center"/>
    </xf>
    <xf numFmtId="0" fontId="45" fillId="0" borderId="6" applyFont="1" applyFill="1" applyBorder="1" applyAlignment="1">
      <alignment horizontal="center"/>
    </xf>
    <xf numFmtId="0" fontId="45" fillId="0" borderId="7" applyFont="1" applyFill="1" applyBorder="1" applyAlignment="1">
      <alignment horizontal="center"/>
    </xf>
    <xf numFmtId="0" fontId="42" fillId="0" borderId="0" applyFont="1" applyFill="1" applyAlignment="1">
      <alignment horizontal="right"/>
    </xf>
    <xf numFmtId="1" fontId="42" fillId="0" borderId="0" applyNumberFormat="1" applyFont="1" applyFill="1" applyAlignment="1">
      <alignment horizontal="left"/>
    </xf>
    <xf numFmtId="166" fontId="42" fillId="0" borderId="9" applyNumberFormat="1" applyFont="1" applyFill="1" applyBorder="1" applyAlignment="1">
      <alignment horizontal="center"/>
    </xf>
    <xf numFmtId="166" fontId="42" fillId="0" borderId="11" applyNumberFormat="1" applyFont="1" applyFill="1" applyBorder="1" applyAlignment="1">
      <alignment horizontal="center"/>
    </xf>
    <xf numFmtId="0" fontId="32" fillId="3" borderId="0" applyFont="1" applyFill="1" applyAlignment="1">
      <alignment horizontal="right" vertical="center"/>
    </xf>
    <xf numFmtId="0" fontId="1" fillId="3" borderId="0" applyFont="1" applyFill="1" applyAlignment="1">
      <alignment horizontal="center" vertical="center"/>
    </xf>
    <xf numFmtId="1" fontId="69" fillId="0" borderId="0" applyNumberFormat="1" applyFont="1" applyFill="1"/>
    <xf numFmtId="1" fontId="69" fillId="10" borderId="16" applyNumberFormat="1" applyFont="1" applyFill="1" applyBorder="1" applyAlignment="1">
      <alignment horizontal="center"/>
    </xf>
    <xf numFmtId="1" fontId="69" fillId="10" borderId="17" applyNumberFormat="1" applyFont="1" applyFill="1" applyBorder="1" applyAlignment="1">
      <alignment horizontal="center"/>
    </xf>
    <xf numFmtId="1" fontId="69" fillId="10" borderId="18" applyNumberFormat="1" applyFont="1" applyFill="1" applyBorder="1" applyAlignment="1">
      <alignment horizontal="center"/>
    </xf>
    <xf numFmtId="166" fontId="26" fillId="0" borderId="0" applyNumberFormat="1" applyFont="1" applyFill="1" applyAlignment="1">
      <alignment horizontal="right"/>
    </xf>
    <xf numFmtId="0" fontId="32" fillId="3" borderId="0" applyFont="1" applyFill="1"/>
    <xf numFmtId="0" fontId="32" fillId="3" borderId="0" applyFont="1" applyFill="1" applyAlignment="1">
      <alignment horizontal="center"/>
    </xf>
    <xf numFmtId="0" fontId="69" fillId="3" borderId="0" applyFont="1" applyFill="1" applyAlignment="1">
      <alignment horizontal="center"/>
    </xf>
    <xf numFmtId="165" fontId="69" fillId="3" borderId="0" applyNumberFormat="1" applyFont="1" applyFill="1" applyAlignment="1">
      <alignment horizontal="center"/>
    </xf>
    <xf numFmtId="166" fontId="69" fillId="3" borderId="0" applyNumberFormat="1" applyFont="1" applyFill="1" applyAlignment="1">
      <alignment horizontal="center"/>
    </xf>
    <xf numFmtId="166" fontId="69" fillId="3" borderId="0" applyNumberFormat="1" applyFont="1" applyFill="1" applyAlignment="1">
      <alignment horizontal="center"/>
    </xf>
    <xf numFmtId="167" fontId="69" fillId="3" borderId="0" applyNumberFormat="1" applyFont="1" applyFill="1" applyAlignment="1">
      <alignment horizontal="center"/>
    </xf>
    <xf numFmtId="167" fontId="69" fillId="3" borderId="0" applyNumberFormat="1" applyFont="1" applyFill="1" applyAlignment="1">
      <alignment horizontal="center"/>
    </xf>
    <xf numFmtId="0" fontId="27" fillId="3" borderId="0" applyFont="1" applyFill="1" applyAlignment="1">
      <alignment horizontal="left"/>
    </xf>
    <xf numFmtId="166" fontId="69" fillId="3" borderId="0" applyNumberFormat="1" applyFont="1" applyFill="1" applyBorder="1" applyAlignment="1">
      <alignment horizontal="center"/>
    </xf>
    <xf numFmtId="166" fontId="69" fillId="3" borderId="0" applyNumberFormat="1" applyFont="1" applyFill="1" applyAlignment="1">
      <alignment horizontal="right"/>
    </xf>
    <xf numFmtId="166" fontId="1" fillId="3" borderId="0" applyNumberFormat="1" applyFont="1" applyFill="1"/>
    <xf numFmtId="167" fontId="42" fillId="3" borderId="0" applyNumberFormat="1" applyFont="1" applyFill="1" applyAlignment="1">
      <alignment horizontal="left"/>
    </xf>
    <xf numFmtId="167" fontId="1" fillId="3" borderId="0" applyNumberFormat="1" applyFont="1" applyFill="1"/>
    <xf numFmtId="0" fontId="37" fillId="3" borderId="0" applyFont="1" applyFill="1"/>
    <xf numFmtId="0" fontId="69" fillId="3" borderId="0" applyFont="1" applyFill="1" applyAlignment="1">
      <alignment horizontal="right"/>
    </xf>
    <xf numFmtId="0" fontId="40" fillId="3" borderId="0" applyFont="1" applyFill="1" applyAlignment="1">
      <alignment horizontal="centerContinuous"/>
    </xf>
    <xf numFmtId="166" fontId="69" fillId="10" borderId="0" applyNumberFormat="1" applyFont="1" applyFill="1" applyBorder="1" applyAlignment="1">
      <alignment horizontal="center"/>
    </xf>
    <xf numFmtId="166" fontId="69" fillId="10" borderId="6" applyNumberFormat="1" applyFont="1" applyFill="1" applyBorder="1" applyAlignment="1">
      <alignment horizontal="center"/>
    </xf>
    <xf numFmtId="166" fontId="69" fillId="10" borderId="7" applyNumberFormat="1" applyFont="1" applyFill="1" applyBorder="1" applyAlignment="1">
      <alignment horizontal="center"/>
    </xf>
    <xf numFmtId="0" fontId="54" fillId="0" borderId="0" applyFont="1" applyFill="1"/>
    <xf numFmtId="2" fontId="69" fillId="10" borderId="0" applyNumberFormat="1" applyFont="1" applyFill="1" applyBorder="1" applyAlignment="1">
      <alignment horizontal="center"/>
    </xf>
    <xf numFmtId="2" fontId="69" fillId="10" borderId="6" applyNumberFormat="1" applyFont="1" applyFill="1" applyBorder="1" applyAlignment="1">
      <alignment horizontal="center"/>
    </xf>
    <xf numFmtId="2" fontId="69" fillId="10" borderId="7" applyNumberFormat="1" applyFont="1" applyFill="1" applyBorder="1" applyAlignment="1">
      <alignment horizontal="center"/>
    </xf>
    <xf numFmtId="166" fontId="69" fillId="0" borderId="0" applyNumberFormat="1" applyFont="1" applyFill="1"/>
    <xf numFmtId="166" fontId="69" fillId="10" borderId="16" applyNumberFormat="1" applyFont="1" applyFill="1" applyBorder="1" applyAlignment="1">
      <alignment horizontal="center"/>
    </xf>
    <xf numFmtId="166" fontId="69" fillId="10" borderId="17" applyNumberFormat="1" applyFont="1" applyFill="1" applyBorder="1" applyAlignment="1">
      <alignment horizontal="center"/>
    </xf>
    <xf numFmtId="166" fontId="69" fillId="10" borderId="18" applyNumberFormat="1" applyFont="1" applyFill="1" applyBorder="1" applyAlignment="1">
      <alignment horizontal="center"/>
    </xf>
    <xf numFmtId="0" fontId="50" fillId="0" borderId="0" applyFont="1" applyFill="1" applyAlignment="1">
      <alignment horizontal="right"/>
    </xf>
    <xf numFmtId="0" fontId="50" fillId="0" borderId="0" applyFont="1" applyFill="1" applyAlignment="1">
      <alignment horizontal="right" vertical="top"/>
    </xf>
    <xf numFmtId="0" fontId="31" fillId="0" borderId="3" applyFont="1" applyFill="1" applyBorder="1" applyAlignment="1">
      <alignment horizontal="center" wrapText="1"/>
    </xf>
    <xf numFmtId="0" fontId="31" fillId="0" borderId="5" applyFont="1" applyFill="1" applyBorder="1" applyAlignment="1">
      <alignment horizontal="center" wrapText="1"/>
    </xf>
    <xf numFmtId="0" fontId="39" fillId="0" borderId="0" applyFont="1" applyFill="1"/>
    <xf numFmtId="0" fontId="34" fillId="0" borderId="0" applyFont="1" applyFill="1" applyAlignment="1">
      <alignment horizontal="right"/>
    </xf>
    <xf numFmtId="0" fontId="35" fillId="0" borderId="0" applyFont="1" applyFill="1"/>
    <xf numFmtId="164" fontId="1" fillId="3" borderId="0" applyNumberFormat="1" applyFont="1" applyFill="1" applyAlignment="1">
      <alignment horizontal="left"/>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1" fillId="0" borderId="0" applyFont="1" applyFill="1" applyAlignment="1">
      <alignment horizontal="left"/>
    </xf>
    <xf numFmtId="49" fontId="1" fillId="0" borderId="0" applyNumberFormat="1" applyFont="1" applyFill="1" applyAlignment="1">
      <alignment horizontal="left"/>
    </xf>
    <xf numFmtId="16" fontId="1" fillId="0" borderId="0" applyNumberFormat="1" applyFont="1" applyFill="1" applyAlignment="1">
      <alignment horizontal="left"/>
    </xf>
    <xf numFmtId="49" fontId="1" fillId="0" borderId="0" applyNumberFormat="1" applyFont="1" applyFill="1"/>
    <xf numFmtId="0" fontId="37" fillId="0" borderId="0" applyFont="1" applyFill="1" applyAlignment="1">
      <alignment horizontal="center"/>
    </xf>
    <xf numFmtId="0" fontId="37" fillId="0" borderId="0" applyFont="1" applyFill="1"/>
    <xf numFmtId="0" fontId="1" fillId="0" borderId="0" applyFont="1" applyFill="1"/>
    <xf numFmtId="0" fontId="1" fillId="0" borderId="0" applyFont="1" applyFill="1" applyAlignment="1">
      <alignment horizontal="left" textRotation="90"/>
    </xf>
    <xf numFmtId="16" fontId="33" fillId="0" borderId="0" applyNumberFormat="1" applyFont="1" applyFill="1" applyAlignment="1">
      <alignment horizontal="left"/>
    </xf>
    <xf numFmtId="16" fontId="34" fillId="3" borderId="0" applyNumberFormat="1" applyFont="1" applyFill="1" applyAlignment="1">
      <alignment horizontal="left" textRotation="90" wrapText="1"/>
    </xf>
    <xf numFmtId="166" fontId="1" fillId="0" borderId="0" applyNumberFormat="1" applyFont="1" applyFill="1" applyAlignment="1">
      <alignment horizontal="left"/>
    </xf>
    <xf numFmtId="1" fontId="1" fillId="0" borderId="0" applyNumberFormat="1" applyFont="1" applyFill="1" applyAlignment="1">
      <alignment horizontal="center"/>
    </xf>
    <xf numFmtId="166" fontId="38" fillId="0" borderId="0" applyNumberFormat="1" applyFont="1" applyFill="1" applyAlignment="1">
      <alignment horizontal="right"/>
    </xf>
    <xf numFmtId="0" fontId="1" fillId="0" borderId="0" applyFont="1" applyFill="1" applyAlignment="1">
      <alignment horizontal="center"/>
    </xf>
    <xf numFmtId="0" fontId="47" fillId="0" borderId="0" applyFont="1" applyFill="1"/>
    <xf numFmtId="0" fontId="1" fillId="3" borderId="0" applyFont="1" applyFill="1" applyBorder="1"/>
    <xf numFmtId="169" fontId="34" fillId="3" borderId="0" applyNumberFormat="1" applyFont="1" applyFill="1" applyAlignment="1">
      <alignment textRotation="90" wrapText="1"/>
    </xf>
    <xf numFmtId="16" fontId="34" fillId="3" borderId="0" applyNumberFormat="1" applyFont="1" applyFill="1" applyAlignment="1">
      <alignment textRotation="90" wrapText="1"/>
    </xf>
    <xf numFmtId="166" fontId="38" fillId="0" borderId="0" applyNumberFormat="1" applyFont="1" applyFill="1"/>
    <xf numFmtId="0" fontId="15" fillId="3" borderId="0" applyFont="1" applyFill="1" applyAlignment="1">
      <alignment vertical="center"/>
    </xf>
    <xf numFmtId="0" fontId="37" fillId="3" borderId="0" applyFont="1" applyFill="1"/>
    <xf numFmtId="0" fontId="40" fillId="3" borderId="0" applyFont="1" applyFill="1" applyAlignment="1">
      <alignment horizontal="center"/>
    </xf>
    <xf numFmtId="170" fontId="42" fillId="3" borderId="0" applyNumberFormat="1" applyFont="1" applyFill="1" applyAlignment="1">
      <alignment wrapText="1"/>
    </xf>
    <xf numFmtId="0" fontId="50" fillId="3" borderId="0" applyFont="1" applyFill="1" applyAlignment="1">
      <alignment horizontal="center"/>
    </xf>
    <xf numFmtId="0" fontId="44" fillId="3" borderId="0" applyFont="1" applyFill="1" applyAlignment="1">
      <alignment horizontal="center" vertical="top"/>
    </xf>
    <xf numFmtId="0" fontId="44" fillId="3" borderId="6" applyFont="1" applyFill="1" applyBorder="1" applyAlignment="1">
      <alignment horizontal="center" vertical="top"/>
    </xf>
    <xf numFmtId="0" fontId="44" fillId="3" borderId="7" applyFont="1" applyFill="1" applyBorder="1" applyAlignment="1">
      <alignment horizontal="center" vertical="top"/>
    </xf>
    <xf numFmtId="170" fontId="44" fillId="3" borderId="0" applyNumberFormat="1" applyFont="1" applyFill="1" applyAlignment="1">
      <alignment horizontal="center" vertical="top" wrapText="1"/>
    </xf>
    <xf numFmtId="170" fontId="44" fillId="3" borderId="6" applyNumberFormat="1" applyFont="1" applyFill="1" applyBorder="1" applyAlignment="1">
      <alignment horizontal="center" vertical="top" wrapText="1"/>
    </xf>
    <xf numFmtId="170" fontId="44" fillId="3" borderId="7" applyNumberFormat="1" applyFont="1" applyFill="1" applyBorder="1" applyAlignment="1">
      <alignment horizontal="center" vertical="top" wrapText="1"/>
    </xf>
    <xf numFmtId="0" fontId="1" fillId="3" borderId="0" applyFont="1" applyFill="1" applyAlignment="1">
      <alignment wrapText="1"/>
    </xf>
    <xf numFmtId="0" fontId="44" fillId="3" borderId="0" applyFont="1" applyFill="1" applyAlignment="1">
      <alignment horizontal="center" vertical="top" wrapText="1"/>
    </xf>
    <xf numFmtId="0" fontId="44" fillId="3" borderId="6" applyFont="1" applyFill="1" applyBorder="1" applyAlignment="1">
      <alignment horizontal="center" vertical="top" wrapText="1"/>
    </xf>
    <xf numFmtId="0" fontId="44" fillId="3" borderId="7" applyFont="1" applyFill="1" applyBorder="1" applyAlignment="1">
      <alignment horizontal="center" vertical="top" wrapText="1"/>
    </xf>
    <xf numFmtId="1" fontId="45" fillId="6" borderId="0" applyNumberFormat="1" applyFont="1" applyFill="1" applyAlignment="1">
      <alignment horizontal="center"/>
    </xf>
    <xf numFmtId="1" fontId="45" fillId="6" borderId="6" applyNumberFormat="1" applyFont="1" applyFill="1" applyBorder="1" applyAlignment="1">
      <alignment horizontal="center"/>
    </xf>
    <xf numFmtId="1" fontId="45" fillId="6" borderId="7" applyNumberFormat="1" applyFont="1" applyFill="1" applyBorder="1" applyAlignment="1">
      <alignment horizontal="center"/>
    </xf>
    <xf numFmtId="1" fontId="45" fillId="3" borderId="0" applyNumberFormat="1" applyFont="1" applyFill="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46" fillId="3" borderId="0" applyFont="1" applyFill="1" applyAlignment="1">
      <alignment horizontal="center"/>
    </xf>
    <xf numFmtId="0" fontId="46" fillId="3" borderId="0" applyFont="1" applyFill="1" applyAlignment="1">
      <alignment horizontal="center" vertical="top"/>
    </xf>
    <xf numFmtId="0" fontId="46" fillId="3" borderId="6" applyFont="1" applyFill="1" applyBorder="1" applyAlignment="1">
      <alignment horizontal="center" vertical="top"/>
    </xf>
    <xf numFmtId="0" fontId="46" fillId="3" borderId="7" applyFont="1" applyFill="1" applyBorder="1" applyAlignment="1">
      <alignment horizontal="center" vertical="top"/>
    </xf>
    <xf numFmtId="0" fontId="45" fillId="3" borderId="0" applyFont="1" applyFill="1" applyAlignment="1">
      <alignment horizontal="center"/>
    </xf>
    <xf numFmtId="0" fontId="46" fillId="0" borderId="0" applyFont="1" applyFill="1" applyAlignment="1">
      <alignment horizontal="center"/>
    </xf>
    <xf numFmtId="1" fontId="45" fillId="6" borderId="16" applyNumberFormat="1" applyFont="1" applyFill="1" applyBorder="1" applyAlignment="1">
      <alignment horizontal="center"/>
    </xf>
    <xf numFmtId="1" fontId="45" fillId="6" borderId="17" applyNumberFormat="1" applyFont="1" applyFill="1" applyBorder="1" applyAlignment="1">
      <alignment horizontal="center"/>
    </xf>
    <xf numFmtId="1" fontId="45" fillId="6" borderId="18" applyNumberFormat="1" applyFont="1" applyFill="1" applyBorder="1" applyAlignment="1">
      <alignment horizontal="center"/>
    </xf>
    <xf numFmtId="1" fontId="1" fillId="3" borderId="0" applyNumberFormat="1" applyFont="1" applyFill="1" applyAlignment="1">
      <alignment horizontal="center"/>
    </xf>
    <xf numFmtId="170" fontId="42" fillId="0" borderId="0" applyNumberFormat="1" applyFont="1" applyFill="1" applyAlignment="1">
      <alignment wrapText="1"/>
    </xf>
    <xf numFmtId="0" fontId="1" fillId="0" borderId="0" applyFont="1" applyFill="1" applyAlignment="1">
      <alignment wrapText="1"/>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69" fillId="0" borderId="0" applyFont="1" applyFill="1" applyAlignment="1">
      <alignment horizontal="left"/>
    </xf>
    <xf numFmtId="49" fontId="69" fillId="0" borderId="0" applyNumberFormat="1" applyFont="1" applyFill="1" applyAlignment="1">
      <alignment horizontal="left"/>
    </xf>
    <xf numFmtId="16" fontId="69" fillId="0" borderId="0" applyNumberFormat="1" applyFont="1" applyFill="1" applyAlignment="1">
      <alignment horizontal="left"/>
    </xf>
    <xf numFmtId="0" fontId="34" fillId="0" borderId="0" applyFont="1" applyFill="1" applyAlignment="1">
      <alignment horizontal="right"/>
    </xf>
    <xf numFmtId="49" fontId="69" fillId="0" borderId="0" applyNumberFormat="1" applyFont="1" applyFill="1"/>
    <xf numFmtId="0" fontId="34" fillId="3" borderId="0" applyFont="1" applyFill="1" applyAlignment="1">
      <alignment horizontal="center"/>
    </xf>
    <xf numFmtId="0" fontId="34" fillId="3" borderId="0" applyFont="1" applyFill="1" applyAlignment="1">
      <alignment horizontal="right"/>
    </xf>
    <xf numFmtId="16" fontId="33" fillId="0" borderId="0" applyNumberFormat="1" applyFont="1" applyFill="1" applyAlignment="1">
      <alignment horizontal="left"/>
    </xf>
    <xf numFmtId="169" fontId="34" fillId="3" borderId="0" applyNumberFormat="1" applyFont="1" applyFill="1" applyAlignment="1">
      <alignment textRotation="90" wrapText="1"/>
    </xf>
    <xf numFmtId="0" fontId="47" fillId="0" borderId="0" applyFont="1" applyFill="1"/>
    <xf numFmtId="166" fontId="39" fillId="0" borderId="0" applyNumberFormat="1" applyFont="1" applyFill="1" applyAlignment="1">
      <alignment horizontal="right"/>
    </xf>
    <xf numFmtId="2" fontId="69" fillId="0" borderId="0" applyNumberFormat="1" applyFont="1" applyFill="1"/>
    <xf numFmtId="166" fontId="69" fillId="0" borderId="0" applyNumberFormat="1" applyFont="1" applyFill="1" applyAlignment="1">
      <alignment horizontal="center"/>
    </xf>
    <xf numFmtId="166" fontId="69" fillId="10" borderId="0" applyNumberFormat="1" applyFont="1" applyFill="1" applyAlignment="1">
      <alignment horizontal="center"/>
    </xf>
    <xf numFmtId="2" fontId="69" fillId="10" borderId="0" applyNumberFormat="1" applyFont="1" applyFill="1" applyAlignment="1">
      <alignment horizontal="center"/>
    </xf>
    <xf numFmtId="2" fontId="69" fillId="0" borderId="0" applyNumberFormat="1" applyFont="1" applyFill="1" applyAlignment="1">
      <alignment horizontal="center"/>
    </xf>
    <xf numFmtId="166" fontId="69" fillId="3" borderId="0" applyNumberFormat="1" applyFont="1" applyFill="1" applyAlignment="1">
      <alignment horizontal="center" vertical="center"/>
    </xf>
    <xf numFmtId="0" fontId="69" fillId="3" borderId="0" applyFont="1" applyFill="1"/>
    <xf numFmtId="0" fontId="1" fillId="0" borderId="0" applyFont="1" applyFill="1" applyAlignment="1">
      <alignment horizontal="right"/>
    </xf>
    <xf numFmtId="0" fontId="69" fillId="3" borderId="0" applyFont="1" applyFill="1" applyAlignment="1">
      <alignment horizontal="center" vertical="center"/>
    </xf>
    <xf numFmtId="167" fontId="69" fillId="3" borderId="0" applyNumberFormat="1" applyFont="1" applyFill="1" applyAlignment="1">
      <alignment horizontal="center" vertical="center"/>
    </xf>
    <xf numFmtId="0" fontId="36" fillId="0" borderId="0" applyFont="1" applyFill="1"/>
    <xf numFmtId="165" fontId="69" fillId="10" borderId="0" applyNumberFormat="1" applyFont="1" applyFill="1" applyAlignment="1">
      <alignment horizontal="center"/>
    </xf>
    <xf numFmtId="0" fontId="69" fillId="10" borderId="0" applyFont="1" applyFill="1" applyAlignment="1">
      <alignment horizontal="center"/>
    </xf>
    <xf numFmtId="17" fontId="69" fillId="10" borderId="0" applyNumberFormat="1" applyFont="1" applyFill="1" applyAlignment="1">
      <alignment horizontal="center"/>
    </xf>
    <xf numFmtId="0" fontId="69" fillId="10" borderId="0" applyFont="1" applyFill="1" applyAlignment="1">
      <alignment horizontal="center" vertical="center"/>
    </xf>
    <xf numFmtId="167" fontId="69" fillId="10" borderId="0" applyNumberFormat="1" applyFont="1" applyFill="1" applyAlignment="1">
      <alignment horizontal="center"/>
    </xf>
    <xf numFmtId="167" fontId="69" fillId="10" borderId="0" applyNumberFormat="1" applyFont="1" applyFill="1" applyAlignment="1">
      <alignment horizontal="center"/>
    </xf>
    <xf numFmtId="167" fontId="69" fillId="10" borderId="0" applyNumberFormat="1" applyFont="1" applyFill="1" applyAlignment="1">
      <alignment horizontal="center" vertical="center"/>
    </xf>
    <xf numFmtId="17" fontId="42" fillId="10" borderId="0" applyNumberFormat="1" applyFont="1" applyFill="1" applyAlignment="1">
      <alignment horizontal="left"/>
    </xf>
    <xf numFmtId="167" fontId="1" fillId="10" borderId="0" applyNumberFormat="1" applyFont="1" applyFill="1"/>
    <xf numFmtId="167" fontId="42" fillId="10" borderId="0" applyNumberFormat="1" applyFont="1" applyFill="1" applyAlignment="1">
      <alignment horizontal="left"/>
    </xf>
    <xf numFmtId="165" fontId="69" fillId="10" borderId="0" applyNumberFormat="1" applyFont="1" applyFill="1" applyAlignment="1">
      <alignment horizontal="right"/>
    </xf>
    <xf numFmtId="0" fontId="1" fillId="10" borderId="0" applyFont="1" applyFill="1"/>
    <xf numFmtId="0" fontId="1" fillId="3" borderId="0" applyFont="1" applyFill="1" applyBorder="1"/>
    <xf numFmtId="0" fontId="1" fillId="0" borderId="0" applyFont="1" applyFill="1" applyAlignment="1">
      <alignment horizontal="right"/>
    </xf>
    <xf numFmtId="0" fontId="40" fillId="0" borderId="0" applyFont="1" applyFill="1"/>
    <xf numFmtId="0" fontId="50" fillId="0" borderId="0" applyFont="1" applyFill="1"/>
    <xf numFmtId="0" fontId="45" fillId="0" borderId="0" applyFont="1" applyFill="1" applyAlignment="1">
      <alignment horizontal="center"/>
    </xf>
    <xf numFmtId="0" fontId="51" fillId="0" borderId="0" applyFont="1" applyFill="1"/>
    <xf numFmtId="0" fontId="52" fillId="0" borderId="0" applyFont="1" applyFill="1"/>
    <xf numFmtId="0" fontId="53" fillId="0" borderId="0" applyFont="1" applyFill="1" applyAlignment="1">
      <alignment horizontal="center"/>
    </xf>
    <xf numFmtId="0" fontId="42" fillId="0" borderId="13" applyFont="1" applyFill="1" applyBorder="1" applyAlignment="1">
      <alignment horizontal="right"/>
    </xf>
    <xf numFmtId="0" fontId="42" fillId="6" borderId="14" applyFont="1" applyFill="1" applyBorder="1" applyAlignment="1">
      <alignment horizontal="right"/>
    </xf>
    <xf numFmtId="166" fontId="1" fillId="6" borderId="0" applyNumberFormat="1" applyFont="1" applyFill="1" applyBorder="1" applyAlignment="1">
      <alignment horizontal="center"/>
    </xf>
    <xf numFmtId="0" fontId="33" fillId="3" borderId="0" applyFont="1" applyFill="1" applyAlignment="1">
      <alignment horizontal="right"/>
    </xf>
    <xf numFmtId="0" fontId="42" fillId="0" borderId="15" applyFont="1" applyFill="1" applyBorder="1" applyAlignment="1">
      <alignment horizontal="right"/>
    </xf>
    <xf numFmtId="0" fontId="42" fillId="0" borderId="0" applyFont="1" applyFill="1"/>
    <xf numFmtId="166" fontId="42" fillId="0" borderId="0" applyNumberFormat="1" applyFont="1" applyFill="1"/>
    <xf numFmtId="2" fontId="1" fillId="6" borderId="0" applyNumberFormat="1" applyFont="1" applyFill="1" applyBorder="1" applyAlignment="1">
      <alignment horizontal="center"/>
    </xf>
    <xf numFmtId="0" fontId="54" fillId="0" borderId="0" applyFont="1" applyFill="1"/>
    <xf numFmtId="1" fontId="69" fillId="0" borderId="0" applyNumberFormat="1" applyFont="1" applyFill="1" applyAlignment="1">
      <alignment horizontal="left"/>
    </xf>
    <xf numFmtId="0" fontId="50" fillId="3" borderId="0" applyFont="1" applyFill="1"/>
    <xf numFmtId="0" fontId="22" fillId="0" borderId="0" applyFont="1" applyFill="1" applyAlignment="1">
      <alignment vertical="top"/>
    </xf>
    <xf numFmtId="0" fontId="34" fillId="0" borderId="0" applyFont="1" applyFill="1" applyAlignment="1">
      <alignment vertical="top" wrapText="1"/>
    </xf>
    <xf numFmtId="166" fontId="38" fillId="3" borderId="0" applyNumberFormat="1" applyFont="1" applyFill="1" applyAlignment="1">
      <alignment horizontal="center"/>
    </xf>
    <xf numFmtId="0" fontId="1" fillId="0" borderId="19" applyFont="1" applyFill="1" applyBorder="1"/>
    <xf numFmtId="0" fontId="1" fillId="0" borderId="20" applyFont="1" applyFill="1" applyBorder="1"/>
    <xf numFmtId="0" fontId="36" fillId="0" borderId="0" applyFont="1" applyFill="1" applyAlignment="1">
      <alignment horizontal="right"/>
    </xf>
    <xf numFmtId="0" fontId="1" fillId="6" borderId="0" applyFont="1" applyFill="1"/>
    <xf numFmtId="166" fontId="1" fillId="0" borderId="0" applyNumberFormat="1" applyFont="1" applyFill="1"/>
    <xf numFmtId="166" fontId="1" fillId="6" borderId="0" applyNumberFormat="1" applyFont="1" applyFill="1"/>
    <xf numFmtId="0" fontId="50" fillId="3" borderId="0" applyFont="1" applyFill="1" applyAlignment="1">
      <alignment horizontal="right" vertical="center"/>
    </xf>
    <xf numFmtId="165" fontId="1" fillId="6" borderId="0" applyNumberFormat="1" applyFont="1" applyFill="1"/>
    <xf numFmtId="165" fontId="1" fillId="6" borderId="20" applyNumberFormat="1" applyFont="1" applyFill="1" applyBorder="1"/>
    <xf numFmtId="166" fontId="36" fillId="0" borderId="0" applyNumberFormat="1" applyFont="1" applyFill="1"/>
    <xf numFmtId="166" fontId="36" fillId="0" borderId="20" applyNumberFormat="1" applyFont="1" applyFill="1" applyBorder="1"/>
    <xf numFmtId="167" fontId="1" fillId="6" borderId="0" applyNumberFormat="1" applyFont="1" applyFill="1"/>
    <xf numFmtId="0" fontId="1" fillId="0" borderId="20" applyFont="1" applyFill="1" applyBorder="1" applyAlignment="1">
      <alignment horizontal="right"/>
    </xf>
    <xf numFmtId="0" fontId="36" fillId="0" borderId="19" applyFont="1" applyFill="1" applyBorder="1" applyAlignment="1">
      <alignment horizontal="right"/>
    </xf>
    <xf numFmtId="166" fontId="1" fillId="0" borderId="19" applyNumberFormat="1" applyFont="1" applyFill="1" applyBorder="1" applyAlignment="1">
      <alignment horizontal="right"/>
    </xf>
    <xf numFmtId="0" fontId="1" fillId="0" borderId="19" applyFont="1" applyFill="1" applyBorder="1" applyAlignment="1">
      <alignment horizontal="right"/>
    </xf>
    <xf numFmtId="0" fontId="36" fillId="0" borderId="21" applyFont="1" applyFill="1" applyBorder="1" applyAlignment="1">
      <alignment horizontal="right"/>
    </xf>
    <xf numFmtId="166" fontId="36" fillId="0" borderId="0" applyNumberFormat="1" applyFont="1" applyFill="1" applyAlignment="1">
      <alignment horizontal="right"/>
    </xf>
    <xf numFmtId="166" fontId="1" fillId="0" borderId="0" applyNumberFormat="1" applyFont="1" applyFill="1" applyAlignment="1">
      <alignment horizontal="right"/>
    </xf>
    <xf numFmtId="166" fontId="36" fillId="0" borderId="20" applyNumberFormat="1" applyFont="1" applyFill="1" applyBorder="1" applyAlignment="1">
      <alignment horizontal="right"/>
    </xf>
    <xf numFmtId="0" fontId="36" fillId="3" borderId="0" applyFont="1" applyFill="1" applyAlignment="1">
      <alignment horizontal="right"/>
    </xf>
    <xf numFmtId="0" fontId="42" fillId="0" borderId="0" applyFont="1" applyFill="1" applyAlignment="1">
      <alignment horizontal="right"/>
    </xf>
    <xf numFmtId="0" fontId="44" fillId="10" borderId="14" applyFont="1" applyFill="1" applyBorder="1" applyAlignment="1">
      <alignment horizontal="right"/>
    </xf>
    <xf numFmtId="4" fontId="69" fillId="3" borderId="0" applyNumberFormat="1" applyFont="1" applyFill="1" applyAlignment="1">
      <alignment horizontal="center"/>
    </xf>
    <xf numFmtId="4" fontId="69" fillId="10" borderId="0" applyNumberFormat="1" applyFont="1" applyFill="1" applyAlignment="1">
      <alignment horizontal="center"/>
    </xf>
    <xf numFmtId="4" fontId="69" fillId="3" borderId="0" applyNumberFormat="1" applyFont="1" applyFill="1" applyAlignment="1">
      <alignment horizontal="right"/>
    </xf>
    <xf numFmtId="4" fontId="69" fillId="10" borderId="0" applyNumberFormat="1" applyFont="1" applyFill="1" applyAlignment="1">
      <alignment horizontal="right"/>
    </xf>
    <xf numFmtId="0" fontId="40" fillId="3" borderId="0" applyFont="1" applyFill="1" applyAlignment="1">
      <alignment horizontal="right"/>
    </xf>
    <xf numFmtId="0" fontId="40" fillId="0" borderId="0" applyFont="1" applyFill="1" applyAlignment="1">
      <alignment horizontal="right"/>
    </xf>
    <xf numFmtId="0" fontId="69" fillId="0" borderId="0" applyFont="1" applyFill="1"/>
    <xf numFmtId="0" fontId="1" fillId="11" borderId="0" applyFont="1" applyFill="1"/>
    <xf numFmtId="0" fontId="37" fillId="11" borderId="0" applyFont="1" applyFill="1"/>
    <xf numFmtId="0" fontId="1" fillId="11" borderId="0" applyFont="1" applyFill="1" applyAlignment="1">
      <alignment horizontal="center"/>
    </xf>
    <xf numFmtId="0" fontId="47" fillId="11" borderId="0" applyFont="1" applyFill="1"/>
    <xf numFmtId="0" fontId="52" fillId="11" borderId="0" applyFont="1" applyFill="1"/>
    <xf numFmtId="0" fontId="54" fillId="11" borderId="0" applyFont="1" applyFill="1"/>
    <xf numFmtId="168" fontId="54" fillId="11" borderId="0" applyNumberFormat="1" applyFont="1" applyFill="1"/>
    <xf numFmtId="0" fontId="1" fillId="11" borderId="0" applyFont="1" applyFill="1"/>
    <xf numFmtId="0" fontId="1" fillId="11" borderId="0" applyFont="1" applyFill="1" applyAlignment="1">
      <alignment horizontal="center"/>
    </xf>
    <xf numFmtId="0" fontId="51" fillId="11" borderId="0" applyFont="1" applyFill="1"/>
    <xf numFmtId="0" fontId="53" fillId="11" borderId="0" applyFont="1" applyFill="1" applyAlignment="1">
      <alignment horizontal="center"/>
    </xf>
    <xf numFmtId="0" fontId="52" fillId="11" borderId="0" applyFont="1" applyFill="1"/>
    <xf numFmtId="0" fontId="30" fillId="11" borderId="0" applyFont="1" applyFill="1"/>
    <xf numFmtId="0" fontId="54" fillId="11" borderId="0" applyFont="1" applyFill="1"/>
    <xf numFmtId="16" fontId="30" fillId="11" borderId="0" applyNumberFormat="1" applyFont="1" applyFill="1"/>
    <xf numFmtId="168" fontId="30" fillId="11" borderId="0" applyNumberFormat="1" applyFont="1" applyFill="1"/>
    <xf numFmtId="0" fontId="58" fillId="11" borderId="0" applyFont="1" applyFill="1" applyAlignment="1">
      <alignment horizontal="right"/>
    </xf>
    <xf numFmtId="0" fontId="69" fillId="11" borderId="0" applyFont="1" applyFill="1"/>
    <xf numFmtId="0" fontId="69" fillId="11" borderId="0" applyFont="1" applyFill="1" applyAlignment="1">
      <alignment horizontal="center"/>
    </xf>
    <xf numFmtId="0" fontId="51" fillId="11" borderId="0" applyFont="1" applyFill="1"/>
    <xf numFmtId="0" fontId="53" fillId="11" borderId="0" applyFont="1" applyFill="1" applyAlignment="1">
      <alignment horizontal="center"/>
    </xf>
    <xf numFmtId="0" fontId="1" fillId="11" borderId="0" applyFont="1" applyFill="1" applyAlignment="1">
      <alignment horizontal="left"/>
    </xf>
    <xf numFmtId="0" fontId="19" fillId="11" borderId="0" applyFont="1" applyFill="1" applyAlignment="1">
      <alignment horizontal="center"/>
    </xf>
    <xf numFmtId="0" fontId="37" fillId="11" borderId="0" applyFont="1" applyFill="1"/>
    <xf numFmtId="170" fontId="42" fillId="11" borderId="0" applyNumberFormat="1" applyFont="1" applyFill="1" applyAlignment="1">
      <alignment wrapText="1"/>
    </xf>
    <xf numFmtId="0" fontId="1" fillId="11" borderId="0" applyFont="1" applyFill="1" applyAlignment="1">
      <alignment wrapText="1"/>
    </xf>
    <xf numFmtId="16" fontId="34" fillId="11" borderId="0" applyNumberFormat="1" applyFont="1" applyFill="1" applyAlignment="1">
      <alignment horizontal="left" textRotation="90" wrapText="1"/>
    </xf>
    <xf numFmtId="166" fontId="38" fillId="11" borderId="0" applyNumberFormat="1" applyFont="1" applyFill="1" applyAlignment="1">
      <alignment horizontal="center"/>
    </xf>
    <xf numFmtId="0" fontId="47" fillId="11" borderId="0" applyFont="1" applyFill="1"/>
    <xf numFmtId="1" fontId="45" fillId="3" borderId="22" applyNumberFormat="1" applyFont="1" applyFill="1" applyBorder="1" applyAlignment="1">
      <alignment horizontal="center"/>
    </xf>
    <xf numFmtId="1" fontId="45" fillId="3" borderId="23" applyNumberFormat="1"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2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29" applyFont="1" applyFill="1" applyBorder="1" applyAlignment="1">
      <alignment horizontal="center"/>
    </xf>
    <xf numFmtId="0" fontId="44" fillId="6" borderId="0" applyFont="1" applyFill="1" applyAlignment="1">
      <alignment horizontal="right"/>
    </xf>
    <xf numFmtId="166" fontId="1" fillId="0" borderId="0" applyNumberFormat="1" applyFont="1" applyFill="1"/>
    <xf numFmtId="0" fontId="53" fillId="0" borderId="22" applyFont="1" applyFill="1" applyBorder="1" applyAlignment="1">
      <alignment horizontal="center"/>
    </xf>
    <xf numFmtId="0" fontId="53" fillId="0" borderId="23" applyFont="1" applyFill="1" applyBorder="1" applyAlignment="1">
      <alignment horizontal="center"/>
    </xf>
    <xf numFmtId="166" fontId="1" fillId="0" borderId="24" applyNumberFormat="1" applyFont="1" applyFill="1" applyBorder="1" applyAlignment="1">
      <alignment horizontal="center"/>
    </xf>
    <xf numFmtId="166" fontId="1" fillId="0" borderId="25" applyNumberFormat="1" applyFont="1" applyFill="1" applyBorder="1" applyAlignment="1">
      <alignment horizontal="center"/>
    </xf>
    <xf numFmtId="166" fontId="1" fillId="0" borderId="26" applyNumberFormat="1" applyFont="1" applyFill="1" applyBorder="1" applyAlignment="1">
      <alignment horizontal="center"/>
    </xf>
    <xf numFmtId="166" fontId="1" fillId="6" borderId="22" applyNumberFormat="1" applyFont="1" applyFill="1" applyBorder="1" applyAlignment="1">
      <alignment horizontal="center"/>
    </xf>
    <xf numFmtId="166" fontId="1" fillId="6" borderId="23" applyNumberFormat="1" applyFont="1" applyFill="1" applyBorder="1" applyAlignment="1">
      <alignment horizontal="center"/>
    </xf>
    <xf numFmtId="166" fontId="1" fillId="0" borderId="27" applyNumberFormat="1" applyFont="1" applyFill="1" applyBorder="1" applyAlignment="1">
      <alignment horizontal="center"/>
    </xf>
    <xf numFmtId="166" fontId="1" fillId="0" borderId="28" applyNumberFormat="1" applyFont="1" applyFill="1" applyBorder="1" applyAlignment="1">
      <alignment horizontal="center"/>
    </xf>
    <xf numFmtId="166" fontId="1" fillId="0" borderId="29" applyNumberFormat="1" applyFont="1" applyFill="1" applyBorder="1" applyAlignment="1">
      <alignment horizontal="center"/>
    </xf>
    <xf numFmtId="2" fontId="1" fillId="0" borderId="24" applyNumberFormat="1" applyFont="1" applyFill="1" applyBorder="1" applyAlignment="1">
      <alignment horizontal="center"/>
    </xf>
    <xf numFmtId="2" fontId="1" fillId="0" borderId="25" applyNumberFormat="1" applyFont="1" applyFill="1" applyBorder="1" applyAlignment="1">
      <alignment horizontal="center"/>
    </xf>
    <xf numFmtId="2" fontId="1" fillId="0" borderId="26" applyNumberFormat="1" applyFont="1" applyFill="1" applyBorder="1" applyAlignment="1">
      <alignment horizontal="center"/>
    </xf>
    <xf numFmtId="2" fontId="1" fillId="6" borderId="22" applyNumberFormat="1" applyFont="1" applyFill="1" applyBorder="1" applyAlignment="1">
      <alignment horizontal="center"/>
    </xf>
    <xf numFmtId="2" fontId="1" fillId="6" borderId="23" applyNumberFormat="1" applyFont="1" applyFill="1" applyBorder="1" applyAlignment="1">
      <alignment horizontal="center"/>
    </xf>
    <xf numFmtId="0" fontId="36" fillId="6" borderId="30" applyFont="1" applyFill="1" applyBorder="1"/>
    <xf numFmtId="0" fontId="36" fillId="6" borderId="31" applyFont="1" applyFill="1" applyBorder="1"/>
    <xf numFmtId="0" fontId="36" fillId="6" borderId="32" applyFont="1" applyFill="1" applyBorder="1"/>
    <xf numFmtId="166" fontId="1" fillId="0" borderId="33" applyNumberFormat="1" applyFont="1" applyFill="1" applyBorder="1" applyAlignment="1">
      <alignment horizontal="center"/>
    </xf>
    <xf numFmtId="166" fontId="1" fillId="6" borderId="34" applyNumberFormat="1" applyFont="1" applyFill="1" applyBorder="1" applyAlignment="1">
      <alignment horizontal="center"/>
    </xf>
    <xf numFmtId="166" fontId="1" fillId="0" borderId="35" applyNumberFormat="1" applyFont="1" applyFill="1" applyBorder="1" applyAlignment="1">
      <alignment horizontal="center"/>
    </xf>
    <xf numFmtId="2" fontId="1" fillId="0" borderId="33" applyNumberFormat="1" applyFont="1" applyFill="1" applyBorder="1" applyAlignment="1">
      <alignment horizontal="center"/>
    </xf>
    <xf numFmtId="2" fontId="1" fillId="6" borderId="34" applyNumberFormat="1" applyFont="1" applyFill="1" applyBorder="1" applyAlignment="1">
      <alignment horizontal="center"/>
    </xf>
    <xf numFmtId="0" fontId="52" fillId="0" borderId="33" applyFont="1" applyFill="1" applyBorder="1" applyAlignment="1">
      <alignment horizontal="center"/>
    </xf>
    <xf numFmtId="0" fontId="52" fillId="0" borderId="35"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3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37" applyFont="1" applyFill="1" applyBorder="1" applyAlignment="1">
      <alignment horizontal="center"/>
    </xf>
    <xf numFmtId="0" fontId="52" fillId="0" borderId="24" applyFont="1" applyFill="1" applyBorder="1" applyAlignment="1">
      <alignment horizontal="center"/>
    </xf>
    <xf numFmtId="0" fontId="52" fillId="0" borderId="25" applyFont="1" applyFill="1" applyBorder="1" applyAlignment="1">
      <alignment horizontal="center"/>
    </xf>
    <xf numFmtId="0" fontId="52" fillId="0" borderId="26" applyFont="1" applyFill="1" applyBorder="1" applyAlignment="1">
      <alignment horizontal="center"/>
    </xf>
    <xf numFmtId="0" fontId="52" fillId="0" borderId="27" applyFont="1" applyFill="1" applyBorder="1" applyAlignment="1">
      <alignment horizontal="center"/>
    </xf>
    <xf numFmtId="0" fontId="52" fillId="0" borderId="28" applyFont="1" applyFill="1" applyBorder="1" applyAlignment="1">
      <alignment horizontal="center"/>
    </xf>
    <xf numFmtId="0" fontId="52" fillId="0" borderId="29" applyFont="1" applyFill="1" applyBorder="1" applyAlignment="1">
      <alignment horizontal="center"/>
    </xf>
    <xf numFmtId="0" fontId="53" fillId="0" borderId="22" applyFont="1" applyFill="1" applyBorder="1" applyAlignment="1">
      <alignment horizontal="center"/>
    </xf>
    <xf numFmtId="0" fontId="53" fillId="0" borderId="6" applyFont="1" applyFill="1" applyBorder="1" applyAlignment="1">
      <alignment horizontal="center"/>
    </xf>
    <xf numFmtId="0" fontId="52" fillId="0" borderId="22" applyFont="1" applyFill="1" applyBorder="1" applyAlignment="1">
      <alignment horizontal="center"/>
    </xf>
    <xf numFmtId="0" fontId="52" fillId="0" borderId="0" applyFont="1" applyFill="1" applyAlignment="1">
      <alignment horizontal="center"/>
    </xf>
    <xf numFmtId="0" fontId="52" fillId="0" borderId="23"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37" applyNumberFormat="1" applyFont="1" applyFill="1" applyBorder="1" applyAlignment="1">
      <alignment horizontal="center"/>
    </xf>
    <xf numFmtId="166" fontId="69" fillId="10" borderId="29" applyNumberFormat="1" applyFont="1" applyFill="1" applyBorder="1" applyAlignment="1">
      <alignment horizontal="center"/>
    </xf>
    <xf numFmtId="1" fontId="69" fillId="10" borderId="27" applyNumberFormat="1" applyFont="1" applyFill="1" applyBorder="1" applyAlignment="1">
      <alignment horizontal="center"/>
    </xf>
    <xf numFmtId="1" fontId="69" fillId="10" borderId="28" applyNumberFormat="1" applyFont="1" applyFill="1" applyBorder="1" applyAlignment="1">
      <alignment horizontal="center"/>
    </xf>
    <xf numFmtId="1" fontId="69" fillId="10" borderId="29" applyNumberFormat="1" applyFont="1" applyFill="1" applyBorder="1" applyAlignment="1">
      <alignment horizontal="center"/>
    </xf>
    <xf numFmtId="0" fontId="51" fillId="0" borderId="38" applyFont="1" applyFill="1" applyBorder="1"/>
    <xf numFmtId="0" fontId="53" fillId="0" borderId="7" applyFont="1" applyFill="1" applyBorder="1" applyAlignment="1">
      <alignment horizontal="center"/>
    </xf>
    <xf numFmtId="166" fontId="69" fillId="10" borderId="39" applyNumberFormat="1" applyFont="1" applyFill="1" applyBorder="1" applyAlignment="1">
      <alignment horizontal="center"/>
    </xf>
    <xf numFmtId="0" fontId="31" fillId="0" borderId="30" applyFont="1" applyFill="1" applyBorder="1" applyAlignment="1">
      <alignment horizontal="center" wrapText="1"/>
    </xf>
    <xf numFmtId="0" fontId="31" fillId="0" borderId="31" applyFont="1" applyFill="1" applyBorder="1" applyAlignment="1">
      <alignment horizontal="center" wrapText="1"/>
    </xf>
    <xf numFmtId="0" fontId="31" fillId="0" borderId="32" applyFont="1" applyFill="1" applyBorder="1" applyAlignment="1">
      <alignment horizontal="center" wrapText="1"/>
    </xf>
    <xf numFmtId="0" fontId="42" fillId="0" borderId="24" applyFont="1" applyFill="1" applyBorder="1" applyAlignment="1">
      <alignment horizontal="center"/>
    </xf>
    <xf numFmtId="0" fontId="42" fillId="0" borderId="26" applyFont="1" applyFill="1" applyBorder="1" applyAlignment="1">
      <alignment horizontal="center"/>
    </xf>
    <xf numFmtId="0" fontId="42" fillId="10" borderId="22" applyFont="1" applyFill="1" applyBorder="1" applyAlignment="1">
      <alignment horizontal="center"/>
    </xf>
    <xf numFmtId="0" fontId="42" fillId="10" borderId="23" applyFont="1" applyFill="1" applyBorder="1" applyAlignment="1">
      <alignment horizontal="center"/>
    </xf>
    <xf numFmtId="0" fontId="42" fillId="0" borderId="22" applyFont="1" applyFill="1" applyBorder="1" applyAlignment="1">
      <alignment horizontal="center"/>
    </xf>
    <xf numFmtId="0" fontId="42" fillId="0" borderId="23" applyFont="1" applyFill="1" applyBorder="1" applyAlignment="1">
      <alignment horizontal="center"/>
    </xf>
    <xf numFmtId="0" fontId="42" fillId="10" borderId="27" applyFont="1" applyFill="1" applyBorder="1" applyAlignment="1">
      <alignment horizontal="center"/>
    </xf>
    <xf numFmtId="0" fontId="42" fillId="10" borderId="29" applyFont="1" applyFill="1" applyBorder="1" applyAlignment="1">
      <alignment horizontal="center"/>
    </xf>
    <xf numFmtId="0" fontId="42" fillId="0" borderId="25" applyFont="1" applyFill="1" applyBorder="1" applyAlignment="1">
      <alignment horizontal="center"/>
    </xf>
    <xf numFmtId="0" fontId="42" fillId="10" borderId="0" applyFont="1" applyFill="1" applyAlignment="1">
      <alignment horizontal="center"/>
    </xf>
    <xf numFmtId="0" fontId="42" fillId="0" borderId="0" applyFont="1" applyFill="1" applyAlignment="1">
      <alignment horizontal="center"/>
    </xf>
    <xf numFmtId="0" fontId="42" fillId="10" borderId="28" applyFont="1" applyFill="1" applyBorder="1" applyAlignment="1">
      <alignment horizontal="center"/>
    </xf>
    <xf numFmtId="166" fontId="69" fillId="0" borderId="24" applyNumberFormat="1" applyFont="1" applyFill="1" applyBorder="1" applyAlignment="1">
      <alignment horizontal="center"/>
    </xf>
    <xf numFmtId="166" fontId="69" fillId="0" borderId="25" applyNumberFormat="1" applyFont="1" applyFill="1" applyBorder="1" applyAlignment="1">
      <alignment horizontal="center"/>
    </xf>
    <xf numFmtId="166" fontId="69" fillId="0" borderId="26" applyNumberFormat="1"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0" borderId="22" applyNumberFormat="1" applyFont="1" applyFill="1" applyBorder="1" applyAlignment="1">
      <alignment horizontal="center"/>
    </xf>
    <xf numFmtId="166" fontId="69" fillId="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29" applyNumberFormat="1" applyFont="1" applyFill="1" applyBorder="1" applyAlignment="1">
      <alignment horizontal="center"/>
    </xf>
    <xf numFmtId="166" fontId="69" fillId="0" borderId="27" applyNumberFormat="1" applyFont="1" applyFill="1" applyBorder="1" applyAlignment="1">
      <alignment horizontal="center"/>
    </xf>
    <xf numFmtId="166" fontId="69" fillId="0" borderId="28" applyNumberFormat="1" applyFont="1" applyFill="1" applyBorder="1" applyAlignment="1">
      <alignment horizontal="center"/>
    </xf>
    <xf numFmtId="166" fontId="69" fillId="0" borderId="29" applyNumberFormat="1" applyFont="1" applyFill="1" applyBorder="1" applyAlignment="1">
      <alignment horizontal="center"/>
    </xf>
    <xf numFmtId="2" fontId="69" fillId="10" borderId="30" applyNumberFormat="1" applyFont="1" applyFill="1" applyBorder="1" applyAlignment="1">
      <alignment horizontal="center"/>
    </xf>
    <xf numFmtId="2" fontId="69" fillId="10" borderId="31" applyNumberFormat="1" applyFont="1" applyFill="1" applyBorder="1" applyAlignment="1">
      <alignment horizontal="center"/>
    </xf>
    <xf numFmtId="2" fontId="69" fillId="10" borderId="40"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10" borderId="41" applyNumberFormat="1" applyFont="1" applyFill="1" applyBorder="1" applyAlignment="1">
      <alignment horizontal="center"/>
    </xf>
    <xf numFmtId="0" fontId="53" fillId="0" borderId="39" applyFont="1" applyFill="1" applyBorder="1" applyAlignment="1">
      <alignment horizontal="center"/>
    </xf>
    <xf numFmtId="2" fontId="69" fillId="0" borderId="24" applyNumberFormat="1" applyFont="1" applyFill="1" applyBorder="1" applyAlignment="1">
      <alignment horizontal="center"/>
    </xf>
    <xf numFmtId="2" fontId="69" fillId="0" borderId="26"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0" borderId="22" applyNumberFormat="1" applyFont="1" applyFill="1" applyBorder="1" applyAlignment="1">
      <alignment horizontal="center"/>
    </xf>
    <xf numFmtId="2" fontId="69" fillId="0" borderId="23" applyNumberFormat="1" applyFont="1" applyFill="1" applyBorder="1" applyAlignment="1">
      <alignment horizontal="center"/>
    </xf>
    <xf numFmtId="2" fontId="69" fillId="10" borderId="27" applyNumberFormat="1" applyFont="1" applyFill="1" applyBorder="1" applyAlignment="1">
      <alignment horizontal="center"/>
    </xf>
    <xf numFmtId="2" fontId="69" fillId="10" borderId="29" applyNumberFormat="1" applyFont="1" applyFill="1" applyBorder="1" applyAlignment="1">
      <alignment horizontal="center"/>
    </xf>
    <xf numFmtId="2" fontId="69" fillId="0" borderId="25" applyNumberFormat="1" applyFont="1" applyFill="1" applyBorder="1" applyAlignment="1">
      <alignment horizontal="center"/>
    </xf>
    <xf numFmtId="2" fontId="69" fillId="10" borderId="28" applyNumberFormat="1" applyFont="1" applyFill="1" applyBorder="1" applyAlignment="1">
      <alignment horizontal="center"/>
    </xf>
    <xf numFmtId="2" fontId="69" fillId="0" borderId="27" applyNumberFormat="1" applyFont="1" applyFill="1" applyBorder="1" applyAlignment="1">
      <alignment horizontal="center"/>
    </xf>
    <xf numFmtId="2" fontId="69" fillId="0" borderId="28" applyNumberFormat="1" applyFont="1" applyFill="1" applyBorder="1" applyAlignment="1">
      <alignment horizontal="center"/>
    </xf>
    <xf numFmtId="2" fontId="69" fillId="0" borderId="29" applyNumberFormat="1" applyFont="1" applyFill="1" applyBorder="1" applyAlignment="1">
      <alignment horizontal="center"/>
    </xf>
    <xf numFmtId="0" fontId="46" fillId="3" borderId="0" applyFont="1" applyFill="1"/>
    <xf numFmtId="0" fontId="45" fillId="3" borderId="33" applyFont="1" applyFill="1" applyBorder="1" applyAlignment="1">
      <alignment horizontal="center"/>
    </xf>
    <xf numFmtId="0" fontId="45" fillId="6" borderId="34" applyFont="1" applyFill="1" applyBorder="1" applyAlignment="1">
      <alignment horizontal="center"/>
    </xf>
    <xf numFmtId="0" fontId="45" fillId="3" borderId="34" applyFont="1" applyFill="1" applyBorder="1" applyAlignment="1">
      <alignment horizontal="center"/>
    </xf>
    <xf numFmtId="0" fontId="45" fillId="6" borderId="35" applyFont="1" applyFill="1" applyBorder="1" applyAlignment="1">
      <alignment horizontal="center"/>
    </xf>
    <xf numFmtId="1" fontId="45" fillId="3" borderId="24" applyNumberFormat="1" applyFont="1" applyFill="1" applyBorder="1" applyAlignment="1">
      <alignment horizontal="center"/>
    </xf>
    <xf numFmtId="1" fontId="45" fillId="3" borderId="25" applyNumberFormat="1" applyFont="1" applyFill="1" applyBorder="1" applyAlignment="1">
      <alignment horizontal="center"/>
    </xf>
    <xf numFmtId="1" fontId="45" fillId="3" borderId="26" applyNumberFormat="1" applyFont="1" applyFill="1" applyBorder="1" applyAlignment="1">
      <alignment horizontal="center"/>
    </xf>
    <xf numFmtId="1" fontId="45" fillId="6" borderId="22" applyNumberFormat="1" applyFont="1" applyFill="1" applyBorder="1" applyAlignment="1">
      <alignment horizontal="center"/>
    </xf>
    <xf numFmtId="1" fontId="45" fillId="6" borderId="23" applyNumberFormat="1" applyFont="1" applyFill="1" applyBorder="1" applyAlignment="1">
      <alignment horizontal="center"/>
    </xf>
    <xf numFmtId="1" fontId="45" fillId="6" borderId="27" applyNumberFormat="1" applyFont="1" applyFill="1" applyBorder="1" applyAlignment="1">
      <alignment horizontal="center"/>
    </xf>
    <xf numFmtId="1" fontId="45" fillId="6" borderId="28" applyNumberFormat="1" applyFont="1" applyFill="1" applyBorder="1" applyAlignment="1">
      <alignment horizontal="center"/>
    </xf>
    <xf numFmtId="1" fontId="45" fillId="6" borderId="29" applyNumberFormat="1" applyFont="1" applyFill="1" applyBorder="1" applyAlignment="1">
      <alignment horizontal="center"/>
    </xf>
    <xf numFmtId="1" fontId="45" fillId="3" borderId="36" applyNumberFormat="1" applyFont="1" applyFill="1" applyBorder="1" applyAlignment="1">
      <alignment horizontal="center"/>
    </xf>
    <xf numFmtId="1" fontId="45" fillId="3" borderId="38" applyNumberFormat="1" applyFont="1" applyFill="1" applyBorder="1" applyAlignment="1">
      <alignment horizontal="center"/>
    </xf>
    <xf numFmtId="1" fontId="45" fillId="6" borderId="37" applyNumberFormat="1" applyFont="1" applyFill="1" applyBorder="1" applyAlignment="1">
      <alignment horizontal="center"/>
    </xf>
    <xf numFmtId="1" fontId="45" fillId="6" borderId="39" applyNumberFormat="1" applyFont="1" applyFill="1" applyBorder="1" applyAlignment="1">
      <alignment horizontal="center"/>
    </xf>
    <xf numFmtId="0" fontId="42" fillId="0" borderId="14" applyFont="1" applyFill="1" applyBorder="1" applyAlignment="1">
      <alignment horizontal="right"/>
    </xf>
    <xf numFmtId="0" fontId="32" fillId="0" borderId="0" applyFont="1" applyFill="1"/>
    <xf numFmtId="17" fontId="42" fillId="0" borderId="0" applyNumberFormat="1" applyFont="1" applyFill="1" applyAlignment="1">
      <alignment horizontal="left"/>
    </xf>
    <xf numFmtId="0" fontId="1" fillId="12" borderId="0" applyFont="1" applyFill="1"/>
    <xf numFmtId="0" fontId="62" fillId="12" borderId="0" applyFont="1" applyFill="1" applyAlignment="1">
      <alignment horizontal="right"/>
    </xf>
    <xf numFmtId="0" fontId="63" fillId="12" borderId="0" applyFont="1" applyFill="1" applyAlignment="1">
      <alignment horizontal="left" vertical="top"/>
    </xf>
    <xf numFmtId="0" fontId="64" fillId="12" borderId="0" applyFont="1" applyFill="1" applyAlignment="1">
      <alignment horizontal="right"/>
    </xf>
    <xf numFmtId="0" fontId="65" fillId="12" borderId="0" applyFont="1" applyFill="1"/>
    <xf numFmtId="0" fontId="63" fillId="12" borderId="0" applyFont="1" applyFill="1"/>
    <xf numFmtId="0" fontId="65" fillId="12" borderId="0" applyFont="1" applyFill="1" applyAlignment="1">
      <alignment wrapText="1"/>
    </xf>
    <xf numFmtId="0" fontId="66" fillId="12" borderId="0" applyFont="1" applyFill="1"/>
    <xf numFmtId="0" fontId="69" fillId="12" borderId="0" applyFont="1" applyFill="1"/>
    <xf numFmtId="0" fontId="36" fillId="12" borderId="0" applyFont="1" applyFill="1"/>
    <xf numFmtId="0" fontId="55" fillId="12" borderId="1" applyFont="1" applyFill="1" applyBorder="1"/>
    <xf numFmtId="0" fontId="55" fillId="12" borderId="30" applyFont="1" applyFill="1" applyBorder="1"/>
    <xf numFmtId="0" fontId="56" fillId="12" borderId="1" applyFont="1" applyFill="1" applyBorder="1" applyAlignment="1">
      <alignment horizontal="center"/>
    </xf>
    <xf numFmtId="0" fontId="1" fillId="12" borderId="0" applyFont="1" applyFill="1" applyAlignment="1">
      <alignment horizontal="right"/>
    </xf>
    <xf numFmtId="0" fontId="63" fillId="12" borderId="0" applyFont="1" applyFill="1" applyAlignment="1">
      <alignment horizontal="right" vertical="top"/>
    </xf>
    <xf numFmtId="0" fontId="65" fillId="12" borderId="0" applyFont="1" applyFill="1" applyAlignment="1">
      <alignment horizontal="right"/>
    </xf>
    <xf numFmtId="0" fontId="54" fillId="12" borderId="0" applyFont="1" applyFill="1" applyAlignment="1">
      <alignment horizontal="right"/>
    </xf>
    <xf numFmtId="0" fontId="63" fillId="12" borderId="0" applyFont="1" applyFill="1" applyAlignment="1">
      <alignment horizontal="right"/>
    </xf>
    <xf numFmtId="0" fontId="1" fillId="11" borderId="0" applyFont="1" applyFill="1" applyAlignment="1">
      <alignment horizontal="right"/>
    </xf>
    <xf numFmtId="0" fontId="33" fillId="3" borderId="0" applyFont="1" applyFill="1" applyAlignment="1">
      <alignment horizontal="centerContinuous"/>
    </xf>
    <xf numFmtId="0" fontId="34" fillId="11" borderId="0" applyFont="1" applyFill="1"/>
    <xf numFmtId="0" fontId="54" fillId="12" borderId="0" applyFont="1" applyFill="1" applyAlignment="1">
      <alignment horizontal="left" vertical="top"/>
    </xf>
    <xf numFmtId="0" fontId="68" fillId="12" borderId="0" applyFont="1" applyFill="1"/>
    <xf numFmtId="0" fontId="63" fillId="12" borderId="0" applyFont="1" applyFill="1" applyAlignment="1">
      <alignment vertical="top"/>
    </xf>
    <xf numFmtId="0" fontId="34" fillId="12" borderId="0" applyFont="1" applyFill="1" applyAlignment="1">
      <alignment horizontal="right" vertical="top"/>
    </xf>
    <xf numFmtId="0" fontId="69" fillId="3" borderId="0" applyFont="1" applyFill="1" applyAlignment="1">
      <alignment horizontal="left"/>
    </xf>
    <xf numFmtId="0" fontId="73" fillId="0" borderId="0" applyFont="1" applyFill="1"/>
    <xf numFmtId="0" fontId="76" fillId="0" borderId="0" applyFont="1" applyFill="1"/>
    <xf numFmtId="0" fontId="77" fillId="0" borderId="0" applyFont="1" applyFill="1"/>
    <xf numFmtId="0" fontId="75" fillId="0" borderId="0" applyFont="1" applyFill="1" applyAlignment="1">
      <alignment vertical="top"/>
    </xf>
    <xf numFmtId="0" fontId="78" fillId="0" borderId="0" applyFont="1" applyFill="1"/>
    <xf numFmtId="0" fontId="79" fillId="0" borderId="0" applyFont="1" applyFill="1"/>
    <xf numFmtId="0" fontId="79" fillId="0" borderId="0" applyFont="1" applyFill="1" applyAlignment="1">
      <alignment vertical="top" wrapText="1"/>
    </xf>
    <xf numFmtId="0" fontId="73" fillId="0" borderId="0" applyFont="1" applyFill="1" applyAlignment="1">
      <alignment vertical="top" wrapText="1"/>
    </xf>
    <xf numFmtId="0" fontId="35" fillId="3" borderId="0" applyFont="1" applyFill="1" applyAlignment="1">
      <alignment vertical="center"/>
    </xf>
    <xf numFmtId="0" fontId="71" fillId="0" borderId="0" applyFont="1" applyFill="1" applyAlignment="1">
      <alignment vertical="top"/>
    </xf>
    <xf numFmtId="0" fontId="72" fillId="0" borderId="0" applyFont="1" applyFill="1" applyAlignment="1">
      <alignment vertical="top"/>
    </xf>
    <xf numFmtId="166" fontId="69" fillId="13" borderId="24" applyNumberFormat="1" applyFont="1" applyFill="1" applyBorder="1" applyAlignment="1">
      <alignment horizontal="center"/>
    </xf>
    <xf numFmtId="166" fontId="69" fillId="13" borderId="25" applyNumberFormat="1" applyFont="1" applyFill="1" applyBorder="1" applyAlignment="1">
      <alignment horizontal="center"/>
    </xf>
    <xf numFmtId="166" fontId="69" fillId="13" borderId="36" applyNumberFormat="1" applyFont="1" applyFill="1" applyBorder="1" applyAlignment="1">
      <alignment horizontal="center"/>
    </xf>
    <xf numFmtId="166" fontId="69" fillId="13" borderId="38" applyNumberFormat="1" applyFont="1" applyFill="1" applyBorder="1" applyAlignment="1">
      <alignment horizontal="center"/>
    </xf>
    <xf numFmtId="166" fontId="69" fillId="13" borderId="0" applyNumberFormat="1" applyFont="1" applyFill="1"/>
    <xf numFmtId="166" fontId="69" fillId="13" borderId="26" applyNumberFormat="1" applyFont="1" applyFill="1" applyBorder="1" applyAlignment="1">
      <alignment horizontal="center"/>
    </xf>
    <xf numFmtId="166" fontId="69" fillId="13" borderId="27" applyNumberFormat="1" applyFont="1" applyFill="1" applyBorder="1" applyAlignment="1">
      <alignment horizontal="center"/>
    </xf>
    <xf numFmtId="166" fontId="69" fillId="13" borderId="28" applyNumberFormat="1" applyFont="1" applyFill="1" applyBorder="1" applyAlignment="1">
      <alignment horizontal="center"/>
    </xf>
    <xf numFmtId="166" fontId="69" fillId="13" borderId="37" applyNumberFormat="1" applyFont="1" applyFill="1" applyBorder="1" applyAlignment="1">
      <alignment horizontal="center"/>
    </xf>
    <xf numFmtId="166" fontId="69" fillId="13" borderId="39" applyNumberFormat="1" applyFont="1" applyFill="1" applyBorder="1" applyAlignment="1">
      <alignment horizontal="center"/>
    </xf>
    <xf numFmtId="166" fontId="69" fillId="13" borderId="29" applyNumberFormat="1" applyFont="1" applyFill="1" applyBorder="1" applyAlignment="1">
      <alignment horizontal="center"/>
    </xf>
    <xf numFmtId="1" fontId="69" fillId="13" borderId="24" applyNumberFormat="1" applyFont="1" applyFill="1" applyBorder="1" applyAlignment="1">
      <alignment horizontal="center"/>
    </xf>
    <xf numFmtId="1" fontId="69" fillId="13" borderId="25" applyNumberFormat="1" applyFont="1" applyFill="1" applyBorder="1" applyAlignment="1">
      <alignment horizontal="center"/>
    </xf>
    <xf numFmtId="1" fontId="69" fillId="13" borderId="36" applyNumberFormat="1" applyFont="1" applyFill="1" applyBorder="1" applyAlignment="1">
      <alignment horizontal="center"/>
    </xf>
    <xf numFmtId="1" fontId="69" fillId="13" borderId="38" applyNumberFormat="1" applyFont="1" applyFill="1" applyBorder="1" applyAlignment="1">
      <alignment horizontal="center"/>
    </xf>
    <xf numFmtId="1" fontId="69" fillId="13" borderId="0" applyNumberFormat="1" applyFont="1" applyFill="1"/>
    <xf numFmtId="1" fontId="69" fillId="13" borderId="26" applyNumberFormat="1" applyFont="1" applyFill="1" applyBorder="1" applyAlignment="1">
      <alignment horizontal="center"/>
    </xf>
    <xf numFmtId="2" fontId="69" fillId="13" borderId="24" applyNumberFormat="1" applyFont="1" applyFill="1" applyBorder="1" applyAlignment="1">
      <alignment horizontal="center"/>
    </xf>
    <xf numFmtId="2" fontId="69" fillId="13" borderId="25" applyNumberFormat="1" applyFont="1" applyFill="1" applyBorder="1" applyAlignment="1">
      <alignment horizontal="center"/>
    </xf>
    <xf numFmtId="2" fontId="69" fillId="13" borderId="36" applyNumberFormat="1" applyFont="1" applyFill="1" applyBorder="1" applyAlignment="1">
      <alignment horizontal="center"/>
    </xf>
    <xf numFmtId="2" fontId="69" fillId="13" borderId="38" applyNumberFormat="1" applyFont="1" applyFill="1" applyBorder="1" applyAlignment="1">
      <alignment horizontal="center"/>
    </xf>
    <xf numFmtId="2" fontId="69" fillId="13" borderId="0" applyNumberFormat="1" applyFont="1" applyFill="1"/>
    <xf numFmtId="2" fontId="69" fillId="13" borderId="26" applyNumberFormat="1" applyFont="1" applyFill="1" applyBorder="1" applyAlignment="1">
      <alignment horizontal="center"/>
    </xf>
    <xf numFmtId="2" fontId="69" fillId="13" borderId="27" applyNumberFormat="1" applyFont="1" applyFill="1" applyBorder="1" applyAlignment="1">
      <alignment horizontal="center"/>
    </xf>
    <xf numFmtId="2" fontId="69" fillId="13" borderId="28" applyNumberFormat="1" applyFont="1" applyFill="1" applyBorder="1" applyAlignment="1">
      <alignment horizontal="center"/>
    </xf>
    <xf numFmtId="2" fontId="69" fillId="13" borderId="37" applyNumberFormat="1" applyFont="1" applyFill="1" applyBorder="1" applyAlignment="1">
      <alignment horizontal="center"/>
    </xf>
    <xf numFmtId="2" fontId="69" fillId="13" borderId="39" applyNumberFormat="1" applyFont="1" applyFill="1" applyBorder="1" applyAlignment="1">
      <alignment horizontal="center"/>
    </xf>
    <xf numFmtId="2" fontId="69" fillId="13" borderId="29" applyNumberFormat="1" applyFont="1" applyFill="1" applyBorder="1" applyAlignment="1">
      <alignment horizontal="center"/>
    </xf>
    <xf numFmtId="166" fontId="42" fillId="13" borderId="0" applyNumberFormat="1" applyFont="1" applyFill="1" applyBorder="1" applyAlignment="1">
      <alignment horizontal="center"/>
    </xf>
    <xf numFmtId="166" fontId="42" fillId="13" borderId="6" applyNumberFormat="1" applyFont="1" applyFill="1" applyBorder="1" applyAlignment="1">
      <alignment horizontal="center"/>
    </xf>
    <xf numFmtId="166" fontId="42" fillId="13" borderId="7" applyNumberFormat="1" applyFont="1" applyFill="1" applyBorder="1" applyAlignment="1">
      <alignment horizontal="center"/>
    </xf>
    <xf numFmtId="0" fontId="42" fillId="13" borderId="0" applyFont="1" applyFill="1"/>
    <xf numFmtId="0" fontId="1" fillId="12" borderId="0" applyFont="1" applyFill="1" applyAlignment="1">
      <alignment vertical="top"/>
    </xf>
    <xf numFmtId="0" fontId="69" fillId="12" borderId="0" applyFont="1" applyFill="1" applyAlignment="1">
      <alignment vertical="top"/>
    </xf>
    <xf numFmtId="0" fontId="1" fillId="11" borderId="0" applyFont="1" applyFill="1" applyAlignment="1">
      <alignment vertical="top"/>
    </xf>
    <xf numFmtId="0" fontId="1" fillId="0" borderId="0" applyFont="1" applyFill="1" applyAlignment="1">
      <alignment vertical="top"/>
    </xf>
    <xf numFmtId="0" fontId="34" fillId="12" borderId="0" applyFont="1" applyFill="1"/>
    <xf numFmtId="0" fontId="63" fillId="12" borderId="0" applyFont="1" applyFill="1" applyAlignment="1">
      <alignment horizontal="center"/>
    </xf>
    <xf numFmtId="0" fontId="34" fillId="12" borderId="0" applyFont="1" applyFill="1" applyAlignment="1">
      <alignment horizontal="right"/>
    </xf>
    <xf numFmtId="0" fontId="34" fillId="11" borderId="0" applyFont="1" applyFill="1"/>
    <xf numFmtId="0" fontId="39" fillId="12" borderId="0" applyFont="1" applyFill="1"/>
    <xf numFmtId="0" fontId="39" fillId="12" borderId="0" applyFont="1" applyFill="1" applyAlignment="1">
      <alignment horizontal="right"/>
    </xf>
    <xf numFmtId="0" fontId="39" fillId="11" borderId="0" applyFont="1" applyFill="1"/>
    <xf numFmtId="0" fontId="67" fillId="12" borderId="0" applyFont="1" applyFill="1" applyAlignment="1">
      <alignment horizontal="left"/>
    </xf>
    <xf numFmtId="0" fontId="67" fillId="12" borderId="0" applyFont="1" applyFill="1"/>
    <xf numFmtId="2" fontId="69" fillId="14" borderId="0" applyNumberFormat="1" applyFont="1" applyFill="1" applyBorder="1" applyAlignment="1">
      <alignment horizontal="center"/>
    </xf>
    <xf numFmtId="2" fontId="69" fillId="14" borderId="6" applyNumberFormat="1" applyFont="1" applyFill="1" applyBorder="1" applyAlignment="1">
      <alignment horizontal="center"/>
    </xf>
    <xf numFmtId="2" fontId="69" fillId="14" borderId="7" applyNumberFormat="1" applyFont="1" applyFill="1" applyBorder="1" applyAlignment="1">
      <alignment horizontal="center"/>
    </xf>
    <xf numFmtId="2" fontId="69" fillId="13" borderId="0" applyNumberFormat="1" applyFont="1" applyFill="1" applyBorder="1" applyAlignment="1">
      <alignment horizontal="center"/>
    </xf>
    <xf numFmtId="2" fontId="69" fillId="13" borderId="6" applyNumberFormat="1" applyFont="1" applyFill="1" applyBorder="1" applyAlignment="1">
      <alignment horizontal="center"/>
    </xf>
    <xf numFmtId="2" fontId="69" fillId="13" borderId="7" applyNumberFormat="1" applyFont="1" applyFill="1" applyBorder="1" applyAlignment="1">
      <alignment horizontal="center"/>
    </xf>
    <xf numFmtId="0" fontId="54" fillId="12" borderId="0" applyFont="1" applyFill="1" applyAlignment="1">
      <alignment horizontal="left" wrapText="1"/>
    </xf>
    <xf numFmtId="0" fontId="67" fillId="12" borderId="0" applyFont="1" applyFill="1" applyAlignment="1">
      <alignment horizontal="left" wrapText="1"/>
    </xf>
    <xf numFmtId="0" fontId="39" fillId="3" borderId="0" applyFont="1" applyFill="1" applyAlignment="1">
      <alignment horizontal="left" wrapText="1"/>
    </xf>
    <xf numFmtId="0" fontId="32" fillId="3" borderId="0" applyFont="1" applyFill="1" applyAlignment="1">
      <alignment horizontal="right" vertical="center"/>
    </xf>
    <xf numFmtId="0" fontId="55" fillId="12" borderId="30" applyFont="1" applyFill="1" applyBorder="1" applyAlignment="1">
      <alignment horizontal="center"/>
    </xf>
    <xf numFmtId="0" fontId="55" fillId="12" borderId="31" applyFont="1" applyFill="1" applyBorder="1" applyAlignment="1">
      <alignment horizontal="center"/>
    </xf>
    <xf numFmtId="0" fontId="55" fillId="12" borderId="32" applyFont="1" applyFill="1" applyBorder="1" applyAlignment="1">
      <alignment horizontal="center"/>
    </xf>
    <xf numFmtId="0" fontId="32" fillId="3" borderId="0" applyFont="1" applyFill="1" applyAlignment="1">
      <alignment horizontal="center"/>
    </xf>
    <xf numFmtId="0" fontId="69" fillId="3" borderId="0" applyFont="1" applyFill="1" applyAlignment="1">
      <alignment horizontal="right"/>
    </xf>
    <xf numFmtId="0" fontId="1" fillId="0" borderId="0" applyFont="1" applyFill="1" applyAlignment="1">
      <alignment horizontal="center"/>
    </xf>
    <xf numFmtId="0" fontId="3" fillId="12" borderId="30" applyFont="1" applyFill="1" applyBorder="1" applyAlignment="1">
      <alignment horizontal="center"/>
    </xf>
    <xf numFmtId="0" fontId="1" fillId="12" borderId="31" applyFont="1" applyFill="1" applyBorder="1" applyAlignment="1">
      <alignment horizontal="center"/>
    </xf>
    <xf numFmtId="0" fontId="1" fillId="12" borderId="32" applyFont="1" applyFill="1" applyBorder="1" applyAlignment="1">
      <alignment horizontal="center"/>
    </xf>
    <xf numFmtId="0" fontId="1" fillId="0" borderId="0" applyFont="1" applyFill="1"/>
    <xf numFmtId="0" fontId="1" fillId="0" borderId="20" applyFont="1" applyFill="1" applyBorder="1" applyAlignment="1">
      <alignment horizontal="center"/>
    </xf>
    <xf numFmtId="0" fontId="39" fillId="0" borderId="0" applyFont="1" applyFill="1" applyAlignment="1">
      <alignment horizontal="left" wrapText="1"/>
    </xf>
    <xf numFmtId="0" fontId="3" fillId="12" borderId="31" applyFont="1" applyFill="1" applyBorder="1" applyAlignment="1">
      <alignment horizontal="center"/>
    </xf>
    <xf numFmtId="0" fontId="3" fillId="12" borderId="32" applyFont="1" applyFill="1" applyBorder="1" applyAlignment="1">
      <alignment horizontal="center"/>
    </xf>
    <xf numFmtId="0" fontId="36" fillId="0" borderId="0" applyFont="1" applyFill="1" applyAlignment="1">
      <alignment horizontal="right"/>
    </xf>
    <xf numFmtId="0" fontId="55" fillId="12" borderId="33" applyFont="1" applyFill="1" applyBorder="1" applyAlignment="1">
      <alignment horizontal="center" vertical="center"/>
    </xf>
    <xf numFmtId="0" fontId="55" fillId="12" borderId="35" applyFont="1" applyFill="1" applyBorder="1" applyAlignment="1">
      <alignment horizontal="center" vertical="center"/>
    </xf>
    <xf numFmtId="0" fontId="37" fillId="0" borderId="0" applyFont="1" applyFill="1" applyAlignment="1">
      <alignment horizontal="center"/>
    </xf>
    <xf numFmtId="0" fontId="37" fillId="0" borderId="42" applyFont="1" applyFill="1" applyBorder="1" applyAlignment="1">
      <alignment horizontal="center"/>
    </xf>
    <xf numFmtId="0" fontId="37" fillId="0" borderId="43" applyFont="1" applyFill="1" applyBorder="1" applyAlignment="1">
      <alignment horizontal="center"/>
    </xf>
    <xf numFmtId="0" fontId="37" fillId="0" borderId="44" applyFont="1" applyFill="1" applyBorder="1" applyAlignment="1">
      <alignment horizontal="center"/>
    </xf>
    <xf numFmtId="0" fontId="69" fillId="0" borderId="0" applyFont="1" applyFill="1" applyAlignment="1">
      <alignment horizontal="right"/>
    </xf>
    <xf numFmtId="0" fontId="21" fillId="0" borderId="30" applyFont="1" applyFill="1" applyBorder="1" applyAlignment="1">
      <alignment horizontal="center"/>
    </xf>
    <xf numFmtId="0" fontId="21" fillId="0" borderId="31" applyFont="1" applyFill="1" applyBorder="1" applyAlignment="1">
      <alignment horizontal="center"/>
    </xf>
    <xf numFmtId="0" fontId="21" fillId="0" borderId="32" applyFont="1" applyFill="1" applyBorder="1" applyAlignment="1">
      <alignment horizontal="center"/>
    </xf>
    <xf numFmtId="0" fontId="69" fillId="0" borderId="0" applyFont="1" applyFill="1" applyAlignment="1">
      <alignment horizontal="right" shrinkToFit="1"/>
    </xf>
    <xf numFmtId="0" fontId="19" fillId="12" borderId="30" applyFont="1" applyFill="1" applyBorder="1" applyAlignment="1">
      <alignment horizontal="center"/>
    </xf>
    <xf numFmtId="0" fontId="19" fillId="12" borderId="31" applyFont="1" applyFill="1" applyBorder="1" applyAlignment="1">
      <alignment horizontal="center"/>
    </xf>
    <xf numFmtId="0" fontId="19" fillId="12" borderId="32" applyFont="1" applyFill="1" applyBorder="1" applyAlignment="1">
      <alignment horizontal="center"/>
    </xf>
    <xf numFmtId="0" fontId="21" fillId="0" borderId="24" applyFont="1" applyFill="1" applyBorder="1" applyAlignment="1">
      <alignment horizontal="center"/>
    </xf>
    <xf numFmtId="0" fontId="21" fillId="0" borderId="25" applyFont="1" applyFill="1" applyBorder="1" applyAlignment="1">
      <alignment horizontal="center"/>
    </xf>
    <xf numFmtId="0" fontId="21" fillId="0" borderId="26" applyFont="1" applyFill="1" applyBorder="1" applyAlignment="1">
      <alignment horizontal="center"/>
    </xf>
    <xf numFmtId="0" fontId="69" fillId="0" borderId="0" applyFont="1" applyFill="1" applyAlignment="1">
      <alignment horizontal="right" wrapText="1"/>
    </xf>
    <xf numFmtId="0" fontId="21" fillId="0" borderId="11" applyFont="1" applyFill="1" applyBorder="1" applyAlignment="1">
      <alignment horizontal="center"/>
    </xf>
    <xf numFmtId="0" fontId="21" fillId="0" borderId="9" applyFont="1" applyFill="1" applyBorder="1" applyAlignment="1">
      <alignment horizontal="center"/>
    </xf>
    <xf numFmtId="0" fontId="21" fillId="0" borderId="27" applyFont="1" applyFill="1" applyBorder="1" applyAlignment="1">
      <alignment horizontal="center"/>
    </xf>
    <xf numFmtId="0" fontId="21" fillId="0" borderId="28" applyFont="1" applyFill="1" applyBorder="1" applyAlignment="1">
      <alignment horizontal="center"/>
    </xf>
    <xf numFmtId="0" fontId="21" fillId="0" borderId="29" applyFont="1" applyFill="1" applyBorder="1" applyAlignment="1">
      <alignment horizontal="center"/>
    </xf>
    <xf numFmtId="1" fontId="45" fillId="3" borderId="22" applyNumberFormat="1" applyFont="1" applyFill="1" applyBorder="1" applyAlignment="1">
      <alignment horizontal="center"/>
    </xf>
    <xf numFmtId="1" fontId="45" fillId="3" borderId="0" applyNumberFormat="1" applyFont="1" applyFill="1" applyAlignment="1">
      <alignment horizontal="center"/>
    </xf>
    <xf numFmtId="1" fontId="45" fillId="3" borderId="23" applyNumberFormat="1" applyFont="1" applyFill="1" applyBorder="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55" fillId="12" borderId="33" applyFont="1" applyFill="1" applyBorder="1" applyAlignment="1">
      <alignment horizontal="center"/>
    </xf>
    <xf numFmtId="0" fontId="55" fillId="12" borderId="35" applyFont="1" applyFill="1" applyBorder="1" applyAlignment="1">
      <alignment horizontal="center"/>
    </xf>
    <xf numFmtId="0" fontId="40" fillId="3" borderId="42" applyFont="1" applyFill="1" applyBorder="1" applyAlignment="1">
      <alignment horizontal="center"/>
    </xf>
    <xf numFmtId="0" fontId="40" fillId="3" borderId="43" applyFont="1" applyFill="1" applyBorder="1" applyAlignment="1">
      <alignment horizontal="center"/>
    </xf>
    <xf numFmtId="0" fontId="40" fillId="3" borderId="44" applyFont="1" applyFill="1" applyBorder="1" applyAlignment="1">
      <alignment horizontal="center"/>
    </xf>
    <xf numFmtId="0" fontId="40" fillId="3" borderId="0" applyFont="1" applyFill="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10" borderId="28" applyFont="1" applyFill="1" applyBorder="1" applyAlignment="1">
      <alignment horizontal="center"/>
    </xf>
    <xf numFmtId="0" fontId="34" fillId="10" borderId="29" applyFont="1" applyFill="1" applyBorder="1" applyAlignment="1">
      <alignment horizontal="center"/>
    </xf>
    <xf numFmtId="0" fontId="34" fillId="10" borderId="0" applyFont="1" applyFill="1" applyAlignment="1">
      <alignment horizontal="center"/>
    </xf>
    <xf numFmtId="0" fontId="34" fillId="10" borderId="23" applyFont="1" applyFill="1" applyBorder="1" applyAlignment="1">
      <alignment horizontal="center"/>
    </xf>
    <xf numFmtId="1" fontId="69" fillId="0" borderId="0" applyNumberFormat="1" applyFont="1" applyFill="1" applyAlignment="1">
      <alignment horizontal="left"/>
    </xf>
    <xf numFmtId="0" fontId="1" fillId="0" borderId="0" applyFont="1" applyFill="1" applyAlignment="1">
      <alignment horizontal="right"/>
    </xf>
    <xf numFmtId="0" fontId="1" fillId="0" borderId="23" applyFont="1" applyFill="1" applyBorder="1" applyAlignment="1">
      <alignment horizontal="right"/>
    </xf>
    <xf numFmtId="0" fontId="34" fillId="0" borderId="22" applyFont="1" applyFill="1" applyBorder="1" applyAlignment="1">
      <alignment horizontal="center"/>
    </xf>
    <xf numFmtId="0" fontId="33" fillId="0" borderId="0" applyFont="1" applyFill="1" applyAlignment="1">
      <alignment horizontal="center"/>
    </xf>
    <xf numFmtId="166" fontId="69" fillId="0" borderId="0" applyNumberFormat="1" applyFont="1" applyFill="1"/>
    <xf numFmtId="0" fontId="34" fillId="10" borderId="27" applyFont="1" applyFill="1" applyBorder="1" applyAlignment="1">
      <alignment horizontal="center"/>
    </xf>
    <xf numFmtId="0" fontId="33" fillId="0" borderId="28"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34" fillId="10" borderId="22" applyFont="1" applyFill="1" applyBorder="1" applyAlignment="1">
      <alignment horizontal="center"/>
    </xf>
    <xf numFmtId="0" fontId="32" fillId="0" borderId="0" applyFont="1" applyFill="1" applyAlignment="1">
      <alignment horizontal="center"/>
    </xf>
    <xf numFmtId="0" fontId="34" fillId="0" borderId="24" applyFont="1" applyFill="1" applyBorder="1" applyAlignment="1">
      <alignment horizontal="center"/>
    </xf>
    <xf numFmtId="0" fontId="57" fillId="12" borderId="24" applyFont="1" applyFill="1" applyBorder="1" applyAlignment="1">
      <alignment horizontal="center" vertical="center"/>
    </xf>
    <xf numFmtId="0" fontId="57" fillId="12" borderId="25" applyFont="1" applyFill="1" applyBorder="1" applyAlignment="1">
      <alignment horizontal="center" vertical="center"/>
    </xf>
    <xf numFmtId="0" fontId="57" fillId="12" borderId="26" applyFont="1" applyFill="1" applyBorder="1" applyAlignment="1">
      <alignment horizontal="center" vertical="center"/>
    </xf>
    <xf numFmtId="0" fontId="57" fillId="12" borderId="27" applyFont="1" applyFill="1" applyBorder="1" applyAlignment="1">
      <alignment horizontal="center" vertical="center"/>
    </xf>
    <xf numFmtId="0" fontId="57" fillId="12" borderId="28" applyFont="1" applyFill="1" applyBorder="1" applyAlignment="1">
      <alignment horizontal="center" vertical="center"/>
    </xf>
    <xf numFmtId="0" fontId="57" fillId="12" borderId="29" applyFont="1" applyFill="1" applyBorder="1" applyAlignment="1">
      <alignment horizontal="center" vertical="center"/>
    </xf>
    <xf numFmtId="1" fontId="34" fillId="0" borderId="0" applyNumberFormat="1" applyFont="1" applyFill="1" applyAlignment="1">
      <alignment horizontal="left" wrapText="1"/>
    </xf>
    <xf numFmtId="0" fontId="34" fillId="6" borderId="28" applyFont="1" applyFill="1" applyBorder="1" applyAlignment="1">
      <alignment horizontal="center"/>
    </xf>
    <xf numFmtId="0" fontId="34" fillId="6" borderId="29" applyFont="1" applyFill="1" applyBorder="1" applyAlignment="1">
      <alignment horizontal="center"/>
    </xf>
    <xf numFmtId="0" fontId="34" fillId="6" borderId="27" applyFont="1" applyFill="1" applyBorder="1" applyAlignment="1">
      <alignment horizontal="center"/>
    </xf>
    <xf numFmtId="0" fontId="34" fillId="6" borderId="0" applyFont="1" applyFill="1" applyAlignment="1">
      <alignment horizontal="center"/>
    </xf>
    <xf numFmtId="0" fontId="34" fillId="6" borderId="23" applyFont="1" applyFill="1" applyBorder="1" applyAlignment="1">
      <alignment horizontal="center"/>
    </xf>
    <xf numFmtId="0" fontId="34" fillId="0" borderId="22" applyFont="1" applyFill="1" applyBorder="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6" borderId="22" applyFont="1" applyFill="1" applyBorder="1" applyAlignment="1">
      <alignment horizontal="center"/>
    </xf>
    <xf numFmtId="0" fontId="32" fillId="0" borderId="0" applyFont="1" applyFill="1" applyAlignment="1">
      <alignment horizontal="center"/>
    </xf>
    <xf numFmtId="0" fontId="33" fillId="0" borderId="0" applyFont="1" applyFill="1" applyAlignment="1">
      <alignment horizontal="center"/>
    </xf>
    <xf numFmtId="0" fontId="34" fillId="0" borderId="24"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1" fillId="3" borderId="0" applyFont="1" applyFill="1" applyBorder="1"/>
    <xf numFmtId="0" fontId="37" fillId="11" borderId="0" applyFont="1" applyFill="1" applyAlignment="1">
      <alignment horizontal="center"/>
    </xf>
    <xf numFmtId="0" fontId="19" fillId="12" borderId="24" applyFont="1" applyFill="1" applyBorder="1" applyAlignment="1">
      <alignment horizontal="center" vertical="center" wrapText="1"/>
    </xf>
    <xf numFmtId="0" fontId="19" fillId="12" borderId="25" applyFont="1" applyFill="1" applyBorder="1" applyAlignment="1">
      <alignment horizontal="center" vertical="center" wrapText="1"/>
    </xf>
    <xf numFmtId="0" fontId="19" fillId="12" borderId="26" applyFont="1" applyFill="1" applyBorder="1" applyAlignment="1">
      <alignment horizontal="center" vertical="center" wrapText="1"/>
    </xf>
    <xf numFmtId="0" fontId="19" fillId="12" borderId="27" applyFont="1" applyFill="1" applyBorder="1" applyAlignment="1">
      <alignment horizontal="center" vertical="center" wrapText="1"/>
    </xf>
    <xf numFmtId="0" fontId="19" fillId="12" borderId="28" applyFont="1" applyFill="1" applyBorder="1" applyAlignment="1">
      <alignment horizontal="center" vertical="center" wrapText="1"/>
    </xf>
    <xf numFmtId="0" fontId="19" fillId="12" borderId="29" applyFont="1" applyFill="1" applyBorder="1" applyAlignment="1">
      <alignment horizontal="center" vertical="center" wrapText="1"/>
    </xf>
    <xf numFmtId="0" fontId="1" fillId="0" borderId="0" applyFont="1" applyFill="1" applyAlignment="1">
      <alignment horizontal="left" wrapText="1"/>
    </xf>
    <xf numFmtId="0" fontId="42" fillId="0" borderId="0" applyFont="1" applyFill="1" applyAlignment="1">
      <alignment horizontal="left" vertical="top" wrapText="1"/>
    </xf>
    <xf numFmtId="2" fontId="1" fillId="6" borderId="0" applyNumberFormat="1" applyFont="1" applyFill="1"/>
    <xf numFmtId="2" fontId="1" fillId="6" borderId="20" applyNumberFormat="1" applyFont="1" applyFill="1" applyBorder="1"/>
    <xf numFmtId="0" fontId="54" fillId="12" borderId="0" applyFont="1" applyFill="1" applyBorder="1" applyAlignment="1">
      <alignment horizontal="left" wrapText="1"/>
    </xf>
    <xf numFmtId="0" fontId="67" fillId="12" borderId="0" applyFont="1" applyFill="1" applyBorder="1" applyAlignment="1">
      <alignment horizontal="left" wrapText="1"/>
    </xf>
    <xf numFmtId="0" borderId="0"/>
    <xf numFmtId="0" fontId="69" fillId="3" borderId="0" applyFont="1" applyFill="1" applyBorder="1" applyAlignment="1">
      <alignment horizontal="right"/>
    </xf>
    <xf numFmtId="0" fontId="32" fillId="3" borderId="0" applyFont="1" applyFill="1" applyBorder="1" applyAlignment="1">
      <alignment horizontal="center"/>
    </xf>
    <xf numFmtId="0" fontId="69" fillId="3" borderId="0" applyFont="1" applyFill="1" applyBorder="1" applyAlignment="1">
      <alignment horizontal="center"/>
    </xf>
    <xf numFmtId="0" fontId="32" fillId="3" borderId="0" applyFont="1" applyFill="1" applyBorder="1" applyAlignment="1">
      <alignment horizontal="right" vertical="center"/>
    </xf>
    <xf numFmtId="0" fontId="55" fillId="12" borderId="1" applyFont="1" applyFill="1" applyBorder="1" applyAlignment="1">
      <alignment horizontal="center"/>
    </xf>
    <xf numFmtId="0" fontId="39" fillId="3" borderId="0" applyFont="1" applyFill="1" applyBorder="1" applyAlignment="1">
      <alignment horizontal="left" wrapText="1"/>
    </xf>
    <xf numFmtId="0" fontId="66" fillId="12" borderId="30" applyFont="1" applyFill="1" applyBorder="1" applyAlignment="1">
      <alignment horizontal="center"/>
    </xf>
    <xf numFmtId="0" fontId="66" fillId="12" borderId="1" applyFont="1" applyFill="1" applyBorder="1" applyAlignment="1">
      <alignment horizontal="center"/>
    </xf>
    <xf numFmtId="0" fontId="39" fillId="0" borderId="0" applyFont="1" applyFill="1" applyBorder="1" applyAlignment="1">
      <alignment horizontal="left" wrapText="1"/>
    </xf>
    <xf numFmtId="0" fontId="3" fillId="12" borderId="1" applyFont="1" applyFill="1" applyBorder="1" applyAlignment="1">
      <alignment horizontal="center"/>
    </xf>
    <xf numFmtId="0" fontId="1" fillId="0" borderId="0" applyFont="1" applyFill="1" applyBorder="1" applyAlignment="1">
      <alignment horizontal="center"/>
    </xf>
    <xf numFmtId="0" fontId="36" fillId="0" borderId="0" applyFont="1" applyFill="1" applyBorder="1" applyAlignment="1">
      <alignment horizontal="right"/>
    </xf>
    <xf numFmtId="0" fontId="55" fillId="12" borderId="1" applyFont="1" applyFill="1" applyBorder="1" applyAlignment="1">
      <alignment horizontal="center" vertical="center"/>
    </xf>
    <xf numFmtId="0" fontId="37" fillId="0" borderId="0" applyFont="1" applyFill="1" applyBorder="1" applyAlignment="1">
      <alignment horizontal="center"/>
    </xf>
    <xf numFmtId="0" fontId="37" fillId="0" borderId="45" applyFont="1" applyFill="1" applyBorder="1" applyAlignment="1">
      <alignment horizontal="center"/>
    </xf>
    <xf numFmtId="0" fontId="69" fillId="0" borderId="0" applyFont="1" applyFill="1" applyBorder="1" applyAlignment="1">
      <alignment horizontal="right"/>
    </xf>
    <xf numFmtId="0" fontId="21" fillId="0" borderId="1" applyFont="1" applyFill="1" applyBorder="1" applyAlignment="1">
      <alignment horizontal="center"/>
    </xf>
    <xf numFmtId="0" fontId="69" fillId="0" borderId="0" applyFont="1" applyFill="1" applyBorder="1" applyAlignment="1">
      <alignment horizontal="right" shrinkToFit="1"/>
    </xf>
    <xf numFmtId="0" fontId="19" fillId="12" borderId="1" applyFont="1" applyFill="1" applyBorder="1" applyAlignment="1">
      <alignment horizontal="center"/>
    </xf>
    <xf numFmtId="0" fontId="21" fillId="0" borderId="33" applyFont="1" applyFill="1" applyBorder="1" applyAlignment="1">
      <alignment horizontal="center"/>
    </xf>
    <xf numFmtId="0" fontId="69" fillId="0" borderId="0" applyFont="1" applyFill="1" applyBorder="1" applyAlignment="1">
      <alignment horizontal="right" wrapText="1"/>
    </xf>
    <xf numFmtId="0" fontId="21" fillId="0" borderId="35" applyFont="1" applyFill="1" applyBorder="1" applyAlignment="1">
      <alignment horizontal="center"/>
    </xf>
    <xf numFmtId="0" fontId="40" fillId="3" borderId="45" applyFont="1" applyFill="1" applyBorder="1" applyAlignment="1">
      <alignment horizontal="center"/>
    </xf>
    <xf numFmtId="0" fontId="40" fillId="3" borderId="0" applyFont="1" applyFill="1" applyBorder="1" applyAlignment="1">
      <alignment horizontal="center"/>
    </xf>
    <xf numFmtId="1" fontId="45" fillId="3" borderId="34" applyNumberFormat="1" applyFont="1" applyFill="1" applyBorder="1" applyAlignment="1">
      <alignment horizontal="center"/>
    </xf>
    <xf numFmtId="1" fontId="45" fillId="3" borderId="46" applyNumberFormat="1" applyFont="1" applyFill="1" applyBorder="1" applyAlignment="1">
      <alignment horizontal="center"/>
    </xf>
    <xf numFmtId="1" fontId="45" fillId="3" borderId="0" applyNumberFormat="1" applyFont="1" applyFill="1" applyBorder="1" applyAlignment="1">
      <alignment horizontal="center"/>
    </xf>
    <xf numFmtId="0" fontId="34" fillId="10" borderId="0" applyFont="1" applyFill="1" applyBorder="1" applyAlignment="1">
      <alignment horizontal="center"/>
    </xf>
    <xf numFmtId="0" fontId="34" fillId="0" borderId="0" applyFont="1" applyFill="1" applyBorder="1" applyAlignment="1">
      <alignment horizontal="center"/>
    </xf>
    <xf numFmtId="1" fontId="69" fillId="0" borderId="0" applyNumberFormat="1" applyFont="1" applyFill="1" applyBorder="1" applyAlignment="1">
      <alignment horizontal="left"/>
    </xf>
    <xf numFmtId="166" fontId="69" fillId="0" borderId="0" applyNumberFormat="1" applyFont="1" applyFill="1" applyBorder="1"/>
    <xf numFmtId="1" fontId="34" fillId="0" borderId="0" applyNumberFormat="1" applyFont="1" applyFill="1" applyBorder="1" applyAlignment="1">
      <alignment horizontal="left" wrapText="1"/>
    </xf>
    <xf numFmtId="0" fontId="57" fillId="12" borderId="30" applyFont="1" applyFill="1" applyBorder="1" applyAlignment="1">
      <alignment horizontal="center" vertical="center"/>
    </xf>
    <xf numFmtId="0" fontId="57" fillId="12" borderId="33" applyFont="1" applyFill="1" applyBorder="1" applyAlignment="1">
      <alignment horizontal="center" vertical="center"/>
    </xf>
    <xf numFmtId="0" fontId="57" fillId="12" borderId="1" applyFont="1" applyFill="1" applyBorder="1" applyAlignment="1">
      <alignment horizontal="center" vertical="center"/>
    </xf>
    <xf numFmtId="0" fontId="33" fillId="0" borderId="0" applyFont="1" applyFill="1" applyBorder="1" applyAlignment="1">
      <alignment horizontal="center"/>
    </xf>
    <xf numFmtId="0" fontId="32" fillId="0" borderId="0" applyFont="1" applyFill="1" applyBorder="1" applyAlignment="1">
      <alignment horizontal="center"/>
    </xf>
    <xf numFmtId="0" fontId="1" fillId="0" borderId="0" applyFont="1" applyFill="1" applyBorder="1" applyAlignment="1">
      <alignment horizontal="right"/>
    </xf>
    <xf numFmtId="0" fontId="1" fillId="0" borderId="0" applyFont="1" applyFill="1" applyBorder="1" applyAlignment="1">
      <alignment horizontal="left" wrapText="1"/>
    </xf>
    <xf numFmtId="0" fontId="37" fillId="11" borderId="0" applyFont="1" applyFill="1" applyBorder="1" applyAlignment="1">
      <alignment horizontal="center"/>
    </xf>
    <xf numFmtId="0" fontId="19" fillId="12" borderId="30" applyFont="1" applyFill="1" applyBorder="1" applyAlignment="1">
      <alignment horizontal="center" vertical="center" wrapText="1"/>
    </xf>
    <xf numFmtId="0" fontId="19" fillId="12" borderId="33" applyFont="1" applyFill="1" applyBorder="1" applyAlignment="1">
      <alignment horizontal="center" vertical="center" wrapText="1"/>
    </xf>
    <xf numFmtId="0" fontId="19" fillId="12" borderId="1" applyFont="1" applyFill="1" applyBorder="1" applyAlignment="1">
      <alignment horizontal="center" vertical="center" wrapText="1"/>
    </xf>
    <xf numFmtId="0" fontId="34" fillId="6" borderId="0" applyFont="1" applyFill="1" applyBorder="1" applyAlignment="1">
      <alignment horizontal="center"/>
    </xf>
    <xf numFmtId="0" fontId="42" fillId="0" borderId="0" applyFont="1" applyFill="1" applyBorder="1" applyAlignment="1">
      <alignment horizontal="left" vertical="top" wrapText="1"/>
    </xf>
    <xf numFmtId="0" fontId="32" fillId="3" borderId="47" applyFont="1" applyFill="1" applyBorder="1" applyAlignment="1">
      <alignment horizontal="center"/>
    </xf>
    <xf numFmtId="0" fontId="69" fillId="3" borderId="47" applyFont="1" applyFill="1" applyBorder="1" applyAlignment="1">
      <alignment horizontal="right"/>
    </xf>
    <xf numFmtId="0" fontId="32" fillId="3" borderId="47" applyFont="1" applyFill="1" applyBorder="1" applyAlignment="1">
      <alignment horizontal="right" vertical="center"/>
    </xf>
    <xf numFmtId="0" fontId="39" fillId="3" borderId="47" applyFont="1" applyFill="1" applyBorder="1" applyAlignment="1">
      <alignment horizontal="left" wrapText="1"/>
    </xf>
    <xf numFmtId="0" fontId="36" fillId="0" borderId="47" applyFont="1" applyFill="1" applyBorder="1" applyAlignment="1">
      <alignment horizontal="right"/>
    </xf>
    <xf numFmtId="0" fontId="37" fillId="0" borderId="47" applyFont="1" applyFill="1" applyBorder="1" applyAlignment="1">
      <alignment horizontal="center"/>
    </xf>
    <xf numFmtId="0" fontId="81" fillId="15" borderId="48" applyFont="1" applyFill="1" applyBorder="1"/>
    <xf numFmtId="0" fontId="39" fillId="0" borderId="47" applyFont="1" applyFill="1" applyBorder="1" applyAlignment="1">
      <alignment horizontal="left" wrapText="1"/>
    </xf>
    <xf numFmtId="0" fontId="51" fillId="0" borderId="49" applyFont="1" applyFill="1" applyBorder="1"/>
    <xf numFmtId="0" fontId="53" fillId="0" borderId="50" applyFont="1" applyFill="1" applyBorder="1" applyAlignment="1">
      <alignment horizontal="center"/>
    </xf>
    <xf numFmtId="166" fontId="69" fillId="13" borderId="49" applyNumberFormat="1" applyFont="1" applyFill="1" applyBorder="1" applyAlignment="1">
      <alignment horizontal="center"/>
    </xf>
    <xf numFmtId="166" fontId="69" fillId="10" borderId="50" applyNumberFormat="1" applyFont="1" applyFill="1" applyBorder="1" applyAlignment="1">
      <alignment horizontal="center"/>
    </xf>
    <xf numFmtId="166" fontId="69" fillId="13" borderId="51" applyNumberFormat="1" applyFont="1" applyFill="1" applyBorder="1" applyAlignment="1">
      <alignment horizontal="center"/>
    </xf>
    <xf numFmtId="166" fontId="69" fillId="10" borderId="51" applyNumberFormat="1" applyFont="1" applyFill="1" applyBorder="1" applyAlignment="1">
      <alignment horizontal="center"/>
    </xf>
    <xf numFmtId="1" fontId="69" fillId="13" borderId="49" applyNumberFormat="1" applyFont="1" applyFill="1" applyBorder="1" applyAlignment="1">
      <alignment horizontal="center"/>
    </xf>
    <xf numFmtId="1" fontId="69" fillId="10" borderId="52" applyNumberFormat="1" applyFont="1" applyFill="1" applyBorder="1" applyAlignment="1">
      <alignment horizontal="center"/>
    </xf>
    <xf numFmtId="0" fontId="82" fillId="16" borderId="0" applyFont="1" applyFill="1"/>
    <xf numFmtId="0" fontId="69" fillId="0" borderId="47" applyFont="1" applyFill="1" applyBorder="1" applyAlignment="1">
      <alignment horizontal="right" shrinkToFit="1"/>
    </xf>
    <xf numFmtId="0" fontId="42" fillId="0" borderId="53" applyFont="1" applyFill="1" applyBorder="1" applyAlignment="1">
      <alignment horizontal="center"/>
    </xf>
    <xf numFmtId="0" fontId="42" fillId="0" borderId="54" applyFont="1" applyFill="1" applyBorder="1" applyAlignment="1">
      <alignment horizontal="center"/>
    </xf>
    <xf numFmtId="166" fontId="69" fillId="0" borderId="53" applyNumberFormat="1" applyFont="1" applyFill="1" applyBorder="1" applyAlignment="1">
      <alignment horizontal="center"/>
    </xf>
    <xf numFmtId="166" fontId="69" fillId="0" borderId="54" applyNumberFormat="1" applyFont="1" applyFill="1" applyBorder="1" applyAlignment="1">
      <alignment horizontal="center"/>
    </xf>
    <xf numFmtId="166" fontId="69" fillId="0" borderId="55" applyNumberFormat="1" applyFont="1" applyFill="1" applyBorder="1" applyAlignment="1">
      <alignment horizontal="center"/>
    </xf>
    <xf numFmtId="2" fontId="69" fillId="13" borderId="49" applyNumberFormat="1" applyFont="1" applyFill="1" applyBorder="1" applyAlignment="1">
      <alignment horizontal="center"/>
    </xf>
    <xf numFmtId="2" fontId="69" fillId="10" borderId="50" applyNumberFormat="1" applyFont="1" applyFill="1" applyBorder="1" applyAlignment="1">
      <alignment horizontal="center"/>
    </xf>
    <xf numFmtId="2" fontId="69" fillId="13" borderId="51" applyNumberFormat="1" applyFont="1" applyFill="1" applyBorder="1" applyAlignment="1">
      <alignment horizontal="center"/>
    </xf>
    <xf numFmtId="0" fontId="53" fillId="0" borderId="51" applyFont="1" applyFill="1" applyBorder="1" applyAlignment="1">
      <alignment horizontal="center"/>
    </xf>
    <xf numFmtId="0" fontId="69" fillId="0" borderId="47" applyFont="1" applyFill="1" applyBorder="1" applyAlignment="1">
      <alignment horizontal="right" wrapText="1"/>
    </xf>
    <xf numFmtId="0" fontId="21" fillId="0" borderId="56" applyFont="1" applyFill="1" applyBorder="1" applyAlignment="1">
      <alignment horizontal="center"/>
    </xf>
    <xf numFmtId="0" fontId="42" fillId="0" borderId="55" applyFont="1" applyFill="1" applyBorder="1" applyAlignment="1">
      <alignment horizontal="center"/>
    </xf>
    <xf numFmtId="2" fontId="69" fillId="0" borderId="53" applyNumberFormat="1" applyFont="1" applyFill="1" applyBorder="1" applyAlignment="1">
      <alignment horizontal="center"/>
    </xf>
    <xf numFmtId="2" fontId="69" fillId="0" borderId="54" applyNumberFormat="1" applyFont="1" applyFill="1" applyBorder="1" applyAlignment="1">
      <alignment horizontal="center"/>
    </xf>
    <xf numFmtId="2" fontId="69" fillId="0" borderId="55" applyNumberFormat="1" applyFont="1" applyFill="1" applyBorder="1" applyAlignment="1">
      <alignment horizontal="center"/>
    </xf>
    <xf numFmtId="166" fontId="69" fillId="10" borderId="52" applyNumberFormat="1" applyFont="1" applyFill="1" applyBorder="1" applyAlignment="1">
      <alignment horizontal="center"/>
    </xf>
    <xf numFmtId="0" fontId="21" fillId="0" borderId="57" applyFont="1" applyFill="1" applyBorder="1" applyAlignment="1">
      <alignment horizontal="center"/>
    </xf>
    <xf numFmtId="0" fontId="21" fillId="0" borderId="58" applyFont="1" applyFill="1" applyBorder="1" applyAlignment="1">
      <alignment horizontal="center"/>
    </xf>
    <xf numFmtId="166" fontId="42" fillId="0" borderId="54" applyNumberFormat="1" applyFont="1" applyFill="1" applyBorder="1" applyAlignment="1">
      <alignment horizontal="center"/>
    </xf>
    <xf numFmtId="166" fontId="42" fillId="0" borderId="59" applyNumberFormat="1" applyFont="1" applyFill="1" applyBorder="1" applyAlignment="1">
      <alignment horizontal="center"/>
    </xf>
    <xf numFmtId="0" fontId="32" fillId="0" borderId="47" applyFont="1" applyFill="1" applyBorder="1" applyAlignment="1">
      <alignment horizontal="center"/>
    </xf>
    <xf numFmtId="0" fontId="33" fillId="0" borderId="47" applyFont="1" applyFill="1" applyBorder="1" applyAlignment="1">
      <alignment horizontal="center"/>
    </xf>
    <xf numFmtId="0" fontId="34" fillId="0" borderId="60" applyFont="1" applyFill="1" applyBorder="1" applyAlignment="1">
      <alignment horizontal="center"/>
    </xf>
    <xf numFmtId="0" fontId="34" fillId="0" borderId="61" applyFont="1" applyFill="1" applyBorder="1" applyAlignment="1">
      <alignment horizontal="center"/>
    </xf>
    <xf numFmtId="0" fontId="34" fillId="0" borderId="62" applyFont="1" applyFill="1" applyBorder="1" applyAlignment="1">
      <alignment horizontal="center"/>
    </xf>
    <xf numFmtId="0" fontId="34" fillId="6" borderId="63" applyFont="1" applyFill="1" applyBorder="1" applyAlignment="1">
      <alignment horizontal="center"/>
    </xf>
    <xf numFmtId="0" fontId="34" fillId="6" borderId="47" applyFont="1" applyFill="1" applyBorder="1" applyAlignment="1">
      <alignment horizontal="center"/>
    </xf>
    <xf numFmtId="0" fontId="34" fillId="6" borderId="64" applyFont="1" applyFill="1" applyBorder="1" applyAlignment="1">
      <alignment horizontal="center"/>
    </xf>
    <xf numFmtId="0" fontId="34" fillId="0" borderId="63" applyFont="1" applyFill="1" applyBorder="1" applyAlignment="1">
      <alignment horizontal="center"/>
    </xf>
    <xf numFmtId="0" fontId="34" fillId="0" borderId="47" applyFont="1" applyFill="1" applyBorder="1" applyAlignment="1">
      <alignment horizontal="center"/>
    </xf>
    <xf numFmtId="0" fontId="34" fillId="0" borderId="64" applyFont="1" applyFill="1" applyBorder="1" applyAlignment="1">
      <alignment horizontal="center"/>
    </xf>
    <xf numFmtId="0" fontId="34" fillId="6" borderId="65" applyFont="1" applyFill="1" applyBorder="1" applyAlignment="1">
      <alignment horizontal="center"/>
    </xf>
    <xf numFmtId="0" fontId="34" fillId="6" borderId="66" applyFont="1" applyFill="1" applyBorder="1" applyAlignment="1">
      <alignment horizontal="center"/>
    </xf>
    <xf numFmtId="0" fontId="34" fillId="6" borderId="67" applyFont="1" applyFill="1" applyBorder="1" applyAlignment="1">
      <alignment horizontal="center"/>
    </xf>
    <xf numFmtId="0" fontId="1" fillId="0" borderId="47" applyFont="1" applyFill="1" applyBorder="1" applyAlignment="1">
      <alignment horizontal="center"/>
    </xf>
    <xf numFmtId="0" fontId="37" fillId="11" borderId="47" applyFont="1" applyFill="1" applyBorder="1" applyAlignment="1">
      <alignment horizontal="center"/>
    </xf>
    <xf numFmtId="0" fontId="83" fillId="15" borderId="68" applyFont="1" applyFill="1" applyBorder="1" applyAlignment="1">
      <alignment horizontal="left"/>
    </xf>
    <xf numFmtId="0" fontId="83" fillId="15" borderId="68" applyFont="1" applyFill="1" applyBorder="1" applyAlignment="1">
      <alignment horizontal="right"/>
    </xf>
    <xf numFmtId="0" fontId="83" fillId="15" borderId="69" applyFont="1" applyFill="1" applyBorder="1"/>
    <xf numFmtId="0" fontId="83" fillId="15" borderId="70" applyFont="1" applyFill="1" applyBorder="1"/>
    <xf numFmtId="0" fontId="83" fillId="15" borderId="71" applyFont="1" applyFill="1" applyBorder="1"/>
    <xf numFmtId="0" fontId="83" fillId="17" borderId="68" applyFont="1" applyFill="1" applyBorder="1" applyAlignment="1">
      <alignment horizontal="left"/>
    </xf>
    <xf numFmtId="0" fontId="83" fillId="17" borderId="68" applyFont="1" applyFill="1" applyBorder="1" applyAlignment="1">
      <alignment horizontal="right"/>
    </xf>
    <xf numFmtId="0" fontId="83" fillId="17" borderId="69" applyFont="1" applyFill="1" applyBorder="1"/>
    <xf numFmtId="0" fontId="83" fillId="17" borderId="70" applyFont="1" applyFill="1" applyBorder="1"/>
    <xf numFmtId="0" fontId="83" fillId="17" borderId="71" applyFont="1" applyFill="1" applyBorder="1"/>
    <xf numFmtId="0" fontId="1" fillId="3" borderId="47" applyFont="1" applyFill="1" applyBorder="1"/>
    <xf numFmtId="0" fontId="1" fillId="0" borderId="47" applyFont="1" applyFill="1" applyBorder="1" applyAlignment="1">
      <alignment horizontal="left" wrapText="1"/>
    </xf>
    <xf numFmtId="0" fontId="83" fillId="16" borderId="71" applyFont="1" applyFill="1" applyBorder="1" applyAlignment="1">
      <alignment horizontal="center" vertical="center"/>
    </xf>
  </cellXfs>
  <cellStyles count="176">
    <cellStyle name="Comma" xfId="1" builtinId="3"/>
    <cellStyle name="Comma_MTD Classic Sample" xfId="2"/>
    <cellStyle name="Currency" xfId="3" builtinId="4"/>
    <cellStyle name="ExtStyle 0" xfId="4"/>
    <cellStyle name="ExtStyle 16" xfId="5"/>
    <cellStyle name="ExtStyle 17" xfId="6"/>
    <cellStyle name="ExtStyle 18" xfId="7"/>
    <cellStyle name="ExtStyle 19" xfId="8"/>
    <cellStyle name="ExtStyle 20" xfId="9"/>
    <cellStyle name="ExtStyle 21" xfId="10"/>
    <cellStyle name="ExtStyle 22" xfId="11"/>
    <cellStyle name="ExtStyle 28" xfId="12"/>
    <cellStyle name="ExtStyle 29" xfId="13"/>
    <cellStyle name="ExtStyle 30" xfId="14"/>
    <cellStyle name="ExtStyle 31" xfId="15"/>
    <cellStyle name="ExtStyle 32" xfId="16"/>
    <cellStyle name="ExtStyle 33" xfId="17"/>
    <cellStyle name="ExtStyle 34" xfId="18"/>
    <cellStyle name="ExtStyle 35" xfId="19"/>
    <cellStyle name="ExtStyle 36" xfId="20"/>
    <cellStyle name="ExtStyle 37" xfId="21"/>
    <cellStyle name="ExtStyle 38" xfId="22"/>
    <cellStyle name="ExtStyle 39" xfId="23"/>
    <cellStyle name="Hyperlink 2" xfId="24"/>
    <cellStyle name="Normal" xfId="0" builtinId="0"/>
    <cellStyle name="Normal 2" xfId="25"/>
    <cellStyle name="Percent" xfId="26" builtinId="5"/>
    <cellStyle name="Style 1025" xfId="27"/>
    <cellStyle name="Style 1101" xfId="28"/>
    <cellStyle name="Style 1103" xfId="29"/>
    <cellStyle name="Style 1104" xfId="30"/>
    <cellStyle name="Style 1105" xfId="31"/>
    <cellStyle name="Style 1106" xfId="32"/>
    <cellStyle name="Style 1107" xfId="33"/>
    <cellStyle name="Style 1108" xfId="34"/>
    <cellStyle name="Style 1109" xfId="35"/>
    <cellStyle name="Style 1110" xfId="36"/>
    <cellStyle name="Style 1111" xfId="37"/>
    <cellStyle name="Style 1112" xfId="38"/>
    <cellStyle name="Style 1113" xfId="39"/>
    <cellStyle name="Style 1114" xfId="40"/>
    <cellStyle name="Style 1115" xfId="41"/>
    <cellStyle name="Style 1177" xfId="42"/>
    <cellStyle name="Style 1178" xfId="43"/>
    <cellStyle name="Style 1179" xfId="44"/>
    <cellStyle name="Style 1180" xfId="45"/>
    <cellStyle name="Style 1181" xfId="46"/>
    <cellStyle name="Style 1182" xfId="47"/>
    <cellStyle name="Style 1183" xfId="48"/>
    <cellStyle name="Style 1184" xfId="49"/>
    <cellStyle name="Style 1185" xfId="50"/>
    <cellStyle name="Style 1299" xfId="51"/>
    <cellStyle name="Style 1331" xfId="52"/>
    <cellStyle name="Style 1332" xfId="53"/>
    <cellStyle name="Style 1333" xfId="54"/>
    <cellStyle name="Style 1334" xfId="55"/>
    <cellStyle name="Style 1335" xfId="56"/>
    <cellStyle name="Style 1336" xfId="57"/>
    <cellStyle name="Style 1337" xfId="58"/>
    <cellStyle name="Style 1338" xfId="59"/>
    <cellStyle name="Style 1339" xfId="60"/>
    <cellStyle name="Style 1376" xfId="61"/>
    <cellStyle name="Style 1377" xfId="62"/>
    <cellStyle name="Style 1378" xfId="63"/>
    <cellStyle name="Style 1379" xfId="64"/>
    <cellStyle name="Style 1380" xfId="65"/>
    <cellStyle name="Style 1381" xfId="66"/>
    <cellStyle name="Style 1382" xfId="67"/>
    <cellStyle name="Style 1383" xfId="68"/>
    <cellStyle name="Style 1384" xfId="69"/>
    <cellStyle name="Style 1385" xfId="70"/>
    <cellStyle name="Style 1386" xfId="71"/>
    <cellStyle name="Style 1556" xfId="72"/>
    <cellStyle name="Style 1663" xfId="73"/>
    <cellStyle name="Style 1665" xfId="74"/>
    <cellStyle name="Style 1666" xfId="75"/>
    <cellStyle name="Style 1667" xfId="76"/>
    <cellStyle name="Style 1668" xfId="77"/>
    <cellStyle name="Style 1669" xfId="78"/>
    <cellStyle name="Style 1670" xfId="79"/>
    <cellStyle name="Style 1671" xfId="80"/>
    <cellStyle name="Style 1672" xfId="81"/>
    <cellStyle name="Style 1673" xfId="82"/>
    <cellStyle name="Style 1887" xfId="83"/>
    <cellStyle name="Style 1888" xfId="84"/>
    <cellStyle name="Style 1889" xfId="85"/>
    <cellStyle name="Style 1890" xfId="86"/>
    <cellStyle name="Style 1891" xfId="87"/>
    <cellStyle name="Style 1892" xfId="88"/>
    <cellStyle name="Style 1893" xfId="89"/>
    <cellStyle name="Style 1894" xfId="90"/>
    <cellStyle name="Style 1895" xfId="91"/>
    <cellStyle name="Style 297" xfId="92"/>
    <cellStyle name="Style 300" xfId="93"/>
    <cellStyle name="Style 528" xfId="94"/>
    <cellStyle name="Style 561" xfId="95"/>
    <cellStyle name="Style 669" xfId="96"/>
    <cellStyle name="Style 670" xfId="97"/>
    <cellStyle name="Style 671" xfId="98"/>
    <cellStyle name="Style 672" xfId="99"/>
    <cellStyle name="Style 673" xfId="100"/>
    <cellStyle name="Style 674" xfId="101"/>
    <cellStyle name="Style 675" xfId="102"/>
    <cellStyle name="Style 676" xfId="103"/>
    <cellStyle name="Style 707" xfId="104"/>
    <cellStyle name="Style 708" xfId="105"/>
    <cellStyle name="Style 709" xfId="106"/>
    <cellStyle name="Style 710" xfId="107"/>
    <cellStyle name="Style 711" xfId="108"/>
    <cellStyle name="Style 712" xfId="109"/>
    <cellStyle name="Style 713" xfId="110"/>
    <cellStyle name="Style 714" xfId="111"/>
    <cellStyle name="Style 723" xfId="112"/>
    <cellStyle name="Style 740" xfId="113"/>
    <cellStyle name="Style 741" xfId="114"/>
    <cellStyle name="Style 742" xfId="115"/>
    <cellStyle name="Style 743" xfId="116"/>
    <cellStyle name="Style 744" xfId="117"/>
    <cellStyle name="Style 745" xfId="118"/>
    <cellStyle name="Style 746" xfId="119"/>
    <cellStyle name="Style 747" xfId="120"/>
    <cellStyle name="Style 835" xfId="121"/>
    <cellStyle name="Style 843" xfId="122"/>
    <cellStyle name="Style 868" xfId="123"/>
    <cellStyle name="Style 902" xfId="124"/>
    <cellStyle name="Style 903" xfId="125"/>
    <cellStyle name="Style 904" xfId="126"/>
    <cellStyle name="Style 905" xfId="127"/>
    <cellStyle name="Style 910" xfId="128"/>
    <cellStyle name="Style 911" xfId="129"/>
    <cellStyle name="Style 912" xfId="130"/>
    <cellStyle name="Style 913" xfId="131"/>
    <cellStyle name="Style 918" xfId="132"/>
    <cellStyle name="Style 919" xfId="133"/>
    <cellStyle name="Style 920" xfId="134"/>
    <cellStyle name="Style 921" xfId="135"/>
    <cellStyle name="Style 926" xfId="136"/>
    <cellStyle name="Style 927" xfId="137"/>
    <cellStyle name="Style 928" xfId="138"/>
    <cellStyle name="Style 929" xfId="139"/>
    <cellStyle name="Style 934" xfId="140"/>
    <cellStyle name="Style 935" xfId="141"/>
    <cellStyle name="Style 936" xfId="142"/>
    <cellStyle name="Style 937" xfId="143"/>
    <cellStyle name="Style 942" xfId="144"/>
    <cellStyle name="Style 943" xfId="145"/>
    <cellStyle name="Style 944" xfId="146"/>
    <cellStyle name="Style 945" xfId="147"/>
    <cellStyle name="Style 950" xfId="148"/>
    <cellStyle name="Style 951" xfId="149"/>
    <cellStyle name="Style 952" xfId="150"/>
    <cellStyle name="Style 953" xfId="151"/>
    <cellStyle name="Style 958" xfId="152"/>
    <cellStyle name="Style 959" xfId="153"/>
    <cellStyle name="Style 960" xfId="154"/>
    <cellStyle name="Style 961" xfId="155"/>
    <cellStyle name="Style 966" xfId="156"/>
    <cellStyle name="Style 967" xfId="157"/>
    <cellStyle name="Style 968" xfId="158"/>
    <cellStyle name="Style 969" xfId="159"/>
    <cellStyle name="Style 974" xfId="160"/>
    <cellStyle name="Style 975" xfId="161"/>
    <cellStyle name="Style 976" xfId="162"/>
    <cellStyle name="Style 977" xfId="163"/>
    <cellStyle name="Style 979" xfId="164"/>
    <cellStyle name="Style 981" xfId="165"/>
    <cellStyle name="Style 982" xfId="166"/>
    <cellStyle name="Style 983" xfId="167"/>
    <cellStyle name="Style 984" xfId="168"/>
    <cellStyle name="Style 985" xfId="169"/>
    <cellStyle name="Style 986" xfId="170"/>
    <cellStyle name="Style 987" xfId="171"/>
    <cellStyle name="Style 988" xfId="172"/>
    <cellStyle name="Style 989" xfId="173"/>
    <cellStyle name="Style 991" xfId="174"/>
    <cellStyle name="Hyperlink" xfId="175" builtinId="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FF00FF"/>
      <rgbColor rgb="00FFFF00"/>
      <rgbColor rgb="0000FFFF"/>
      <rgbColor rgb="00800080"/>
      <rgbColor rgb="00CC6633"/>
      <rgbColor rgb="00666666"/>
      <rgbColor rgb="00A0A0A0"/>
      <rgbColor rgb="00FFFF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B57792"/>
      <rgbColor rgb="00003366"/>
      <rgbColor rgb="00339966"/>
      <rgbColor rgb="00003300"/>
      <rgbColor rgb="00333300"/>
      <rgbColor rgb="00993300"/>
      <rgbColor rgb="00993366"/>
      <rgbColor rgb="00333399"/>
      <rgbColor rgb="00800000"/>
    </indexedColors>
  </colors>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xml version="1.0" encoding="utf-8" standalone="yes" ?>
<Relationships xmlns="http://schemas.openxmlformats.org/package/2006/relationships">
<Relationship Id="rId11" Type="http://schemas.openxmlformats.org/officeDocument/2006/relationships/worksheet" Target="worksheets/sheet8.xml" />
<Relationship Id="rId14" Type="http://schemas.openxmlformats.org/officeDocument/2006/relationships/styles" Target="/xl/styles.xml" />
<Relationship Id="rId15" Type="http://schemas.openxmlformats.org/officeDocument/2006/relationships/theme" Target="/xl/theme/theme1.xml" />
<Relationship Id="rId13" Type="http://schemas.openxmlformats.org/officeDocument/2006/relationships/worksheet" Target="worksheets/sheet16.xml" />
<Relationship Id="rId9" Type="http://schemas.openxmlformats.org/officeDocument/2006/relationships/worksheet" Target="worksheets/sheet1.xml" />
<Relationship Id="rId10" Type="http://schemas.openxmlformats.org/officeDocument/2006/relationships/worksheet" Target="worksheets/sheet6.xml" />
<Relationship Id="rId12" Type="http://schemas.openxmlformats.org/officeDocument/2006/relationships/worksheet" Target="worksheets/sheet10.xml" />
<Relationship Id="rId16" Type="http://schemas.openxmlformats.org/officeDocument/2006/relationships/sharedStrings" Target="/xl/sharedStrings.xml" />
<Relationship Id="rId8" Type="http://schemas.openxmlformats.org/officeDocument/2006/relationships/worksheet" Target="worksheets/sheet18.xml" />
<Relationship Id="rId7" Type="http://schemas.openxmlformats.org/officeDocument/2006/relationships/worksheet" Target="worksheets/sheet22.xml" />
<Relationship Id="rId6" Type="http://schemas.openxmlformats.org/officeDocument/2006/relationships/worksheet" Target="worksheets/sheet26.xml" />
<Relationship Id="rId5" Type="http://schemas.openxmlformats.org/officeDocument/2006/relationships/worksheet" Target="worksheets/sheet30.xml" />
<Relationship Id="rId4" Type="http://schemas.openxmlformats.org/officeDocument/2006/relationships/worksheet" Target="worksheets/sheet34.xml" />
<Relationship Id="rId3" Type="http://schemas.openxmlformats.org/officeDocument/2006/relationships/worksheet" Target="worksheets/sheet38.xml" />
<Relationship Id="rId2" Type="http://schemas.openxmlformats.org/officeDocument/2006/relationships/worksheet" Target="worksheets/sheet42.xml" />
<Relationship Id="rId1" Type="http://schemas.openxmlformats.org/officeDocument/2006/relationships/worksheet" Target="worksheets/sheet46.xml" />
</Relationships>
</file>

<file path=xl/charts/chart49.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Daily Indexes for the Month of August</a:t>
            </a:r>
          </a:p>
        </rich>
      </tx>
      <overlay val="0"/>
    </title>
    <plotArea>
      <lineChart>
        <grouping/>
        <ser>
          <idx val="0"/>
          <order val="0"/>
          <tx>
            <v>Occupancy Index</v>
          </tx>
          <spPr>
            <a:ln w="38100">
              <a:solidFill>
                <a:srgbClr val="009CDE"/>
              </a:solidFill>
              <a:prstDash val="solid"/>
            </a:ln>
          </spPr>
          <marker>
            <symbol val="circle"/>
            <size val="8"/>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Month'!$C$28:$AG$28</f>
              <numCache>
                <formatCode>General</formatCode>
                <ptCount val="31"/>
                <pt idx="0">
                  <v>65.2455311279842</v>
                </pt>
                <pt idx="0">
                  <v>99.1838321025777</v>
                </pt>
                <pt idx="0">
                  <v>47.9150275373307</v>
                </pt>
                <pt idx="0">
                  <v>48.8685604237347</v>
                </pt>
                <pt idx="0">
                  <v>78.2329431915286</v>
                </pt>
                <pt idx="0">
                  <v>93.9604945289492</v>
                </pt>
                <pt idx="0">
                  <v>79.0909090909688</v>
                </pt>
                <pt idx="0">
                  <v>148.180645161332</v>
                </pt>
                <pt idx="0">
                  <v>94.8549288160405</v>
                </pt>
                <pt idx="0">
                  <v>42.5219941349257</v>
                </pt>
                <pt idx="0">
                  <v>59.0831918506036</v>
                </pt>
                <pt idx="0">
                  <v>56.4221342541737</v>
                </pt>
                <pt idx="0">
                  <v>49.6975806451644</v>
                </pt>
                <pt idx="0">
                  <v>66.8202764976481</v>
                </pt>
                <pt idx="0">
                  <v>68.22313313138</v>
                </pt>
                <pt idx="0">
                  <v>79.6320981071227</v>
                </pt>
                <pt idx="0">
                  <v>45.8849503249901</v>
                </pt>
                <pt idx="0">
                  <v>47.6246334310833</v>
                </pt>
                <pt idx="0">
                  <v>51.942612725028</v>
                </pt>
                <pt idx="0">
                  <v>50.2532657957571</v>
                </pt>
                <pt idx="0">
                  <v>51.8389151427819</v>
                </pt>
                <pt idx="0">
                  <v>69.4930875576116</v>
                </pt>
                <pt idx="0">
                  <v>75.1404786680245</v>
                </pt>
                <pt idx="0">
                  <v>35.6752323674523</v>
                </pt>
                <pt idx="0">
                  <v>49.9134011690527</v>
                </pt>
                <pt idx="0">
                  <v>37.9463880054794</v>
                </pt>
                <pt idx="0">
                  <v>49.2208436724308</v>
                </pt>
                <pt idx="0">
                  <v>53.3742331288288</v>
                </pt>
                <pt idx="0">
                  <v>81.2182271928925</v>
                </pt>
                <pt idx="0">
                  <v>93.0636804278245</v>
                </pt>
                <pt idx="0">
                  <v>106.097560975687</v>
                </pt>
              </numCache>
            </numRef>
          </val>
          <smooth val="0"/>
        </ser>
        <ser>
          <idx val="1"/>
          <order val="1"/>
          <tx>
            <v>ADR Index</v>
          </tx>
          <spPr>
            <a:ln w="38100">
              <a:solidFill>
                <a:srgbClr val="D22630"/>
              </a:solidFill>
              <a:prstDash val="solid"/>
            </a:ln>
          </spPr>
          <marker>
            <symbol val="diamond"/>
            <size val="8"/>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Month'!$C$40:$AG$40</f>
              <numCache>
                <formatCode>General</formatCode>
                <ptCount val="31"/>
                <pt idx="0">
                  <v>90.1205875200639</v>
                </pt>
                <pt idx="0">
                  <v>95.5768388490416</v>
                </pt>
                <pt idx="0">
                  <v>96.9939229071361</v>
                </pt>
                <pt idx="0">
                  <v>105.724993203601</v>
                </pt>
                <pt idx="0">
                  <v>95.1504158293923</v>
                </pt>
                <pt idx="0">
                  <v>92.4313247976028</v>
                </pt>
                <pt idx="0">
                  <v>100.61853557479</v>
                </pt>
                <pt idx="0">
                  <v>103.388050913921</v>
                </pt>
                <pt idx="0">
                  <v>116.085218280129</v>
                </pt>
                <pt idx="0">
                  <v>103.89003423387</v>
                </pt>
                <pt idx="0">
                  <v>108.71695704471</v>
                </pt>
                <pt idx="0">
                  <v>103.180695771452</v>
                </pt>
                <pt idx="0">
                  <v>100.777239955004</v>
                </pt>
                <pt idx="0">
                  <v>96.2961173195283</v>
                </pt>
                <pt idx="0">
                  <v>104.698571507097</v>
                </pt>
                <pt idx="0">
                  <v>101.106676801208</v>
                </pt>
                <pt idx="0">
                  <v>101.176210305709</v>
                </pt>
                <pt idx="0">
                  <v>100.9237558882</v>
                </pt>
                <pt idx="0">
                  <v>98.7548995956925</v>
                </pt>
                <pt idx="0">
                  <v>93.9936962614835</v>
                </pt>
                <pt idx="0">
                  <v>104.739465295132</v>
                </pt>
                <pt idx="0">
                  <v>104.403442246232</v>
                </pt>
                <pt idx="0">
                  <v>119.435722119942</v>
                </pt>
                <pt idx="0">
                  <v>122.208735430935</v>
                </pt>
                <pt idx="0">
                  <v>99.2473257112387</v>
                </pt>
                <pt idx="0">
                  <v>100.107517948033</v>
                </pt>
                <pt idx="0">
                  <v>102.248954408866</v>
                </pt>
                <pt idx="0">
                  <v>86.8119667236295</v>
                </pt>
                <pt idx="0">
                  <v>138.489546760328</v>
                </pt>
                <pt idx="0">
                  <v>145.372747137517</v>
                </pt>
                <pt idx="0">
                  <v>128.293602343748</v>
                </pt>
              </numCache>
            </numRef>
          </val>
          <smooth val="0"/>
        </ser>
        <ser>
          <idx val="2"/>
          <order val="2"/>
          <tx>
            <v>RevPAR Index</v>
          </tx>
          <spPr>
            <a:ln w="38100">
              <a:solidFill>
                <a:srgbClr val="84BD00"/>
              </a:solidFill>
              <a:prstDash val="lgDash"/>
            </a:ln>
          </spPr>
          <marker>
            <symbol val="square"/>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Month'!$C$52:$AG$52</f>
              <numCache>
                <formatCode>General</formatCode>
                <ptCount val="31"/>
                <pt idx="0">
                  <v>58.7996559830984</v>
                </pt>
                <pt idx="0">
                  <v>94.7967713730155</v>
                </pt>
                <pt idx="0">
                  <v>46.4746648705877</v>
                </pt>
                <pt idx="0">
                  <v>51.6662821866174</v>
                </pt>
                <pt idx="0">
                  <v>74.4389707622572</v>
                </pt>
                <pt idx="0">
                  <v>86.8489298793606</v>
                </pt>
                <pt idx="0">
                  <v>79.5801144999656</v>
                </pt>
                <pt idx="0">
                  <v>153.201080864077</v>
                </pt>
                <pt idx="0">
                  <v>110.112551165494</v>
                </pt>
                <pt idx="0">
                  <v>44.1761142636864</v>
                </pt>
                <pt idx="0">
                  <v>64.2334483049218</v>
                </pt>
                <pt idx="0">
                  <v>58.2167506925385</v>
                </pt>
                <pt idx="0">
                  <v>50.0838500985917</v>
                </pt>
                <pt idx="0">
                  <v>64.3453318494292</v>
                </pt>
                <pt idx="0">
                  <v>71.428645825949</v>
                </pt>
                <pt idx="0">
                  <v>80.513368063164</v>
                </pt>
                <pt idx="0">
                  <v>46.4246538395606</v>
                </pt>
                <pt idx="0">
                  <v>48.0645687866276</v>
                </pt>
                <pt idx="0">
                  <v>51.2958750440009</v>
                </pt>
                <pt idx="0">
                  <v>47.2349020135536</v>
                </pt>
                <pt idx="0">
                  <v>54.29580253538</v>
                </pt>
                <pt idx="0">
                  <v>72.55317553334</v>
                </pt>
                <pt idx="0">
                  <v>89.7445733015979</v>
                </pt>
                <pt idx="0">
                  <v>43.5982503382719</v>
                </pt>
                <pt idx="0">
                  <v>49.5377158317863</v>
                </pt>
                <pt idx="0">
                  <v>37.9871871831985</v>
                </pt>
                <pt idx="0">
                  <v>50.3277980063466</v>
                </pt>
                <pt idx="0">
                  <v>46.3352215027947</v>
                </pt>
                <pt idx="0">
                  <v>112.478754726181</v>
                </pt>
                <pt idx="0">
                  <v>135.289228825219</v>
                </pt>
                <pt idx="0">
                  <v>136.116382974516</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Month'!$C$61:$AG$61</f>
              <numCache>
                <formatCode>General</formatCode>
                <ptCount val="31"/>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58"/>
          <min val="31"/>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legendEntry>
        <idx val="3"/>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51.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Occupancy (%) - Jun 15, 2025 to Sep 06,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Occ!$B$73:$M$73</f>
              <numCache>
                <formatCode>General</formatCode>
                <ptCount val="12"/>
                <pt idx="0">
                  <v>45.3149001536098</v>
                </pt>
                <pt idx="0">
                  <v>50.7680491551459</v>
                </pt>
                <pt idx="0">
                  <v>29.8771121351767</v>
                </pt>
                <pt idx="0">
                  <v>39.1705069124424</v>
                </pt>
                <pt idx="0">
                  <v>40.6298003072197</v>
                </pt>
                <pt idx="0">
                  <v>29.2626728110599</v>
                </pt>
                <pt idx="0">
                  <v>43.2411674347158</v>
                </pt>
                <pt idx="0">
                  <v>39.7081413210445</v>
                </pt>
                <pt idx="0">
                  <v>40.937019969278</v>
                </pt>
                <pt idx="0">
                  <v>34.5622119815668</v>
                </pt>
                <pt idx="0">
                  <v>36.78955453149</v>
                </pt>
                <pt idx="0">
                  <v>30.3379416282642</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Occ!$B$74:$M$74</f>
              <numCache>
                <formatCode>General</formatCode>
                <ptCount val="12"/>
                <pt idx="0">
                  <v>60.4542966611932</v>
                </pt>
                <pt idx="0">
                  <v>57.5691783737761</v>
                </pt>
                <pt idx="0">
                  <v>44.6633825944171</v>
                </pt>
                <pt idx="0">
                  <v>58.7301587301587</v>
                </pt>
                <pt idx="0">
                  <v>52.2988505747126</v>
                </pt>
                <pt idx="0">
                  <v>56.8965517241379</v>
                </pt>
                <pt idx="0">
                  <v>48.8505747126437</v>
                </pt>
                <pt idx="0">
                  <v>45.0465243568692</v>
                </pt>
                <pt idx="0">
                  <v>67.5150519978106</v>
                </pt>
                <pt idx="0">
                  <v>61.767925561029</v>
                </pt>
                <pt idx="0">
                  <v>62.2605363984674</v>
                </pt>
                <pt idx="0">
                  <v>53.7493158182813</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Occ!$B$75:$M$75</f>
              <numCache>
                <formatCode>General</formatCode>
                <ptCount val="12"/>
                <pt idx="0">
                  <v>77.680596047943</v>
                </pt>
                <pt idx="0">
                  <v>75.7304826692582</v>
                </pt>
                <pt idx="0">
                  <v>63.1227729186913</v>
                </pt>
                <pt idx="0">
                  <v>77.0327178490444</v>
                </pt>
                <pt idx="0">
                  <v>74.6031746031746</v>
                </pt>
                <pt idx="0">
                  <v>74.2014901198575</v>
                </pt>
                <pt idx="0">
                  <v>70.709426627794</v>
                </pt>
                <pt idx="0">
                  <v>69.9967606090055</v>
                </pt>
                <pt idx="0">
                  <v>74.421768707483</v>
                </pt>
                <pt idx="0">
                  <v>69.9643666990606</v>
                </pt>
                <pt idx="0">
                  <v>70.1068999028183</v>
                </pt>
                <pt idx="0">
                  <v>60.2915451895044</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83"/>
          <min val="24"/>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53.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ADR - Jun 15, 2025 to Sep 06,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ADR!$B$73:$M$73</f>
              <numCache>
                <formatCode>General</formatCode>
                <ptCount val="12"/>
                <pt idx="0">
                  <v>102.181355932203</v>
                </pt>
                <pt idx="0">
                  <v>100.78517397882</v>
                </pt>
                <pt idx="0">
                  <v>95.5167095115681</v>
                </pt>
                <pt idx="0">
                  <v>97.9980392156863</v>
                </pt>
                <pt idx="0">
                  <v>98.875236294896</v>
                </pt>
                <pt idx="0">
                  <v>100.540682414698</v>
                </pt>
                <pt idx="0">
                  <v>103.33214920071</v>
                </pt>
                <pt idx="0">
                  <v>100.452611218569</v>
                </pt>
                <pt idx="0">
                  <v>94.5984990619137</v>
                </pt>
                <pt idx="0">
                  <v>95.1555555555556</v>
                </pt>
                <pt idx="0">
                  <v>114.845511482255</v>
                </pt>
                <pt idx="0">
                  <v>102.182278481013</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ADR!$B$74:$M$74</f>
              <numCache>
                <formatCode>General</formatCode>
                <ptCount val="12"/>
                <pt idx="0">
                  <v>109.827614305115</v>
                </pt>
                <pt idx="0">
                  <v>111.663187268252</v>
                </pt>
                <pt idx="0">
                  <v>97.1975490196078</v>
                </pt>
                <pt idx="0">
                  <v>113.967087604846</v>
                </pt>
                <pt idx="0">
                  <v>104.451705913134</v>
                </pt>
                <pt idx="0">
                  <v>102.925122655123</v>
                </pt>
                <pt idx="0">
                  <v>99.4502240896359</v>
                </pt>
                <pt idx="0">
                  <v>96.5559781287971</v>
                </pt>
                <pt idx="0">
                  <v>92.119513579246</v>
                </pt>
                <pt idx="0">
                  <v>91.8239920248117</v>
                </pt>
                <pt idx="0">
                  <v>94.9930945054945</v>
                </pt>
                <pt idx="0">
                  <v>88.9410896130346</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ADR!$B$75:$M$75</f>
              <numCache>
                <formatCode>General</formatCode>
                <ptCount val="12"/>
                <pt idx="0">
                  <v>132.605921601334</v>
                </pt>
                <pt idx="0">
                  <v>129.748139276243</v>
                </pt>
                <pt idx="0">
                  <v>120.963871497485</v>
                </pt>
                <pt idx="0">
                  <v>133.708746846089</v>
                </pt>
                <pt idx="0">
                  <v>130.917672600955</v>
                </pt>
                <pt idx="0">
                  <v>130.272243080416</v>
                </pt>
                <pt idx="0">
                  <v>126.102253985706</v>
                </pt>
                <pt idx="0">
                  <v>125.059792669382</v>
                </pt>
                <pt idx="0">
                  <v>130.461826412466</v>
                </pt>
                <pt idx="0">
                  <v>129.4855079174</v>
                </pt>
                <pt idx="0">
                  <v>131.832732649478</v>
                </pt>
                <pt idx="0">
                  <v>122.069417580056</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39"/>
          <min val="84"/>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55.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RevPAR - Jun 15, 2025 to Sep 06,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RevPAR!$B$73:$M$73</f>
              <numCache>
                <formatCode>General</formatCode>
                <ptCount val="12"/>
                <pt idx="0">
                  <v>46.3033794162826</v>
                </pt>
                <pt idx="0">
                  <v>51.1666666666667</v>
                </pt>
                <pt idx="0">
                  <v>28.5376344086022</v>
                </pt>
                <pt idx="0">
                  <v>38.3863287250384</v>
                </pt>
                <pt idx="0">
                  <v>40.1728110599078</v>
                </pt>
                <pt idx="0">
                  <v>29.42089093702</v>
                </pt>
                <pt idx="0">
                  <v>44.6820276497696</v>
                </pt>
                <pt idx="0">
                  <v>39.8878648233487</v>
                </pt>
                <pt idx="0">
                  <v>38.7258064516129</v>
                </pt>
                <pt idx="0">
                  <v>32.8878648233487</v>
                </pt>
                <pt idx="0">
                  <v>42.2511520737327</v>
                </pt>
                <pt idx="0">
                  <v>31</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RevPAR!$B$74:$M$74</f>
              <numCache>
                <formatCode>General</formatCode>
                <ptCount val="12"/>
                <pt idx="0">
                  <v>66.3955117679256</v>
                </pt>
                <pt idx="0">
                  <v>64.2835794563036</v>
                </pt>
                <pt idx="0">
                  <v>43.4117131910235</v>
                </pt>
                <pt idx="0">
                  <v>66.9330514504652</v>
                </pt>
                <pt idx="0">
                  <v>54.6270415982485</v>
                </pt>
                <pt idx="0">
                  <v>58.5608456486043</v>
                </pt>
                <pt idx="0">
                  <v>48.5820060207991</v>
                </pt>
                <pt idx="0">
                  <v>43.4951122058019</v>
                </pt>
                <pt idx="0">
                  <v>62.1945374931582</v>
                </pt>
                <pt idx="0">
                  <v>56.7177750410509</v>
                </pt>
                <pt idx="0">
                  <v>59.143210180624</v>
                </pt>
                <pt idx="0">
                  <v>47.8052271483306</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RevPAR!$B$75:$M$75</f>
              <numCache>
                <formatCode>General</formatCode>
                <ptCount val="12"/>
                <pt idx="0">
                  <v>103.009070294785</v>
                </pt>
                <pt idx="0">
                  <v>98.2588921282799</v>
                </pt>
                <pt idx="0">
                  <v>76.3557499190152</v>
                </pt>
                <pt idx="0">
                  <v>102.999481697441</v>
                </pt>
                <pt idx="0">
                  <v>97.6687398769031</v>
                </pt>
                <pt idx="0">
                  <v>96.6639455782313</v>
                </pt>
                <pt idx="0">
                  <v>89.1661807580175</v>
                </pt>
                <pt idx="0">
                  <v>87.5378036929057</v>
                </pt>
                <pt idx="0">
                  <v>97.0919987042436</v>
                </pt>
                <pt idx="0">
                  <v>90.5937155814707</v>
                </pt>
                <pt idx="0">
                  <v>92.4238419177195</v>
                </pt>
                <pt idx="0">
                  <v>73.5975380628442</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08"/>
          <min val="24"/>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drawings/_rels/drawing1.xml.rels><?xml version="1.0" encoding="utf-8" standalone="yes" ?>
<Relationships xmlns="http://schemas.openxmlformats.org/package/2006/relationships">
<Relationship Id="rId1" Type="http://schemas.openxmlformats.org/officeDocument/2006/relationships/image" Target="/xl/media/image1.png" />
</Relationships>
</file>

<file path=xl/drawings/_rels/drawing2.xml.rels><?xml version="1.0" encoding="utf-8" standalone="yes" ?>
<Relationships xmlns="http://schemas.openxmlformats.org/package/2006/relationships">
<Relationship Id="rId1" Type="http://schemas.openxmlformats.org/officeDocument/2006/relationships/image" Target="/xl/media/image2.jpeg" />
</Relationships>
</file>

<file path=xl/drawings/_rels/drawing28.xml.rels><?xml version="1.0" encoding="utf-8" standalone="yes" ?>
<Relationships xmlns="http://schemas.openxmlformats.org/package/2006/relationships">
<Relationship Id="rId54" Type="http://schemas.openxmlformats.org/officeDocument/2006/relationships/chart" Target="/xl/charts/chart49.xml" />
</Relationships>
</file>

<file path=xl/drawings/_rels/drawing50.xml.rels><?xml version="1.0" encoding="utf-8" standalone="yes" ?>
<Relationships xmlns="http://schemas.openxmlformats.org/package/2006/relationships">
<Relationship Id="rId56" Type="http://schemas.openxmlformats.org/officeDocument/2006/relationships/chart" Target="/xl/charts/chart51.xml" />
</Relationships>
</file>

<file path=xl/drawings/_rels/drawing52.xml.rels><?xml version="1.0" encoding="utf-8" standalone="yes" ?>
<Relationships xmlns="http://schemas.openxmlformats.org/package/2006/relationships">
<Relationship Id="rId58" Type="http://schemas.openxmlformats.org/officeDocument/2006/relationships/chart" Target="/xl/charts/chart53.xml" />
</Relationships>
</file>

<file path=xl/drawings/_rels/drawing54.xml.rels><?xml version="1.0" encoding="utf-8" standalone="yes" ?>
<Relationships xmlns="http://schemas.openxmlformats.org/package/2006/relationships">
<Relationship Id="rId60" Type="http://schemas.openxmlformats.org/officeDocument/2006/relationships/chart" Target="/xl/charts/chart55.xml"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6</xdr:col>
      <xdr:colOff>0</xdr:colOff>
      <xdr:row>1</xdr:row>
      <xdr:rowOff>0</xdr:rowOff>
    </xdr:from>
    <xdr:to>
      <xdr:col>7</xdr:col>
      <xdr:colOff>0</xdr:colOff>
      <xdr:row>5</xdr:row>
      <xdr:rowOff>38100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9410700" y="581025"/>
          <a:ext cx="1038225" cy="1038225"/>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0</xdr:colOff>
      <xdr:row>0</xdr:row>
      <xdr:rowOff>19050</xdr:rowOff>
    </xdr:from>
    <xdr:to>
      <xdr:col>5</xdr:col>
      <xdr:colOff>1905000</xdr:colOff>
      <xdr:row>1</xdr:row>
      <xdr:rowOff>838200</xdr:rowOff>
    </xdr:to>
    <xdr:pic>
      <xdr:nvPicPr>
        <xdr:cNvPr id="1054" name="Picture 1">
          <a:extLst>
            <a:ext uri="{FF2B5EF4-FFF2-40B4-BE49-F238E27FC236}">
              <a16:creationId xmlns:a16="http://schemas.microsoft.com/office/drawing/2014/main" id="{00000000-0008-0000-0F00-00001E040000}"/>
            </a:ext>
          </a:extLst>
        </xdr:cNvPr>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bwMode="auto">
        <a:xfrm>
          <a:off x="0" y="19050"/>
          <a:ext cx="6086475" cy="1009650"/>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2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2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103632</xdr:rowOff>
    </xdr:from>
    <xdr:ext cx="18923000" cy="4670425"/>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54"/>
        </a:graphicData>
      </a:graphic>
    </xdr:graphicFrame>
    <xdr:clientData/>
  </xdr:oneCellAnchor>
</xdr:wsDr>
</file>

<file path=xl/drawings/drawing3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3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5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923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56"/>
        </a:graphicData>
      </a:graphic>
    </xdr:graphicFrame>
    <xdr:clientData/>
  </xdr:oneCellAnchor>
</xdr:wsDr>
</file>

<file path=xl/drawings/drawing5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542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58"/>
        </a:graphicData>
      </a:graphic>
    </xdr:graphicFrame>
    <xdr:clientData/>
  </xdr:oneCellAnchor>
</xdr:wsDr>
</file>

<file path=xl/drawings/drawing5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118110</xdr:rowOff>
    </xdr:from>
    <xdr:ext cx="18415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60"/>
        </a:graphicData>
      </a:graphic>
    </xdr:graphicFrame>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
<Relationships xmlns="http://schemas.openxmlformats.org/package/2006/relationships">
<Relationship Id="rId3" Type="http://schemas.openxmlformats.org/officeDocument/2006/relationships/printerSettings" Target="../printerSettings/printerSettings1.bin" />
<Relationship Id="rId4" Type="http://schemas.openxmlformats.org/officeDocument/2006/relationships/drawing" Target="../drawings/drawing1.xml" />
<Relationship Id="rId61" Type="http://schemas.openxmlformats.org/officeDocument/2006/relationships/hyperlink" Target="http://www.strglobal.com/" TargetMode="External" />
<Relationship Id="rId62" Type="http://schemas.openxmlformats.org/officeDocument/2006/relationships/hyperlink" Target="http://www.str.com/" TargetMode="External" />
</Relationships>
</file>

<file path=xl/worksheets/_rels/sheet6.xml.rels><?xml version="1.0" encoding="utf-8" standalone="yes" ?>
<Relationships xmlns="http://schemas.openxmlformats.org/package/2006/relationships">
<Relationship Id="rId1" Type="http://schemas.openxmlformats.org/officeDocument/2006/relationships/printerSettings" Target="../printerSettings/printerSettings6.bin" />
<Relationship Id="rId55" Type="http://schemas.openxmlformats.org/officeDocument/2006/relationships/drawing" Target="../drawings/drawing50.xml" />
</Relationships>
</file>

<file path=xl/worksheets/_rels/sheet8.xml.rels><?xml version="1.0" encoding="utf-8" standalone="yes" ?>
<Relationships xmlns="http://schemas.openxmlformats.org/package/2006/relationships">
<Relationship Id="rId1" Type="http://schemas.openxmlformats.org/officeDocument/2006/relationships/printerSettings" Target="../printerSettings/printerSettings8.bin" />
<Relationship Id="rId57" Type="http://schemas.openxmlformats.org/officeDocument/2006/relationships/drawing" Target="../drawings/drawing52.xml" />
</Relationships>
</file>

<file path=xl/worksheets/_rels/sheet10.xml.rels><?xml version="1.0" encoding="utf-8" standalone="yes" ?>
<Relationships xmlns="http://schemas.openxmlformats.org/package/2006/relationships">
<Relationship Id="rId1" Type="http://schemas.openxmlformats.org/officeDocument/2006/relationships/printerSettings" Target="../printerSettings/printerSettings10.bin" />
<Relationship Id="rId59" Type="http://schemas.openxmlformats.org/officeDocument/2006/relationships/drawing" Target="../drawings/drawing54.xml" />
</Relationships>
</file>

<file path=xl/worksheets/_rels/sheet16.xml.rels><?xml version="1.0" encoding="utf-8" standalone="yes" ?>
<Relationships xmlns="http://schemas.openxmlformats.org/package/2006/relationships">
<Relationship Id="rId7" Type="http://schemas.openxmlformats.org/officeDocument/2006/relationships/drawing" Target="../drawings/drawing2.xml" />
<Relationship Id="rId6" Type="http://schemas.openxmlformats.org/officeDocument/2006/relationships/printerSettings" Target="../printerSettings/printerSettings16.bin" />
<Relationship Id="rId63" Type="http://schemas.openxmlformats.org/officeDocument/2006/relationships/hyperlink" Target="http://www.str.com/data-insights/resources/glossary" TargetMode="External" />
<Relationship Id="rId64" Type="http://schemas.openxmlformats.org/officeDocument/2006/relationships/hyperlink" Target="http://www.hotelnewsnow.com/" TargetMode="External" />
<Relationship Id="rId65" Type="http://schemas.openxmlformats.org/officeDocument/2006/relationships/hyperlink" Target="http://www.hoteldataconference.com/" TargetMode="External" />
<Relationship Id="rId66" Type="http://schemas.openxmlformats.org/officeDocument/2006/relationships/hyperlink" Target="http://www.str.com/data-insights/resources/FAQ" TargetMode="External" />
<Relationship Id="rId67" Type="http://schemas.openxmlformats.org/officeDocument/2006/relationships/hyperlink" Target="https://str.com/contact" TargetMode="External" />
</Relationships>
</file>

<file path=xl/worksheets/_rels/sheet18.xml.rels><?xml version="1.0" encoding="utf-8" standalone="yes" ?>
<Relationships xmlns="http://schemas.openxmlformats.org/package/2006/relationships">
<Relationship Id="rId1" Type="http://schemas.openxmlformats.org/officeDocument/2006/relationships/printerSettings" Target="../printerSettings/printerSettings19.bin" />
<Relationship Id="rId22" Type="http://schemas.openxmlformats.org/officeDocument/2006/relationships/drawing" Target="../drawings/drawing20.xml" />
</Relationships>
</file>

<file path=xl/worksheets/_rels/sheet22.xml.rels><?xml version="1.0" encoding="utf-8" standalone="yes" ?>
<Relationships xmlns="http://schemas.openxmlformats.org/package/2006/relationships">
<Relationship Id="rId1" Type="http://schemas.openxmlformats.org/officeDocument/2006/relationships/printerSettings" Target="../printerSettings/printerSettings23.bin" />
<Relationship Id="rId26" Type="http://schemas.openxmlformats.org/officeDocument/2006/relationships/drawing" Target="../drawings/drawing24.xml" />
</Relationships>
</file>

<file path=xl/worksheets/_rels/sheet26.xml.rels><?xml version="1.0" encoding="utf-8" standalone="yes" ?>
<Relationships xmlns="http://schemas.openxmlformats.org/package/2006/relationships">
<Relationship Id="rId1" Type="http://schemas.openxmlformats.org/officeDocument/2006/relationships/printerSettings" Target="../printerSettings/printerSettings27.bin" />
<Relationship Id="rId30" Type="http://schemas.openxmlformats.org/officeDocument/2006/relationships/drawing" Target="../drawings/drawing28.xml" />
</Relationships>
</file>

<file path=xl/worksheets/_rels/sheet30.xml.rels><?xml version="1.0" encoding="utf-8" standalone="yes" ?>
<Relationships xmlns="http://schemas.openxmlformats.org/package/2006/relationships">
<Relationship Id="rId1" Type="http://schemas.openxmlformats.org/officeDocument/2006/relationships/printerSettings" Target="../printerSettings/printerSettings31.bin" />
<Relationship Id="rId34" Type="http://schemas.openxmlformats.org/officeDocument/2006/relationships/drawing" Target="../drawings/drawing32.xml" />
</Relationships>
</file>

<file path=xl/worksheets/_rels/sheet34.xml.rels><?xml version="1.0" encoding="utf-8" standalone="yes" ?>
<Relationships xmlns="http://schemas.openxmlformats.org/package/2006/relationships">
<Relationship Id="rId1" Type="http://schemas.openxmlformats.org/officeDocument/2006/relationships/printerSettings" Target="../printerSettings/printerSettings35.bin" />
<Relationship Id="rId38" Type="http://schemas.openxmlformats.org/officeDocument/2006/relationships/drawing" Target="../drawings/drawing36.xml" />
</Relationships>
</file>

<file path=xl/worksheets/_rels/sheet38.xml.rels><?xml version="1.0" encoding="utf-8" standalone="yes" ?>
<Relationships xmlns="http://schemas.openxmlformats.org/package/2006/relationships">
<Relationship Id="rId1" Type="http://schemas.openxmlformats.org/officeDocument/2006/relationships/printerSettings" Target="../printerSettings/printerSettings39.bin" />
<Relationship Id="rId42" Type="http://schemas.openxmlformats.org/officeDocument/2006/relationships/drawing" Target="../drawings/drawing40.xml" />
</Relationships>
</file>

<file path=xl/worksheets/_rels/sheet42.xml.rels><?xml version="1.0" encoding="utf-8" standalone="yes" ?>
<Relationships xmlns="http://schemas.openxmlformats.org/package/2006/relationships">
<Relationship Id="rId1" Type="http://schemas.openxmlformats.org/officeDocument/2006/relationships/printerSettings" Target="../printerSettings/printerSettings43.bin" />
<Relationship Id="rId46" Type="http://schemas.openxmlformats.org/officeDocument/2006/relationships/drawing" Target="../drawings/drawing44.xml" />
</Relationships>
</file>

<file path=xl/worksheets/_rels/sheet46.xml.rels><?xml version="1.0" encoding="utf-8" standalone="yes" ?>
<Relationships xmlns="http://schemas.openxmlformats.org/package/2006/relationships">
<Relationship Id="rId1" Type="http://schemas.openxmlformats.org/officeDocument/2006/relationships/printerSettings" Target="../printerSettings/printerSettings47.bin" />
<Relationship Id="rId50" Type="http://schemas.openxmlformats.org/officeDocument/2006/relationships/drawing" Target="../drawings/drawing48.xml"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pageSetUpPr fitToPage="1"/>
  </sheetPr>
  <dimension ref="A1:Z117"/>
  <sheetViews>
    <sheetView showGridLines="0" tabSelected="1" zoomScaleNormal="100" workbookViewId="0"/>
  </sheetViews>
  <sheetFormatPr defaultRowHeight="12.75"/>
  <cols>
    <col min="1" max="1" width="13.28515625" customWidth="1"/>
    <col min="2" max="2" width="57.5703125" customWidth="1"/>
    <col min="3" max="3" width="5.42578125" style="176" customWidth="1"/>
    <col min="4" max="4" width="1.85546875" customWidth="1"/>
    <col min="5" max="5" width="57.5703125" customWidth="1"/>
    <col min="6" max="6" width="5.42578125" style="176" customWidth="1"/>
    <col min="7" max="7" width="15.5703125" customWidth="1"/>
    <col min="8" max="8" width="4.140625" customWidth="1"/>
    <col min="9" max="13" width="7.140625" customWidth="1"/>
    <col min="14" max="14" width="1.42578125" customWidth="1"/>
    <col min="15" max="15" width="13.140625" customWidth="1"/>
  </cols>
  <sheetData>
    <row r="1" ht="45.75" customHeight="1">
      <c r="A1" s="407"/>
      <c r="B1" s="407"/>
      <c r="C1" s="420"/>
      <c r="D1" s="407"/>
      <c r="E1" s="407"/>
      <c r="F1" s="420"/>
      <c r="G1" s="407"/>
      <c r="H1" s="408"/>
      <c r="I1" s="244"/>
      <c r="J1" s="244"/>
      <c r="K1" s="244"/>
      <c r="L1" s="244"/>
      <c r="M1" s="244"/>
      <c r="N1" s="244"/>
      <c r="O1" s="244"/>
      <c r="P1" s="244"/>
      <c r="Q1" s="244"/>
      <c r="R1" s="244"/>
      <c r="S1" s="244"/>
      <c r="T1" s="244"/>
      <c r="U1" s="244"/>
      <c r="V1" s="244"/>
      <c r="W1" s="244"/>
      <c r="X1" s="244"/>
      <c r="Y1" s="244"/>
      <c r="Z1" s="244"/>
    </row>
    <row r="2" ht="24.75" customHeight="1">
      <c r="A2" s="407"/>
      <c r="B2" s="428" t="s">
        <v>138</v>
      </c>
      <c r="C2" s="421"/>
      <c r="D2" s="409"/>
      <c r="E2" s="409"/>
      <c r="F2" s="421"/>
      <c r="G2" s="407"/>
      <c r="H2" s="410"/>
      <c r="I2" s="244"/>
      <c r="J2" s="244"/>
      <c r="K2" s="244"/>
      <c r="L2" s="244"/>
      <c r="M2" s="244"/>
      <c r="N2" s="244"/>
      <c r="O2" s="244"/>
      <c r="P2" s="244"/>
      <c r="Q2" s="244"/>
      <c r="R2" s="244"/>
      <c r="S2" s="244"/>
      <c r="T2" s="244"/>
      <c r="U2" s="244"/>
      <c r="V2" s="244"/>
      <c r="W2" s="244"/>
      <c r="X2" s="244"/>
      <c r="Y2" s="244"/>
      <c r="Z2" s="244"/>
    </row>
    <row r="3" ht="25.5" customHeight="1">
      <c r="A3" s="407"/>
      <c r="B3" s="429" t="s">
        <v>137</v>
      </c>
      <c r="C3" s="422"/>
      <c r="D3" s="411"/>
      <c r="E3" s="411"/>
      <c r="F3" s="422"/>
      <c r="G3" s="407"/>
      <c r="H3" s="410"/>
      <c r="I3" s="244"/>
      <c r="J3" s="244"/>
      <c r="K3" s="244"/>
      <c r="L3" s="244"/>
      <c r="M3" s="244"/>
      <c r="N3" s="244"/>
      <c r="O3" s="244"/>
      <c r="P3" s="244"/>
      <c r="Q3" s="244"/>
      <c r="R3" s="244"/>
      <c r="S3" s="244"/>
      <c r="T3" s="244"/>
      <c r="U3" s="244"/>
      <c r="V3" s="244"/>
      <c r="W3" s="244"/>
      <c r="X3" s="244"/>
      <c r="Y3" s="244"/>
      <c r="Z3" s="244"/>
    </row>
    <row r="4" ht="14.25" customHeight="1">
      <c r="A4" s="407"/>
      <c r="B4" s="600" t="s">
        <v>139</v>
      </c>
      <c r="C4" s="600"/>
      <c r="D4" s="600"/>
      <c r="E4" s="600"/>
      <c r="F4" s="423"/>
      <c r="G4" s="407"/>
      <c r="H4" s="410"/>
      <c r="I4" s="244"/>
      <c r="J4" s="244"/>
      <c r="K4" s="244"/>
      <c r="L4" s="244"/>
      <c r="M4" s="244"/>
      <c r="N4" s="244"/>
      <c r="O4" s="244"/>
      <c r="P4" s="244"/>
      <c r="Q4" s="244"/>
      <c r="R4" s="244"/>
      <c r="S4" s="244"/>
      <c r="T4" s="244"/>
      <c r="U4" s="244"/>
      <c r="V4" s="244"/>
      <c r="W4" s="244"/>
      <c r="X4" s="244"/>
      <c r="Y4" s="244"/>
      <c r="Z4" s="244"/>
    </row>
    <row r="5" ht="14.25" customHeight="1">
      <c r="A5" s="407"/>
      <c r="B5" s="600" t="s">
        <v>140</v>
      </c>
      <c r="C5" s="600"/>
      <c r="D5" s="600"/>
      <c r="E5" s="600"/>
      <c r="F5" s="423"/>
      <c r="G5" s="407"/>
      <c r="H5" s="410"/>
      <c r="I5" s="244"/>
      <c r="J5" s="244"/>
      <c r="K5" s="244"/>
      <c r="L5" s="244"/>
      <c r="M5" s="244"/>
      <c r="N5" s="244"/>
      <c r="O5" s="244"/>
      <c r="P5" s="244"/>
      <c r="Q5" s="244"/>
      <c r="R5" s="244"/>
      <c r="S5" s="244"/>
      <c r="T5" s="244"/>
      <c r="U5" s="244"/>
      <c r="V5" s="244"/>
      <c r="W5" s="244"/>
      <c r="X5" s="244"/>
      <c r="Y5" s="244"/>
      <c r="Z5" s="244"/>
    </row>
    <row r="6" ht="14.25" customHeight="1">
      <c r="A6" s="407"/>
      <c r="B6" s="412"/>
      <c r="C6" s="424"/>
      <c r="D6" s="412"/>
      <c r="E6" s="412"/>
      <c r="F6" s="424"/>
      <c r="G6" s="407"/>
      <c r="H6" s="410"/>
      <c r="I6" s="244"/>
      <c r="J6" s="244"/>
      <c r="K6" s="244"/>
      <c r="L6" s="244"/>
      <c r="M6" s="244"/>
      <c r="N6" s="244"/>
      <c r="O6" s="244"/>
      <c r="P6" s="244"/>
      <c r="Q6" s="244"/>
      <c r="R6" s="244"/>
      <c r="S6" s="244"/>
      <c r="T6" s="244"/>
      <c r="U6" s="244"/>
      <c r="V6" s="244"/>
      <c r="W6" s="244"/>
      <c r="X6" s="244"/>
      <c r="Y6" s="244"/>
      <c r="Z6" s="244"/>
    </row>
    <row r="7" ht="15.75" customHeight="1">
      <c r="A7" s="407"/>
      <c r="B7" s="430" t="s">
        <v>99</v>
      </c>
      <c r="C7" s="421">
        <v>1</v>
      </c>
      <c r="D7" s="430"/>
      <c r="E7" s="430"/>
      <c r="F7" s="421"/>
      <c r="G7" s="407"/>
      <c r="H7" s="410"/>
      <c r="I7" s="244"/>
      <c r="J7" s="244"/>
      <c r="K7" s="244"/>
      <c r="L7" s="244"/>
      <c r="M7" s="244"/>
      <c r="N7" s="244"/>
      <c r="O7" s="244"/>
      <c r="P7" s="244"/>
      <c r="Q7" s="244"/>
      <c r="R7" s="244"/>
      <c r="S7" s="244"/>
      <c r="T7" s="244"/>
      <c r="U7" s="244"/>
      <c r="V7" s="244"/>
      <c r="W7" s="244"/>
      <c r="X7" s="244"/>
      <c r="Y7" s="244"/>
      <c r="Z7" s="244"/>
    </row>
    <row r="8" ht="15.75" customHeight="1">
      <c r="A8" s="407"/>
      <c r="B8" s="430" t="str">
        <f>HYPERLINK("#'Glance'!A1", "Weekly Performance at a Glance")</f>
      </c>
      <c r="C8" s="421" t="str">
        <f>HYPERLINK("#'Glance'!A1", "2")</f>
      </c>
      <c r="D8" s="430"/>
      <c r="E8" s="430"/>
      <c r="F8" s="421"/>
      <c r="G8" s="407"/>
      <c r="H8" s="410"/>
      <c r="I8" s="244"/>
      <c r="J8" s="244"/>
      <c r="K8" s="244"/>
      <c r="L8" s="244"/>
      <c r="M8" s="244"/>
      <c r="N8" s="244"/>
      <c r="O8" s="244"/>
      <c r="P8" s="244"/>
      <c r="Q8" s="244"/>
      <c r="R8" s="244"/>
      <c r="S8" s="244"/>
      <c r="T8" s="244"/>
      <c r="U8" s="244"/>
      <c r="V8" s="244"/>
      <c r="W8" s="244"/>
      <c r="X8" s="244"/>
      <c r="Y8" s="244"/>
      <c r="Z8" s="244"/>
    </row>
    <row r="9" ht="15.75" customHeight="1">
      <c r="A9" s="407"/>
      <c r="B9" s="430" t="str">
        <f>HYPERLINK("#'Segmentation Glance'!A1", "Segmentation at a Glance")</f>
      </c>
      <c r="C9" s="421" t="str">
        <f>HYPERLINK("#'Segmentation Glance'!A1", "3")</f>
      </c>
      <c r="D9" s="430"/>
      <c r="E9" s="430"/>
      <c r="F9" s="421"/>
      <c r="G9" s="407"/>
      <c r="H9" s="407"/>
      <c r="I9" s="244"/>
      <c r="J9" s="244"/>
      <c r="K9" s="244"/>
      <c r="L9" s="244"/>
      <c r="M9" s="244"/>
      <c r="N9" s="244"/>
      <c r="O9" s="244"/>
      <c r="P9" s="244"/>
      <c r="Q9" s="244"/>
      <c r="R9" s="244"/>
      <c r="S9" s="244"/>
      <c r="T9" s="244"/>
      <c r="U9" s="244"/>
      <c r="V9" s="244"/>
      <c r="W9" s="244"/>
      <c r="X9" s="244"/>
      <c r="Y9" s="244"/>
      <c r="Z9" s="244"/>
    </row>
    <row r="10" ht="15.75" customHeight="1">
      <c r="A10" s="407"/>
      <c r="B10" s="430" t="str">
        <f>HYPERLINK("#'Daily by Month'!A1", "Daily Data for the Month")</f>
      </c>
      <c r="C10" s="421" t="str">
        <f>HYPERLINK("#'Daily by Month'!A1", "4")</f>
      </c>
      <c r="D10" s="430"/>
      <c r="E10" s="430"/>
      <c r="F10" s="421"/>
      <c r="G10" s="407"/>
      <c r="H10" s="407"/>
      <c r="I10" s="244"/>
      <c r="J10" s="244"/>
      <c r="K10" s="244"/>
      <c r="L10" s="244"/>
      <c r="M10" s="244"/>
      <c r="N10" s="244"/>
      <c r="O10" s="244"/>
      <c r="P10" s="244"/>
      <c r="Q10" s="244"/>
      <c r="R10" s="244"/>
      <c r="S10" s="244"/>
      <c r="T10" s="244"/>
      <c r="U10" s="244"/>
      <c r="V10" s="244"/>
      <c r="W10" s="244"/>
      <c r="X10" s="244"/>
      <c r="Y10" s="244"/>
      <c r="Z10" s="244"/>
    </row>
    <row r="11" ht="15.75" customHeight="1">
      <c r="A11" s="407"/>
      <c r="B11" s="430" t="str">
        <f>HYPERLINK("#'Occ'!A1", "Occupancy Perspectives")</f>
      </c>
      <c r="C11" s="421" t="str">
        <f>HYPERLINK("#'Occ'!A1", "5")</f>
      </c>
      <c r="D11" s="430"/>
      <c r="E11" s="430"/>
      <c r="F11" s="421"/>
      <c r="G11" s="413"/>
      <c r="H11" s="413"/>
      <c r="I11" s="244"/>
      <c r="J11" s="244"/>
      <c r="K11" s="244"/>
      <c r="L11" s="244"/>
      <c r="M11" s="244"/>
      <c r="N11" s="244"/>
      <c r="O11" s="244"/>
      <c r="P11" s="244"/>
      <c r="Q11" s="244"/>
      <c r="R11" s="244"/>
      <c r="S11" s="244"/>
      <c r="T11" s="244"/>
      <c r="U11" s="244"/>
      <c r="V11" s="244"/>
      <c r="W11" s="244"/>
      <c r="X11" s="244"/>
      <c r="Y11" s="244"/>
      <c r="Z11" s="244"/>
    </row>
    <row r="12" ht="15.75" customHeight="1">
      <c r="A12" s="407"/>
      <c r="B12" s="430" t="str">
        <f>HYPERLINK("#'Segmentation Occ'!A1", "Segmentation Occupancy Analysis")</f>
      </c>
      <c r="C12" s="421" t="str">
        <f>HYPERLINK("#'Segmentation Occ'!A1", "6")</f>
      </c>
      <c r="D12" s="430"/>
      <c r="E12" s="430"/>
      <c r="F12" s="421"/>
      <c r="G12" s="413"/>
      <c r="H12" s="413"/>
      <c r="I12" s="244"/>
      <c r="J12" s="244"/>
      <c r="K12" s="244"/>
      <c r="L12" s="244"/>
      <c r="M12" s="244"/>
      <c r="N12" s="244"/>
      <c r="O12" s="244"/>
      <c r="P12" s="244"/>
      <c r="Q12" s="244"/>
      <c r="R12" s="244"/>
      <c r="S12" s="244"/>
      <c r="T12" s="244"/>
      <c r="U12" s="244"/>
      <c r="V12" s="244"/>
      <c r="W12" s="244"/>
      <c r="X12" s="244"/>
      <c r="Y12" s="244"/>
      <c r="Z12" s="244"/>
    </row>
    <row r="13" ht="15.75" customHeight="1">
      <c r="A13" s="407"/>
      <c r="B13" s="430" t="str">
        <f>HYPERLINK("#'ADR'!A1", "ADR Perspectives")</f>
      </c>
      <c r="C13" s="421" t="str">
        <f>HYPERLINK("#'ADR'!A1", "7")</f>
      </c>
      <c r="D13" s="430"/>
      <c r="E13" s="430"/>
      <c r="F13" s="421"/>
      <c r="G13" s="407"/>
      <c r="H13" s="407"/>
      <c r="I13" s="244"/>
      <c r="J13" s="244"/>
      <c r="K13" s="244"/>
      <c r="L13" s="244"/>
      <c r="M13" s="244"/>
      <c r="N13" s="244"/>
      <c r="O13" s="244"/>
      <c r="P13" s="244"/>
      <c r="Q13" s="244"/>
      <c r="R13" s="244"/>
      <c r="S13" s="244"/>
      <c r="T13" s="244"/>
      <c r="U13" s="244"/>
      <c r="V13" s="244"/>
      <c r="W13" s="244"/>
      <c r="X13" s="244"/>
      <c r="Y13" s="244"/>
      <c r="Z13" s="244"/>
    </row>
    <row r="14" ht="15.75" customHeight="1">
      <c r="A14" s="407"/>
      <c r="B14" s="430" t="str">
        <f>HYPERLINK("#'Segmentation ADR'!A1", "Segmentation ADR Analysis")</f>
      </c>
      <c r="C14" s="421" t="str">
        <f>HYPERLINK("#'Segmentation ADR'!A1", "8")</f>
      </c>
      <c r="D14" s="430"/>
      <c r="E14" s="430"/>
      <c r="F14" s="421"/>
      <c r="G14" s="407"/>
      <c r="H14" s="414"/>
      <c r="I14" s="244"/>
      <c r="J14" s="244"/>
      <c r="K14" s="244"/>
      <c r="L14" s="244"/>
      <c r="M14" s="244"/>
      <c r="N14" s="244"/>
      <c r="O14" s="244"/>
      <c r="P14" s="244"/>
      <c r="Q14" s="244"/>
      <c r="R14" s="244"/>
      <c r="S14" s="244"/>
      <c r="T14" s="244"/>
      <c r="U14" s="244"/>
      <c r="V14" s="244"/>
      <c r="W14" s="244"/>
      <c r="X14" s="244"/>
      <c r="Y14" s="244"/>
      <c r="Z14" s="244"/>
    </row>
    <row r="15" ht="15.75" customHeight="1">
      <c r="A15" s="407"/>
      <c r="B15" s="430" t="str">
        <f>HYPERLINK("#'RevPAR'!A1", "RevPAR Perspectives")</f>
      </c>
      <c r="C15" s="421" t="str">
        <f>HYPERLINK("#'RevPAR'!A1", "9")</f>
      </c>
      <c r="D15" s="430"/>
      <c r="E15" s="430"/>
      <c r="F15" s="421"/>
      <c r="G15" s="407"/>
      <c r="H15" s="415"/>
      <c r="I15" s="244"/>
      <c r="J15" s="244"/>
      <c r="K15" s="244"/>
      <c r="L15" s="244"/>
      <c r="M15" s="244"/>
      <c r="N15" s="244"/>
      <c r="O15" s="244"/>
      <c r="P15" s="244"/>
      <c r="Q15" s="244"/>
      <c r="R15" s="244"/>
      <c r="S15" s="244"/>
      <c r="T15" s="244"/>
      <c r="U15" s="244"/>
      <c r="V15" s="244"/>
      <c r="W15" s="244"/>
      <c r="X15" s="244"/>
      <c r="Y15" s="244"/>
      <c r="Z15" s="244"/>
    </row>
    <row r="16" ht="15.75" customHeight="1">
      <c r="A16" s="407"/>
      <c r="B16" s="430" t="str">
        <f>HYPERLINK("#'Segmentation RevPAR'!A1", "Segmentation RevPAR Analysis")</f>
      </c>
      <c r="C16" s="421" t="str">
        <f>HYPERLINK("#'Segmentation RevPAR'!A1", "10")</f>
      </c>
      <c r="D16" s="430"/>
      <c r="E16" s="430"/>
      <c r="F16" s="421"/>
      <c r="G16" s="407"/>
      <c r="H16" s="415"/>
      <c r="I16" s="244"/>
      <c r="J16" s="244"/>
      <c r="K16" s="244"/>
      <c r="L16" s="244"/>
      <c r="M16" s="244"/>
      <c r="N16" s="244"/>
      <c r="O16" s="244"/>
      <c r="P16" s="244"/>
      <c r="Q16" s="244"/>
      <c r="R16" s="244"/>
      <c r="S16" s="244"/>
      <c r="T16" s="244"/>
      <c r="U16" s="244"/>
      <c r="V16" s="244"/>
      <c r="W16" s="244"/>
      <c r="X16" s="244"/>
      <c r="Y16" s="244"/>
      <c r="Z16" s="244"/>
    </row>
    <row r="17" ht="15.75" customHeight="1">
      <c r="A17" s="407"/>
      <c r="B17" s="430" t="str">
        <f>HYPERLINK("#'Additional Revenue'!A1", "Additional Revenue")</f>
      </c>
      <c r="C17" s="421" t="str">
        <f>HYPERLINK("#'Additional Revenue'!A1", "11")</f>
      </c>
      <c r="D17" s="430"/>
      <c r="E17" s="430"/>
      <c r="F17" s="421"/>
      <c r="G17" s="407"/>
      <c r="H17" s="415"/>
      <c r="I17" s="244"/>
      <c r="J17" s="244"/>
      <c r="K17" s="244"/>
      <c r="L17" s="244"/>
      <c r="M17" s="244"/>
      <c r="N17" s="244"/>
      <c r="O17" s="244"/>
      <c r="P17" s="244"/>
      <c r="Q17" s="244"/>
      <c r="R17" s="244"/>
      <c r="S17" s="244"/>
      <c r="T17" s="244"/>
      <c r="U17" s="244"/>
      <c r="V17" s="244"/>
      <c r="W17" s="244"/>
      <c r="X17" s="244"/>
      <c r="Y17" s="244"/>
      <c r="Z17" s="244"/>
    </row>
    <row r="18" ht="15.75" customHeight="1">
      <c r="A18" s="407"/>
      <c r="B18" s="430" t="str">
        <f>HYPERLINK("#'Response'!A1", "Response Report")</f>
      </c>
      <c r="C18" s="421" t="str">
        <f>HYPERLINK("#'Response'!A1", "12")</f>
      </c>
      <c r="D18" s="430"/>
      <c r="E18" s="430"/>
      <c r="F18" s="421"/>
      <c r="G18" s="407"/>
      <c r="H18" s="415"/>
      <c r="I18" s="244"/>
      <c r="J18" s="244"/>
      <c r="K18" s="244"/>
      <c r="L18" s="244"/>
      <c r="M18" s="244"/>
      <c r="N18" s="244"/>
      <c r="O18" s="244"/>
      <c r="P18" s="244"/>
      <c r="Q18" s="244"/>
      <c r="R18" s="244"/>
      <c r="S18" s="244"/>
      <c r="T18" s="244"/>
      <c r="U18" s="244"/>
      <c r="V18" s="244"/>
      <c r="W18" s="244"/>
      <c r="X18" s="244"/>
      <c r="Y18" s="244"/>
      <c r="Z18" s="244"/>
    </row>
    <row r="19" ht="15.75" customHeight="1">
      <c r="A19" s="407"/>
      <c r="B19" s="430" t="str">
        <f>HYPERLINK("#'Help'!A1", "Help")</f>
      </c>
      <c r="C19" s="421" t="str">
        <f>HYPERLINK("#'Help'!A1", "13")</f>
      </c>
      <c r="D19" s="430"/>
      <c r="E19" s="430"/>
      <c r="F19" s="421"/>
      <c r="G19" s="407"/>
      <c r="H19" s="415"/>
      <c r="I19" s="244"/>
      <c r="J19" s="244"/>
      <c r="K19" s="244"/>
      <c r="L19" s="244"/>
      <c r="M19" s="244"/>
      <c r="N19" s="244"/>
      <c r="O19" s="244"/>
      <c r="P19" s="244"/>
      <c r="Q19" s="244"/>
      <c r="R19" s="244"/>
      <c r="S19" s="244"/>
      <c r="T19" s="244"/>
      <c r="U19" s="244"/>
      <c r="V19" s="244"/>
      <c r="W19" s="244"/>
      <c r="X19" s="244"/>
      <c r="Y19" s="244"/>
      <c r="Z19" s="244"/>
    </row>
    <row r="20" ht="15.75" customHeight="1">
      <c r="A20" s="407"/>
      <c r="B20" s="430"/>
      <c r="C20" s="421"/>
      <c r="D20" s="430"/>
      <c r="E20" s="430"/>
      <c r="F20" s="421"/>
      <c r="G20" s="407"/>
      <c r="H20" s="415"/>
      <c r="I20" s="244"/>
      <c r="J20" s="244"/>
      <c r="K20" s="244"/>
      <c r="L20" s="244"/>
      <c r="M20" s="244"/>
      <c r="N20" s="244"/>
      <c r="O20" s="244"/>
      <c r="P20" s="244"/>
      <c r="Q20" s="244"/>
      <c r="R20" s="244"/>
      <c r="S20" s="244"/>
      <c r="T20" s="244"/>
      <c r="U20" s="244"/>
      <c r="V20" s="244"/>
      <c r="W20" s="244"/>
      <c r="X20" s="244"/>
      <c r="Y20" s="244"/>
      <c r="Z20" s="244"/>
    </row>
    <row r="21" ht="15.75" customHeight="1">
      <c r="A21" s="407"/>
      <c r="B21" s="430"/>
      <c r="C21" s="421"/>
      <c r="D21" s="430"/>
      <c r="E21" s="430"/>
      <c r="F21" s="421"/>
      <c r="G21" s="407"/>
      <c r="H21" s="415"/>
      <c r="I21" s="244"/>
      <c r="J21" s="244"/>
      <c r="K21" s="244"/>
      <c r="L21" s="244"/>
      <c r="M21" s="244"/>
      <c r="N21" s="244"/>
      <c r="O21" s="244"/>
      <c r="P21" s="244"/>
      <c r="Q21" s="244"/>
      <c r="R21" s="244"/>
      <c r="S21" s="244"/>
      <c r="T21" s="244"/>
      <c r="U21" s="244"/>
      <c r="V21" s="244"/>
      <c r="W21" s="244"/>
      <c r="X21" s="244"/>
      <c r="Y21" s="244"/>
      <c r="Z21" s="244"/>
    </row>
    <row r="22" ht="15.75" customHeight="1">
      <c r="A22" s="416"/>
      <c r="B22" s="430"/>
      <c r="C22" s="421"/>
      <c r="D22" s="430"/>
      <c r="E22" s="430"/>
      <c r="F22" s="421"/>
      <c r="G22" s="407"/>
      <c r="H22" s="415"/>
      <c r="I22" s="244"/>
      <c r="J22" s="244"/>
      <c r="K22" s="244"/>
      <c r="L22" s="244"/>
      <c r="M22" s="244"/>
      <c r="N22" s="244"/>
      <c r="O22" s="244"/>
      <c r="P22" s="244"/>
      <c r="Q22" s="244"/>
      <c r="R22" s="244"/>
      <c r="S22" s="244"/>
      <c r="T22" s="244"/>
      <c r="U22" s="244"/>
      <c r="V22" s="244"/>
      <c r="W22" s="244"/>
      <c r="X22" s="244"/>
      <c r="Y22" s="244"/>
      <c r="Z22" s="244"/>
    </row>
    <row r="23" ht="15.75" customHeight="1">
      <c r="A23" s="416"/>
      <c r="B23" s="430"/>
      <c r="C23" s="421"/>
      <c r="D23" s="430"/>
      <c r="E23" s="430"/>
      <c r="F23" s="421"/>
      <c r="G23" s="407"/>
      <c r="H23" s="415"/>
      <c r="I23" s="244"/>
      <c r="J23" s="244"/>
      <c r="K23" s="244"/>
      <c r="L23" s="244"/>
      <c r="M23" s="244"/>
      <c r="N23" s="244"/>
      <c r="O23" s="244"/>
      <c r="P23" s="244"/>
      <c r="Q23" s="244"/>
      <c r="R23" s="244"/>
      <c r="S23" s="244"/>
      <c r="T23" s="244"/>
      <c r="U23" s="244"/>
      <c r="V23" s="244"/>
      <c r="W23" s="244"/>
      <c r="X23" s="244"/>
      <c r="Y23" s="244"/>
      <c r="Z23" s="244"/>
    </row>
    <row r="24" ht="15.75" customHeight="1">
      <c r="A24" s="407"/>
      <c r="B24" s="430"/>
      <c r="C24" s="421"/>
      <c r="D24" s="430"/>
      <c r="E24" s="430"/>
      <c r="F24" s="421"/>
      <c r="G24" s="407"/>
      <c r="H24" s="415"/>
      <c r="I24" s="244"/>
      <c r="J24" s="244"/>
      <c r="K24" s="244"/>
      <c r="L24" s="244"/>
      <c r="M24" s="244"/>
      <c r="N24" s="244"/>
      <c r="O24" s="244"/>
      <c r="P24" s="244"/>
      <c r="Q24" s="244"/>
      <c r="R24" s="244"/>
      <c r="S24" s="244"/>
      <c r="T24" s="244"/>
      <c r="U24" s="244"/>
      <c r="V24" s="244"/>
      <c r="W24" s="244"/>
      <c r="X24" s="244"/>
      <c r="Y24" s="244"/>
      <c r="Z24" s="244"/>
    </row>
    <row r="25" ht="15.75" customHeight="1">
      <c r="A25" s="407"/>
      <c r="B25" s="430"/>
      <c r="C25" s="421"/>
      <c r="D25" s="430"/>
      <c r="E25" s="430"/>
      <c r="F25" s="421"/>
      <c r="G25" s="407"/>
      <c r="H25" s="415"/>
      <c r="I25" s="244"/>
      <c r="J25" s="244"/>
      <c r="K25" s="244"/>
      <c r="L25" s="244"/>
      <c r="M25" s="244"/>
      <c r="N25" s="244"/>
      <c r="O25" s="244"/>
      <c r="P25" s="244"/>
      <c r="Q25" s="244"/>
      <c r="R25" s="244"/>
      <c r="S25" s="244"/>
      <c r="T25" s="244"/>
      <c r="U25" s="244"/>
      <c r="V25" s="244"/>
      <c r="W25" s="244"/>
      <c r="X25" s="244"/>
      <c r="Y25" s="244"/>
      <c r="Z25" s="244"/>
    </row>
    <row r="26" ht="15.75" customHeight="1">
      <c r="A26" s="407"/>
      <c r="B26" s="430"/>
      <c r="C26" s="421"/>
      <c r="D26" s="430"/>
      <c r="E26" s="430"/>
      <c r="F26" s="421"/>
      <c r="G26" s="407"/>
      <c r="H26" s="415"/>
      <c r="I26" s="244"/>
      <c r="J26" s="244"/>
      <c r="K26" s="244"/>
      <c r="L26" s="244"/>
      <c r="M26" s="244"/>
      <c r="N26" s="244"/>
      <c r="O26" s="244"/>
      <c r="P26" s="244"/>
      <c r="Q26" s="244"/>
      <c r="R26" s="244"/>
      <c r="S26" s="244"/>
      <c r="T26" s="244"/>
      <c r="U26" s="244"/>
      <c r="V26" s="244"/>
      <c r="W26" s="244"/>
      <c r="X26" s="244"/>
      <c r="Y26" s="244"/>
      <c r="Z26" s="244"/>
    </row>
    <row r="27" ht="15.75" customHeight="1">
      <c r="A27" s="407"/>
      <c r="B27" s="430"/>
      <c r="C27" s="421"/>
      <c r="D27" s="430"/>
      <c r="E27" s="430"/>
      <c r="F27" s="421"/>
      <c r="G27" s="407"/>
      <c r="H27" s="415"/>
      <c r="I27" s="244"/>
      <c r="J27" s="244"/>
      <c r="K27" s="244"/>
      <c r="L27" s="244"/>
      <c r="M27" s="244"/>
      <c r="N27" s="244"/>
      <c r="O27" s="244"/>
      <c r="P27" s="244"/>
      <c r="Q27" s="244"/>
      <c r="R27" s="244"/>
      <c r="S27" s="244"/>
      <c r="T27" s="244"/>
      <c r="U27" s="244"/>
      <c r="V27" s="244"/>
      <c r="W27" s="244"/>
      <c r="X27" s="244"/>
      <c r="Y27" s="244"/>
      <c r="Z27" s="244"/>
    </row>
    <row r="28" ht="15.75" customHeight="1">
      <c r="A28" s="407"/>
      <c r="B28" s="430"/>
      <c r="C28" s="421"/>
      <c r="D28" s="430"/>
      <c r="E28" s="430"/>
      <c r="F28" s="421"/>
      <c r="G28" s="407"/>
      <c r="H28" s="415"/>
      <c r="I28" s="244"/>
      <c r="J28" s="244"/>
      <c r="K28" s="244"/>
      <c r="L28" s="244"/>
      <c r="M28" s="244"/>
      <c r="N28" s="244"/>
      <c r="O28" s="244"/>
      <c r="P28" s="244"/>
      <c r="Q28" s="244"/>
      <c r="R28" s="244"/>
      <c r="S28" s="244"/>
      <c r="T28" s="244"/>
      <c r="U28" s="244"/>
      <c r="V28" s="244"/>
      <c r="W28" s="244"/>
      <c r="X28" s="244"/>
      <c r="Y28" s="244"/>
      <c r="Z28" s="244"/>
    </row>
    <row r="29" ht="15.75" customHeight="1">
      <c r="A29" s="407"/>
      <c r="B29" s="430"/>
      <c r="C29" s="421"/>
      <c r="D29" s="430"/>
      <c r="E29" s="430"/>
      <c r="F29" s="421"/>
      <c r="G29" s="407"/>
      <c r="H29" s="415"/>
      <c r="I29" s="244"/>
      <c r="J29" s="244"/>
      <c r="K29" s="244"/>
      <c r="L29" s="244"/>
      <c r="M29" s="244"/>
      <c r="N29" s="244"/>
      <c r="O29" s="244"/>
      <c r="P29" s="244"/>
      <c r="Q29" s="244"/>
      <c r="R29" s="244"/>
      <c r="S29" s="244"/>
      <c r="T29" s="244"/>
      <c r="U29" s="244"/>
      <c r="V29" s="244"/>
      <c r="W29" s="244"/>
      <c r="X29" s="244"/>
      <c r="Y29" s="244"/>
      <c r="Z29" s="244"/>
    </row>
    <row r="30" ht="15.75" customHeight="1">
      <c r="A30" s="407"/>
      <c r="B30" s="430"/>
      <c r="C30" s="421"/>
      <c r="D30" s="430"/>
      <c r="E30" s="430"/>
      <c r="F30" s="421"/>
      <c r="G30" s="407"/>
      <c r="H30" s="415"/>
      <c r="I30" s="244"/>
      <c r="J30" s="244"/>
      <c r="K30" s="244"/>
      <c r="L30" s="244"/>
      <c r="M30" s="244"/>
      <c r="N30" s="244"/>
      <c r="O30" s="244"/>
      <c r="P30" s="244"/>
      <c r="Q30" s="244"/>
      <c r="R30" s="244"/>
      <c r="S30" s="244"/>
      <c r="T30" s="244"/>
      <c r="U30" s="244"/>
      <c r="V30" s="244"/>
      <c r="W30" s="244"/>
      <c r="X30" s="244"/>
      <c r="Y30" s="244"/>
      <c r="Z30" s="244"/>
    </row>
    <row r="31" ht="15.75" customHeight="1">
      <c r="A31" s="407"/>
      <c r="B31" s="430"/>
      <c r="C31" s="421"/>
      <c r="D31" s="430"/>
      <c r="E31" s="430"/>
      <c r="F31" s="421"/>
      <c r="G31" s="407"/>
      <c r="H31" s="415"/>
      <c r="I31" s="244"/>
      <c r="J31" s="244"/>
      <c r="K31" s="244"/>
      <c r="L31" s="244"/>
      <c r="M31" s="244"/>
      <c r="N31" s="244"/>
      <c r="O31" s="244"/>
      <c r="P31" s="244"/>
      <c r="Q31" s="244"/>
      <c r="R31" s="244"/>
      <c r="S31" s="244"/>
      <c r="T31" s="244"/>
      <c r="U31" s="244"/>
      <c r="V31" s="244"/>
      <c r="W31" s="244"/>
      <c r="X31" s="244"/>
      <c r="Y31" s="244"/>
      <c r="Z31" s="244"/>
    </row>
    <row r="32" ht="15.75" customHeight="1">
      <c r="A32" s="407"/>
      <c r="B32" s="430"/>
      <c r="C32" s="421"/>
      <c r="D32" s="430"/>
      <c r="E32" s="430"/>
      <c r="F32" s="421"/>
      <c r="G32" s="407"/>
      <c r="H32" s="415"/>
      <c r="I32" s="244"/>
      <c r="J32" s="244"/>
      <c r="K32" s="244"/>
      <c r="L32" s="244"/>
      <c r="M32" s="244"/>
      <c r="N32" s="244"/>
      <c r="O32" s="244"/>
      <c r="P32" s="244"/>
      <c r="Q32" s="244"/>
      <c r="R32" s="244"/>
      <c r="S32" s="244"/>
      <c r="T32" s="244"/>
      <c r="U32" s="244"/>
      <c r="V32" s="244"/>
      <c r="W32" s="244"/>
      <c r="X32" s="244"/>
      <c r="Y32" s="244"/>
      <c r="Z32" s="244"/>
    </row>
    <row r="33" ht="15.75" customHeight="1">
      <c r="A33" s="407"/>
      <c r="B33" s="430"/>
      <c r="C33" s="421"/>
      <c r="D33" s="430"/>
      <c r="E33" s="430"/>
      <c r="F33" s="421"/>
      <c r="G33" s="407"/>
      <c r="H33" s="415"/>
      <c r="I33" s="244"/>
      <c r="J33" s="244"/>
      <c r="K33" s="244"/>
      <c r="L33" s="244"/>
      <c r="M33" s="244"/>
      <c r="N33" s="244"/>
      <c r="O33" s="244"/>
      <c r="P33" s="244"/>
      <c r="Q33" s="244"/>
      <c r="R33" s="244"/>
      <c r="S33" s="244"/>
      <c r="T33" s="244"/>
      <c r="U33" s="244"/>
      <c r="V33" s="244"/>
      <c r="W33" s="244"/>
      <c r="X33" s="244"/>
      <c r="Y33" s="244"/>
      <c r="Z33" s="244"/>
    </row>
    <row r="34" ht="15.75" customHeight="1">
      <c r="A34" s="407"/>
      <c r="B34" s="430"/>
      <c r="C34" s="421"/>
      <c r="D34" s="430"/>
      <c r="E34" s="430"/>
      <c r="F34" s="421"/>
      <c r="G34" s="407"/>
      <c r="H34" s="415"/>
      <c r="I34" s="244"/>
      <c r="J34" s="244"/>
      <c r="K34" s="244"/>
      <c r="L34" s="244"/>
      <c r="M34" s="244"/>
      <c r="N34" s="244"/>
      <c r="O34" s="244"/>
      <c r="P34" s="244"/>
      <c r="Q34" s="244"/>
      <c r="R34" s="244"/>
      <c r="S34" s="244"/>
      <c r="T34" s="244"/>
      <c r="U34" s="244"/>
      <c r="V34" s="244"/>
      <c r="W34" s="244"/>
      <c r="X34" s="244"/>
      <c r="Y34" s="244"/>
      <c r="Z34" s="244"/>
    </row>
    <row r="35" ht="15.75" customHeight="1">
      <c r="A35" s="407"/>
      <c r="B35" s="430"/>
      <c r="C35" s="421"/>
      <c r="D35" s="430"/>
      <c r="E35" s="430"/>
      <c r="F35" s="421"/>
      <c r="G35" s="407"/>
      <c r="H35" s="415"/>
      <c r="I35" s="244"/>
      <c r="J35" s="244"/>
      <c r="K35" s="244"/>
      <c r="L35" s="244"/>
      <c r="M35" s="244"/>
      <c r="N35" s="244"/>
      <c r="O35" s="244"/>
      <c r="P35" s="244"/>
      <c r="Q35" s="244"/>
      <c r="R35" s="244"/>
      <c r="S35" s="244"/>
      <c r="T35" s="244"/>
      <c r="U35" s="244"/>
      <c r="V35" s="244"/>
      <c r="W35" s="244"/>
      <c r="X35" s="244"/>
      <c r="Y35" s="244"/>
      <c r="Z35" s="244"/>
    </row>
    <row r="36" ht="15.75" customHeight="1">
      <c r="A36" s="407"/>
      <c r="B36" s="430"/>
      <c r="C36" s="421"/>
      <c r="D36" s="430"/>
      <c r="E36" s="430"/>
      <c r="F36" s="421"/>
      <c r="G36" s="407"/>
      <c r="H36" s="415"/>
      <c r="I36" s="244"/>
      <c r="J36" s="244"/>
      <c r="K36" s="244"/>
      <c r="L36" s="244"/>
      <c r="M36" s="244"/>
      <c r="N36" s="244"/>
      <c r="O36" s="244"/>
      <c r="P36" s="244"/>
      <c r="Q36" s="244"/>
      <c r="R36" s="244"/>
      <c r="S36" s="244"/>
      <c r="T36" s="244"/>
      <c r="U36" s="244"/>
      <c r="V36" s="244"/>
      <c r="W36" s="244"/>
      <c r="X36" s="244"/>
      <c r="Y36" s="244"/>
      <c r="Z36" s="244"/>
    </row>
    <row r="37" ht="15.75" customHeight="1">
      <c r="A37" s="407"/>
      <c r="B37" s="430"/>
      <c r="C37" s="421"/>
      <c r="D37" s="430"/>
      <c r="E37" s="430"/>
      <c r="F37" s="421"/>
      <c r="G37" s="407"/>
      <c r="H37" s="415"/>
      <c r="I37" s="244"/>
      <c r="J37" s="244"/>
      <c r="K37" s="244"/>
      <c r="L37" s="244"/>
      <c r="M37" s="244"/>
      <c r="N37" s="244"/>
      <c r="O37" s="244"/>
      <c r="P37" s="244"/>
      <c r="Q37" s="244"/>
      <c r="R37" s="244"/>
      <c r="S37" s="244"/>
      <c r="T37" s="244"/>
      <c r="U37" s="244"/>
      <c r="V37" s="244"/>
      <c r="W37" s="244"/>
      <c r="X37" s="244"/>
      <c r="Y37" s="244"/>
      <c r="Z37" s="244"/>
    </row>
    <row r="38" ht="15.75" customHeight="1">
      <c r="A38" s="407"/>
      <c r="B38" s="430"/>
      <c r="C38" s="421"/>
      <c r="D38" s="430"/>
      <c r="E38" s="430"/>
      <c r="F38" s="421"/>
      <c r="G38" s="407"/>
      <c r="H38" s="415"/>
      <c r="I38" s="244"/>
      <c r="J38" s="244"/>
      <c r="K38" s="244"/>
      <c r="L38" s="244"/>
      <c r="M38" s="244"/>
      <c r="N38" s="244"/>
      <c r="O38" s="244"/>
      <c r="P38" s="244"/>
      <c r="Q38" s="244"/>
      <c r="R38" s="244"/>
      <c r="S38" s="244"/>
      <c r="T38" s="244"/>
      <c r="U38" s="244"/>
      <c r="V38" s="244"/>
      <c r="W38" s="244"/>
      <c r="X38" s="244"/>
      <c r="Y38" s="244"/>
      <c r="Z38" s="244"/>
    </row>
    <row r="39" ht="15.75" customHeight="1">
      <c r="A39" s="407"/>
      <c r="B39" s="430"/>
      <c r="C39" s="421"/>
      <c r="D39" s="430"/>
      <c r="E39" s="430"/>
      <c r="F39" s="421"/>
      <c r="G39" s="407"/>
      <c r="H39" s="415"/>
      <c r="I39" s="244"/>
      <c r="J39" s="244"/>
      <c r="K39" s="244"/>
      <c r="L39" s="244"/>
      <c r="M39" s="244"/>
      <c r="N39" s="244"/>
      <c r="O39" s="244"/>
      <c r="P39" s="244"/>
      <c r="Q39" s="244"/>
      <c r="R39" s="244"/>
      <c r="S39" s="244"/>
      <c r="T39" s="244"/>
      <c r="U39" s="244"/>
      <c r="V39" s="244"/>
      <c r="W39" s="244"/>
      <c r="X39" s="244"/>
      <c r="Y39" s="244"/>
      <c r="Z39" s="244"/>
    </row>
    <row r="40" ht="15.75" customHeight="1">
      <c r="A40" s="407"/>
      <c r="B40" s="430"/>
      <c r="C40" s="421"/>
      <c r="D40" s="430"/>
      <c r="E40" s="430"/>
      <c r="F40" s="421"/>
      <c r="G40" s="407"/>
      <c r="H40" s="415"/>
      <c r="I40" s="244"/>
      <c r="J40" s="244"/>
      <c r="K40" s="244"/>
      <c r="L40" s="244"/>
      <c r="M40" s="244"/>
      <c r="N40" s="244"/>
      <c r="O40" s="244"/>
      <c r="P40" s="244"/>
      <c r="Q40" s="244"/>
      <c r="R40" s="244"/>
      <c r="S40" s="244"/>
      <c r="T40" s="244"/>
      <c r="U40" s="244"/>
      <c r="V40" s="244"/>
      <c r="W40" s="244"/>
      <c r="X40" s="244"/>
      <c r="Y40" s="244"/>
      <c r="Z40" s="244"/>
    </row>
    <row r="41" s="479" customFormat="1" ht="15.75" customHeight="1">
      <c r="A41" s="476"/>
      <c r="B41" s="430"/>
      <c r="C41" s="430"/>
      <c r="D41" s="430"/>
      <c r="E41" s="430"/>
      <c r="F41" s="431"/>
      <c r="G41" s="476"/>
      <c r="H41" s="477"/>
      <c r="I41" s="478"/>
      <c r="J41" s="478"/>
      <c r="K41" s="478"/>
      <c r="L41" s="478"/>
      <c r="M41" s="478"/>
      <c r="N41" s="478"/>
      <c r="O41" s="478"/>
      <c r="P41" s="478"/>
      <c r="Q41" s="478"/>
      <c r="R41" s="478"/>
      <c r="S41" s="478"/>
      <c r="T41" s="478"/>
      <c r="U41" s="478"/>
      <c r="V41" s="478"/>
      <c r="W41" s="478"/>
      <c r="X41" s="478"/>
      <c r="Y41" s="478"/>
      <c r="Z41" s="478"/>
    </row>
    <row r="42" s="100" customFormat="1" ht="10.5" customHeight="1">
      <c r="A42" s="480"/>
      <c r="B42" s="412" t="s">
        <v>106</v>
      </c>
      <c r="C42" s="424"/>
      <c r="D42" s="481"/>
      <c r="E42" s="412" t="s">
        <v>107</v>
      </c>
      <c r="F42" s="482"/>
      <c r="G42" s="480"/>
      <c r="H42" s="480"/>
      <c r="I42" s="483"/>
      <c r="J42" s="483"/>
      <c r="K42" s="483"/>
      <c r="L42" s="483"/>
      <c r="M42" s="483"/>
      <c r="N42" s="483"/>
      <c r="O42" s="483"/>
      <c r="P42" s="483"/>
      <c r="Q42" s="483"/>
      <c r="R42" s="483"/>
      <c r="S42" s="483"/>
      <c r="T42" s="483"/>
      <c r="U42" s="483"/>
      <c r="V42" s="483"/>
      <c r="W42" s="483"/>
      <c r="X42" s="483"/>
      <c r="Y42" s="483"/>
      <c r="Z42" s="483"/>
    </row>
    <row r="43" s="100" customFormat="1" ht="10.5" customHeight="1">
      <c r="A43" s="480"/>
      <c r="B43" s="412" t="s">
        <v>112</v>
      </c>
      <c r="C43" s="424"/>
      <c r="D43" s="481"/>
      <c r="E43" s="412" t="s">
        <v>108</v>
      </c>
      <c r="F43" s="482"/>
      <c r="G43" s="480"/>
      <c r="H43" s="480"/>
      <c r="I43" s="483"/>
      <c r="J43" s="483"/>
      <c r="K43" s="483"/>
      <c r="L43" s="483"/>
      <c r="M43" s="483"/>
      <c r="N43" s="483"/>
      <c r="O43" s="483"/>
      <c r="P43" s="483"/>
      <c r="Q43" s="483"/>
      <c r="R43" s="483"/>
      <c r="S43" s="483"/>
      <c r="T43" s="483"/>
      <c r="U43" s="483"/>
      <c r="V43" s="483"/>
      <c r="W43" s="483"/>
      <c r="X43" s="483"/>
      <c r="Y43" s="483"/>
      <c r="Z43" s="483"/>
    </row>
    <row r="44" s="100" customFormat="1" ht="10.5" customHeight="1">
      <c r="A44" s="480"/>
      <c r="B44" s="412" t="s">
        <v>100</v>
      </c>
      <c r="C44" s="424"/>
      <c r="D44" s="481"/>
      <c r="E44" s="412" t="s">
        <v>113</v>
      </c>
      <c r="F44" s="482"/>
      <c r="G44" s="480"/>
      <c r="H44" s="480"/>
      <c r="I44" s="483"/>
      <c r="J44" s="483"/>
      <c r="K44" s="483"/>
      <c r="L44" s="483"/>
      <c r="M44" s="483"/>
      <c r="N44" s="483"/>
      <c r="O44" s="483"/>
      <c r="P44" s="483"/>
      <c r="Q44" s="483"/>
      <c r="R44" s="483"/>
      <c r="S44" s="483"/>
      <c r="T44" s="483"/>
      <c r="U44" s="483"/>
      <c r="V44" s="483"/>
      <c r="W44" s="483"/>
      <c r="X44" s="483"/>
      <c r="Y44" s="483"/>
      <c r="Z44" s="483"/>
    </row>
    <row r="45" s="100" customFormat="1" ht="15.75" customHeight="1">
      <c r="A45" s="480"/>
      <c r="B45" s="412"/>
      <c r="C45" s="424"/>
      <c r="D45" s="481"/>
      <c r="E45" s="412"/>
      <c r="F45" s="482"/>
      <c r="G45" s="480"/>
      <c r="H45" s="480"/>
      <c r="I45" s="483"/>
      <c r="J45" s="483"/>
      <c r="K45" s="483"/>
      <c r="L45" s="483"/>
      <c r="M45" s="483"/>
      <c r="N45" s="483"/>
      <c r="O45" s="483"/>
      <c r="P45" s="483"/>
      <c r="Q45" s="483"/>
      <c r="R45" s="483"/>
      <c r="S45" s="483"/>
      <c r="T45" s="483"/>
      <c r="U45" s="483"/>
      <c r="V45" s="483"/>
      <c r="W45" s="483"/>
      <c r="X45" s="483"/>
      <c r="Y45" s="483"/>
      <c r="Z45" s="483"/>
    </row>
    <row r="46" s="96" customFormat="1" ht="23.1" customHeight="1">
      <c r="A46" s="484"/>
      <c r="B46" s="601" t="s">
        <v>114</v>
      </c>
      <c r="C46" s="601"/>
      <c r="D46" s="601"/>
      <c r="E46" s="601"/>
      <c r="F46" s="601"/>
      <c r="G46" s="487"/>
      <c r="H46" s="487"/>
      <c r="I46" s="486"/>
      <c r="J46" s="486"/>
      <c r="K46" s="486"/>
      <c r="L46" s="486"/>
      <c r="M46" s="486"/>
      <c r="N46" s="486"/>
      <c r="O46" s="486"/>
      <c r="P46" s="486"/>
      <c r="Q46" s="486"/>
      <c r="R46" s="486"/>
      <c r="S46" s="486"/>
      <c r="T46" s="486"/>
      <c r="U46" s="486"/>
      <c r="V46" s="486"/>
      <c r="W46" s="486"/>
      <c r="X46" s="486"/>
      <c r="Y46" s="486"/>
      <c r="Z46" s="486"/>
    </row>
    <row r="47" s="96" customFormat="1" ht="23.1" customHeight="1">
      <c r="A47" s="484"/>
      <c r="B47" s="601"/>
      <c r="C47" s="601"/>
      <c r="D47" s="601"/>
      <c r="E47" s="601"/>
      <c r="F47" s="601"/>
      <c r="G47" s="487"/>
      <c r="H47" s="487"/>
      <c r="I47" s="486"/>
      <c r="J47" s="486"/>
      <c r="K47" s="486"/>
      <c r="L47" s="486"/>
      <c r="M47" s="486"/>
      <c r="N47" s="486"/>
      <c r="O47" s="486"/>
      <c r="P47" s="486"/>
      <c r="Q47" s="486"/>
      <c r="R47" s="486"/>
      <c r="S47" s="486"/>
      <c r="T47" s="486"/>
      <c r="U47" s="486"/>
      <c r="V47" s="486"/>
      <c r="W47" s="486"/>
      <c r="X47" s="486"/>
      <c r="Y47" s="486"/>
      <c r="Z47" s="486"/>
    </row>
    <row r="48" s="96" customFormat="1" ht="15.75" customHeight="1">
      <c r="A48" s="484"/>
      <c r="B48" s="488"/>
      <c r="C48" s="488"/>
      <c r="D48" s="488"/>
      <c r="E48" s="488"/>
      <c r="F48" s="485"/>
      <c r="G48" s="484"/>
      <c r="H48" s="484"/>
      <c r="I48" s="486"/>
      <c r="J48" s="486"/>
      <c r="K48" s="486"/>
      <c r="L48" s="486"/>
      <c r="M48" s="486"/>
      <c r="N48" s="486"/>
      <c r="O48" s="486"/>
      <c r="P48" s="486"/>
      <c r="Q48" s="486"/>
      <c r="R48" s="486"/>
      <c r="S48" s="486"/>
      <c r="T48" s="486"/>
      <c r="U48" s="486"/>
      <c r="V48" s="486"/>
      <c r="W48" s="486"/>
      <c r="X48" s="486"/>
      <c r="Y48" s="486"/>
      <c r="Z48" s="486"/>
    </row>
    <row r="49" ht="15.75" customHeight="1">
      <c r="A49" s="244"/>
      <c r="B49" s="244"/>
      <c r="C49" s="425"/>
      <c r="D49" s="244"/>
      <c r="E49" s="244"/>
      <c r="F49" s="425"/>
      <c r="G49" s="244"/>
      <c r="H49" s="244"/>
      <c r="I49" s="244"/>
      <c r="J49" s="244"/>
      <c r="K49" s="244"/>
      <c r="L49" s="244"/>
      <c r="M49" s="244"/>
      <c r="N49" s="244"/>
      <c r="O49" s="244"/>
      <c r="P49" s="244"/>
      <c r="Q49" s="244"/>
      <c r="R49" s="244"/>
      <c r="S49" s="244"/>
      <c r="T49" s="244"/>
      <c r="U49" s="244"/>
      <c r="V49" s="244"/>
      <c r="W49" s="244"/>
      <c r="X49" s="244"/>
      <c r="Y49" s="244"/>
      <c r="Z49" s="244"/>
    </row>
    <row r="50" ht="15.75" customHeight="1">
      <c r="A50" s="244"/>
      <c r="B50" s="244"/>
      <c r="C50" s="425"/>
      <c r="D50" s="244"/>
      <c r="E50" s="244"/>
      <c r="F50" s="425"/>
      <c r="G50" s="244"/>
      <c r="H50" s="244"/>
      <c r="I50" s="244"/>
      <c r="J50" s="244"/>
      <c r="K50" s="244"/>
      <c r="L50" s="244"/>
      <c r="M50" s="244"/>
      <c r="N50" s="244"/>
      <c r="O50" s="244"/>
      <c r="P50" s="244"/>
      <c r="Q50" s="244"/>
      <c r="R50" s="244"/>
      <c r="S50" s="244"/>
      <c r="T50" s="244"/>
      <c r="U50" s="244"/>
      <c r="V50" s="244"/>
      <c r="W50" s="244"/>
      <c r="X50" s="244"/>
      <c r="Y50" s="244"/>
      <c r="Z50" s="244"/>
    </row>
    <row r="51" ht="15.75" customHeight="1">
      <c r="A51" s="244"/>
      <c r="B51" s="244"/>
      <c r="C51" s="425"/>
      <c r="D51" s="244"/>
      <c r="E51" s="244"/>
      <c r="F51" s="425"/>
      <c r="G51" s="244"/>
      <c r="H51" s="244"/>
      <c r="I51" s="244"/>
      <c r="J51" s="244"/>
      <c r="K51" s="244"/>
      <c r="L51" s="244"/>
      <c r="M51" s="244"/>
      <c r="N51" s="244"/>
      <c r="O51" s="244"/>
      <c r="P51" s="244"/>
      <c r="Q51" s="244"/>
      <c r="R51" s="244"/>
      <c r="S51" s="244"/>
      <c r="T51" s="244"/>
      <c r="U51" s="244"/>
      <c r="V51" s="244"/>
      <c r="W51" s="244"/>
      <c r="X51" s="244"/>
      <c r="Y51" s="244"/>
      <c r="Z51" s="244"/>
    </row>
    <row r="52" ht="15.75" customHeight="1">
      <c r="A52" s="244"/>
      <c r="B52" s="244"/>
      <c r="C52" s="425"/>
      <c r="D52" s="244"/>
      <c r="E52" s="244"/>
      <c r="F52" s="425"/>
      <c r="G52" s="244"/>
      <c r="H52" s="244"/>
      <c r="I52" s="244"/>
      <c r="J52" s="244"/>
      <c r="K52" s="244"/>
      <c r="L52" s="244"/>
      <c r="M52" s="244"/>
      <c r="N52" s="244"/>
      <c r="O52" s="244"/>
      <c r="P52" s="244"/>
      <c r="Q52" s="244"/>
      <c r="R52" s="244"/>
      <c r="S52" s="244"/>
      <c r="T52" s="244"/>
      <c r="U52" s="244"/>
      <c r="V52" s="244"/>
      <c r="W52" s="244"/>
      <c r="X52" s="244"/>
      <c r="Y52" s="244"/>
      <c r="Z52" s="244"/>
    </row>
    <row r="53" ht="15.75" customHeight="1">
      <c r="A53" s="244"/>
      <c r="B53" s="244"/>
      <c r="C53" s="425"/>
      <c r="D53" s="244"/>
      <c r="E53" s="244"/>
      <c r="F53" s="425"/>
      <c r="G53" s="244"/>
      <c r="H53" s="244"/>
      <c r="I53" s="244"/>
      <c r="J53" s="244"/>
      <c r="K53" s="244"/>
      <c r="L53" s="244"/>
      <c r="M53" s="244"/>
      <c r="N53" s="244"/>
      <c r="O53" s="244"/>
      <c r="P53" s="244"/>
      <c r="Q53" s="244"/>
      <c r="R53" s="244"/>
      <c r="S53" s="244"/>
      <c r="T53" s="244"/>
      <c r="U53" s="244"/>
      <c r="V53" s="244"/>
      <c r="W53" s="244"/>
      <c r="X53" s="244"/>
      <c r="Y53" s="244"/>
      <c r="Z53" s="244"/>
    </row>
    <row r="54" ht="15.75" customHeight="1">
      <c r="A54" s="244"/>
      <c r="B54" s="244"/>
      <c r="C54" s="425"/>
      <c r="D54" s="244"/>
      <c r="E54" s="244"/>
      <c r="F54" s="425"/>
      <c r="G54" s="244"/>
      <c r="H54" s="244"/>
      <c r="I54" s="244"/>
      <c r="J54" s="244"/>
      <c r="K54" s="244"/>
      <c r="L54" s="244"/>
      <c r="M54" s="244"/>
      <c r="N54" s="244"/>
      <c r="O54" s="244"/>
      <c r="P54" s="244"/>
      <c r="Q54" s="244"/>
      <c r="R54" s="244"/>
      <c r="S54" s="244"/>
      <c r="T54" s="244"/>
      <c r="U54" s="244"/>
      <c r="V54" s="244"/>
      <c r="W54" s="244"/>
      <c r="X54" s="244"/>
      <c r="Y54" s="244"/>
      <c r="Z54" s="244"/>
    </row>
    <row r="55" ht="15.75" customHeight="1">
      <c r="A55" s="244"/>
      <c r="B55" s="244"/>
      <c r="C55" s="425"/>
      <c r="D55" s="244"/>
      <c r="E55" s="244"/>
      <c r="F55" s="425"/>
      <c r="G55" s="244"/>
      <c r="H55" s="244"/>
      <c r="I55" s="244"/>
      <c r="J55" s="244"/>
      <c r="K55" s="244"/>
      <c r="L55" s="244"/>
      <c r="M55" s="244"/>
      <c r="N55" s="244"/>
      <c r="O55" s="244"/>
      <c r="P55" s="244"/>
      <c r="Q55" s="244"/>
      <c r="R55" s="244"/>
      <c r="S55" s="244"/>
      <c r="T55" s="244"/>
      <c r="U55" s="244"/>
      <c r="V55" s="244"/>
      <c r="W55" s="244"/>
      <c r="X55" s="244"/>
      <c r="Y55" s="244"/>
      <c r="Z55" s="244"/>
    </row>
    <row r="56" ht="15.75" customHeight="1">
      <c r="A56" s="244"/>
      <c r="B56" s="244"/>
      <c r="C56" s="425"/>
      <c r="D56" s="244"/>
      <c r="E56" s="244"/>
      <c r="F56" s="425"/>
      <c r="G56" s="244"/>
      <c r="H56" s="244"/>
      <c r="I56" s="244"/>
      <c r="J56" s="244"/>
      <c r="K56" s="244"/>
      <c r="L56" s="244"/>
      <c r="M56" s="244"/>
      <c r="N56" s="244"/>
      <c r="O56" s="244"/>
      <c r="P56" s="244"/>
      <c r="Q56" s="244"/>
      <c r="R56" s="244"/>
      <c r="S56" s="244"/>
      <c r="T56" s="244"/>
      <c r="U56" s="244"/>
      <c r="V56" s="244"/>
      <c r="W56" s="244"/>
      <c r="X56" s="244"/>
      <c r="Y56" s="244"/>
      <c r="Z56" s="244"/>
    </row>
    <row r="57" ht="15.75" customHeight="1">
      <c r="A57" s="244"/>
      <c r="B57" s="244"/>
      <c r="C57" s="425"/>
      <c r="D57" s="244"/>
      <c r="E57" s="244"/>
      <c r="F57" s="425"/>
      <c r="G57" s="244"/>
      <c r="H57" s="244"/>
      <c r="I57" s="244"/>
      <c r="J57" s="244"/>
      <c r="K57" s="244"/>
      <c r="L57" s="244"/>
      <c r="M57" s="244"/>
      <c r="N57" s="244"/>
      <c r="O57" s="244"/>
      <c r="P57" s="244"/>
      <c r="Q57" s="244"/>
      <c r="R57" s="244"/>
      <c r="S57" s="244"/>
      <c r="T57" s="244"/>
      <c r="U57" s="244"/>
      <c r="V57" s="244"/>
      <c r="W57" s="244"/>
      <c r="X57" s="244"/>
      <c r="Y57" s="244"/>
      <c r="Z57" s="244"/>
    </row>
    <row r="58" ht="15.75" customHeight="1">
      <c r="A58" s="244"/>
      <c r="B58" s="244"/>
      <c r="C58" s="425"/>
      <c r="D58" s="244"/>
      <c r="E58" s="244"/>
      <c r="F58" s="425"/>
      <c r="G58" s="244"/>
      <c r="H58" s="244"/>
      <c r="I58" s="244"/>
      <c r="J58" s="244"/>
      <c r="K58" s="244"/>
      <c r="L58" s="244"/>
      <c r="M58" s="244"/>
      <c r="N58" s="244"/>
      <c r="O58" s="244"/>
      <c r="P58" s="244"/>
      <c r="Q58" s="244"/>
      <c r="R58" s="244"/>
      <c r="S58" s="244"/>
      <c r="T58" s="244"/>
      <c r="U58" s="244"/>
      <c r="V58" s="244"/>
      <c r="W58" s="244"/>
      <c r="X58" s="244"/>
      <c r="Y58" s="244"/>
      <c r="Z58" s="244"/>
    </row>
    <row r="59" ht="15.75" customHeight="1">
      <c r="A59" s="244"/>
      <c r="B59" s="244"/>
      <c r="C59" s="425"/>
      <c r="D59" s="244"/>
      <c r="E59" s="244"/>
      <c r="F59" s="425"/>
      <c r="G59" s="244"/>
      <c r="H59" s="244"/>
      <c r="I59" s="244"/>
      <c r="J59" s="244"/>
      <c r="K59" s="244"/>
      <c r="L59" s="244"/>
      <c r="M59" s="244"/>
      <c r="N59" s="244"/>
      <c r="O59" s="244"/>
      <c r="P59" s="244"/>
      <c r="Q59" s="244"/>
      <c r="R59" s="244"/>
      <c r="S59" s="244"/>
      <c r="T59" s="244"/>
      <c r="U59" s="244"/>
      <c r="V59" s="244"/>
      <c r="W59" s="244"/>
      <c r="X59" s="244"/>
      <c r="Y59" s="244"/>
      <c r="Z59" s="244"/>
    </row>
    <row r="60" ht="15.75" customHeight="1">
      <c r="A60" s="244"/>
      <c r="B60" s="244"/>
      <c r="C60" s="425"/>
      <c r="D60" s="244"/>
      <c r="E60" s="244"/>
      <c r="F60" s="425"/>
      <c r="G60" s="244"/>
      <c r="H60" s="244"/>
      <c r="I60" s="244"/>
      <c r="J60" s="244"/>
      <c r="K60" s="244"/>
      <c r="L60" s="244"/>
      <c r="M60" s="244"/>
      <c r="N60" s="244"/>
      <c r="O60" s="244"/>
      <c r="P60" s="244"/>
      <c r="Q60" s="244"/>
      <c r="R60" s="244"/>
      <c r="S60" s="244"/>
      <c r="T60" s="244"/>
      <c r="U60" s="244"/>
      <c r="V60" s="244"/>
      <c r="W60" s="244"/>
      <c r="X60" s="244"/>
      <c r="Y60" s="244"/>
      <c r="Z60" s="244"/>
    </row>
    <row r="61" ht="15.75" customHeight="1">
      <c r="A61" s="244"/>
      <c r="B61" s="244"/>
      <c r="C61" s="425"/>
      <c r="D61" s="244"/>
      <c r="E61" s="244"/>
      <c r="F61" s="425"/>
      <c r="G61" s="244"/>
      <c r="H61" s="244"/>
      <c r="I61" s="244"/>
      <c r="J61" s="244"/>
      <c r="K61" s="244"/>
      <c r="L61" s="244"/>
      <c r="M61" s="244"/>
      <c r="N61" s="244"/>
      <c r="O61" s="244"/>
      <c r="P61" s="244"/>
      <c r="Q61" s="244"/>
      <c r="R61" s="244"/>
      <c r="S61" s="244"/>
      <c r="T61" s="244"/>
      <c r="U61" s="244"/>
      <c r="V61" s="244"/>
      <c r="W61" s="244"/>
      <c r="X61" s="244"/>
      <c r="Y61" s="244"/>
      <c r="Z61" s="244"/>
    </row>
    <row r="62" ht="15.75" customHeight="1">
      <c r="A62" s="244"/>
      <c r="B62" s="244"/>
      <c r="C62" s="425"/>
      <c r="D62" s="244"/>
      <c r="E62" s="244"/>
      <c r="F62" s="425"/>
      <c r="G62" s="244"/>
      <c r="H62" s="244"/>
      <c r="I62" s="244"/>
      <c r="J62" s="244"/>
      <c r="K62" s="244"/>
      <c r="L62" s="244"/>
      <c r="M62" s="244"/>
      <c r="N62" s="244"/>
      <c r="O62" s="244"/>
      <c r="P62" s="244"/>
      <c r="Q62" s="244"/>
      <c r="R62" s="244"/>
      <c r="S62" s="244"/>
      <c r="T62" s="244"/>
      <c r="U62" s="244"/>
      <c r="V62" s="244"/>
      <c r="W62" s="244"/>
      <c r="X62" s="244"/>
      <c r="Y62" s="244"/>
      <c r="Z62" s="244"/>
    </row>
    <row r="63" ht="15.75" customHeight="1">
      <c r="A63" s="244"/>
      <c r="B63" s="244"/>
      <c r="C63" s="425"/>
      <c r="D63" s="244"/>
      <c r="E63" s="244"/>
      <c r="F63" s="425"/>
      <c r="G63" s="244"/>
      <c r="H63" s="244"/>
      <c r="I63" s="244"/>
      <c r="J63" s="244"/>
      <c r="K63" s="244"/>
      <c r="L63" s="244"/>
      <c r="M63" s="244"/>
      <c r="N63" s="244"/>
      <c r="O63" s="244"/>
      <c r="P63" s="244"/>
      <c r="Q63" s="244"/>
      <c r="R63" s="244"/>
      <c r="S63" s="244"/>
      <c r="T63" s="244"/>
      <c r="U63" s="244"/>
      <c r="V63" s="244"/>
      <c r="W63" s="244"/>
      <c r="X63" s="244"/>
      <c r="Y63" s="244"/>
      <c r="Z63" s="244"/>
    </row>
    <row r="64" ht="15.75" customHeight="1">
      <c r="A64" s="244"/>
      <c r="B64" s="244"/>
      <c r="C64" s="425"/>
      <c r="D64" s="244"/>
      <c r="E64" s="244"/>
      <c r="F64" s="425"/>
      <c r="G64" s="244"/>
      <c r="H64" s="244"/>
      <c r="I64" s="244"/>
      <c r="J64" s="244"/>
      <c r="K64" s="244"/>
      <c r="L64" s="244"/>
      <c r="M64" s="244"/>
      <c r="N64" s="244"/>
      <c r="O64" s="244"/>
      <c r="P64" s="244"/>
      <c r="Q64" s="244"/>
      <c r="R64" s="244"/>
      <c r="S64" s="244"/>
      <c r="T64" s="244"/>
      <c r="U64" s="244"/>
      <c r="V64" s="244"/>
      <c r="W64" s="244"/>
      <c r="X64" s="244"/>
      <c r="Y64" s="244"/>
      <c r="Z64" s="244"/>
    </row>
    <row r="65" ht="15.75" customHeight="1">
      <c r="A65" s="244"/>
      <c r="B65" s="244"/>
      <c r="C65" s="425"/>
      <c r="D65" s="244"/>
      <c r="E65" s="244"/>
      <c r="F65" s="425"/>
      <c r="G65" s="244"/>
      <c r="H65" s="244"/>
      <c r="I65" s="244"/>
      <c r="J65" s="244"/>
      <c r="K65" s="244"/>
      <c r="L65" s="244"/>
      <c r="M65" s="244"/>
      <c r="N65" s="244"/>
      <c r="O65" s="244"/>
      <c r="P65" s="244"/>
      <c r="Q65" s="244"/>
      <c r="R65" s="244"/>
      <c r="S65" s="244"/>
      <c r="T65" s="244"/>
      <c r="U65" s="244"/>
      <c r="V65" s="244"/>
      <c r="W65" s="244"/>
      <c r="X65" s="244"/>
      <c r="Y65" s="244"/>
      <c r="Z65" s="244"/>
    </row>
    <row r="66" ht="15.75" customHeight="1">
      <c r="A66" s="244"/>
      <c r="B66" s="244"/>
      <c r="C66" s="425"/>
      <c r="D66" s="244"/>
      <c r="E66" s="244"/>
      <c r="F66" s="425"/>
      <c r="G66" s="244"/>
      <c r="H66" s="244"/>
      <c r="I66" s="244"/>
      <c r="J66" s="244"/>
      <c r="K66" s="244"/>
      <c r="L66" s="244"/>
      <c r="M66" s="244"/>
      <c r="N66" s="244"/>
      <c r="O66" s="244"/>
      <c r="P66" s="244"/>
      <c r="Q66" s="244"/>
      <c r="R66" s="244"/>
      <c r="S66" s="244"/>
      <c r="T66" s="244"/>
      <c r="U66" s="244"/>
      <c r="V66" s="244"/>
      <c r="W66" s="244"/>
      <c r="X66" s="244"/>
      <c r="Y66" s="244"/>
      <c r="Z66" s="244"/>
    </row>
    <row r="67" ht="15.75" customHeight="1">
      <c r="A67" s="244"/>
      <c r="B67" s="244"/>
      <c r="C67" s="425"/>
      <c r="D67" s="244"/>
      <c r="E67" s="244"/>
      <c r="F67" s="425"/>
      <c r="G67" s="244"/>
      <c r="H67" s="244"/>
      <c r="I67" s="244"/>
      <c r="J67" s="244"/>
      <c r="K67" s="244"/>
      <c r="L67" s="244"/>
      <c r="M67" s="244"/>
      <c r="N67" s="244"/>
      <c r="O67" s="244"/>
      <c r="P67" s="244"/>
      <c r="Q67" s="244"/>
      <c r="R67" s="244"/>
      <c r="S67" s="244"/>
      <c r="T67" s="244"/>
      <c r="U67" s="244"/>
      <c r="V67" s="244"/>
      <c r="W67" s="244"/>
      <c r="X67" s="244"/>
      <c r="Y67" s="244"/>
      <c r="Z67" s="244"/>
    </row>
    <row r="68" ht="15.75" customHeight="1">
      <c r="A68" s="244"/>
      <c r="B68" s="244"/>
      <c r="C68" s="425"/>
      <c r="D68" s="244"/>
      <c r="E68" s="244"/>
      <c r="F68" s="425"/>
      <c r="G68" s="244"/>
      <c r="H68" s="244"/>
      <c r="I68" s="244"/>
      <c r="J68" s="244"/>
      <c r="K68" s="244"/>
      <c r="L68" s="244"/>
      <c r="M68" s="244"/>
      <c r="N68" s="244"/>
      <c r="O68" s="244"/>
      <c r="P68" s="244"/>
      <c r="Q68" s="244"/>
      <c r="R68" s="244"/>
      <c r="S68" s="244"/>
      <c r="T68" s="244"/>
      <c r="U68" s="244"/>
      <c r="V68" s="244"/>
      <c r="W68" s="244"/>
      <c r="X68" s="244"/>
      <c r="Y68" s="244"/>
      <c r="Z68" s="244"/>
    </row>
    <row r="69" ht="15.75" customHeight="1">
      <c r="A69" s="244"/>
      <c r="B69" s="244"/>
      <c r="C69" s="425"/>
      <c r="D69" s="244"/>
      <c r="E69" s="244"/>
      <c r="F69" s="425"/>
      <c r="G69" s="244"/>
      <c r="H69" s="244"/>
      <c r="I69" s="244"/>
      <c r="J69" s="244"/>
      <c r="K69" s="244"/>
      <c r="L69" s="244"/>
      <c r="M69" s="244"/>
      <c r="N69" s="244"/>
      <c r="O69" s="244"/>
      <c r="P69" s="244"/>
      <c r="Q69" s="244"/>
      <c r="R69" s="244"/>
      <c r="S69" s="244"/>
      <c r="T69" s="244"/>
      <c r="U69" s="244"/>
      <c r="V69" s="244"/>
      <c r="W69" s="244"/>
      <c r="X69" s="244"/>
      <c r="Y69" s="244"/>
      <c r="Z69" s="244"/>
    </row>
    <row r="70" ht="15.75" customHeight="1">
      <c r="A70" s="244"/>
      <c r="B70" s="244"/>
      <c r="C70" s="425"/>
      <c r="D70" s="244"/>
      <c r="E70" s="244"/>
      <c r="F70" s="425"/>
      <c r="G70" s="244"/>
      <c r="H70" s="244"/>
      <c r="I70" s="244"/>
      <c r="J70" s="244"/>
      <c r="K70" s="244"/>
      <c r="L70" s="244"/>
      <c r="M70" s="244"/>
      <c r="N70" s="244"/>
      <c r="O70" s="244"/>
      <c r="P70" s="244"/>
      <c r="Q70" s="244"/>
      <c r="R70" s="244"/>
      <c r="S70" s="244"/>
      <c r="T70" s="244"/>
      <c r="U70" s="244"/>
      <c r="V70" s="244"/>
      <c r="W70" s="244"/>
      <c r="X70" s="244"/>
      <c r="Y70" s="244"/>
      <c r="Z70" s="244"/>
    </row>
    <row r="71" ht="15.75" customHeight="1">
      <c r="A71" s="244"/>
      <c r="B71" s="244"/>
      <c r="C71" s="425"/>
      <c r="D71" s="244"/>
      <c r="E71" s="244"/>
      <c r="F71" s="425"/>
      <c r="G71" s="244"/>
      <c r="H71" s="244"/>
      <c r="I71" s="244"/>
      <c r="J71" s="244"/>
      <c r="K71" s="244"/>
      <c r="L71" s="244"/>
      <c r="M71" s="244"/>
      <c r="N71" s="244"/>
      <c r="O71" s="244"/>
      <c r="P71" s="244"/>
      <c r="Q71" s="244"/>
      <c r="R71" s="244"/>
      <c r="S71" s="244"/>
      <c r="T71" s="244"/>
      <c r="U71" s="244"/>
      <c r="V71" s="244"/>
      <c r="W71" s="244"/>
      <c r="X71" s="244"/>
      <c r="Y71" s="244"/>
      <c r="Z71" s="244"/>
    </row>
    <row r="72" ht="15.75" customHeight="1">
      <c r="A72" s="244"/>
      <c r="B72" s="244"/>
      <c r="C72" s="425"/>
      <c r="D72" s="244"/>
      <c r="E72" s="244"/>
      <c r="F72" s="425"/>
      <c r="G72" s="244"/>
      <c r="H72" s="244"/>
      <c r="I72" s="244"/>
      <c r="J72" s="244"/>
      <c r="K72" s="244"/>
      <c r="L72" s="244"/>
      <c r="M72" s="244"/>
      <c r="N72" s="244"/>
      <c r="O72" s="244"/>
      <c r="P72" s="244"/>
      <c r="Q72" s="244"/>
      <c r="R72" s="244"/>
      <c r="S72" s="244"/>
      <c r="T72" s="244"/>
      <c r="U72" s="244"/>
      <c r="V72" s="244"/>
      <c r="W72" s="244"/>
      <c r="X72" s="244"/>
      <c r="Y72" s="244"/>
      <c r="Z72" s="244"/>
    </row>
    <row r="73">
      <c r="A73" s="244"/>
      <c r="B73" s="244"/>
      <c r="C73" s="425"/>
      <c r="D73" s="244"/>
      <c r="E73" s="244"/>
      <c r="F73" s="425"/>
      <c r="G73" s="244"/>
      <c r="H73" s="244"/>
      <c r="I73" s="244"/>
      <c r="J73" s="244"/>
      <c r="K73" s="244"/>
      <c r="L73" s="244"/>
      <c r="M73" s="244"/>
      <c r="N73" s="244"/>
      <c r="O73" s="244"/>
      <c r="P73" s="244"/>
      <c r="Q73" s="244"/>
      <c r="R73" s="244"/>
      <c r="S73" s="244"/>
      <c r="T73" s="244"/>
      <c r="U73" s="244"/>
      <c r="V73" s="244"/>
      <c r="W73" s="244"/>
      <c r="X73" s="244"/>
      <c r="Y73" s="244"/>
      <c r="Z73" s="244"/>
    </row>
    <row r="74">
      <c r="A74" s="244"/>
      <c r="B74" s="244"/>
      <c r="C74" s="425"/>
      <c r="D74" s="244"/>
      <c r="E74" s="244"/>
      <c r="F74" s="425"/>
      <c r="G74" s="244"/>
      <c r="H74" s="244"/>
      <c r="I74" s="244"/>
      <c r="J74" s="244"/>
      <c r="K74" s="244"/>
      <c r="L74" s="244"/>
      <c r="M74" s="244"/>
      <c r="N74" s="244"/>
      <c r="O74" s="244"/>
      <c r="P74" s="244"/>
      <c r="Q74" s="244"/>
      <c r="R74" s="244"/>
      <c r="S74" s="244"/>
      <c r="T74" s="244"/>
      <c r="U74" s="244"/>
      <c r="V74" s="244"/>
      <c r="W74" s="244"/>
      <c r="X74" s="244"/>
      <c r="Y74" s="244"/>
      <c r="Z74" s="244"/>
    </row>
    <row r="75">
      <c r="A75" s="244"/>
      <c r="B75" s="244"/>
      <c r="C75" s="425"/>
      <c r="D75" s="244"/>
      <c r="E75" s="244"/>
      <c r="F75" s="425"/>
      <c r="G75" s="244"/>
      <c r="H75" s="244"/>
      <c r="I75" s="244"/>
      <c r="J75" s="244"/>
      <c r="K75" s="244"/>
      <c r="L75" s="244"/>
      <c r="M75" s="244"/>
      <c r="N75" s="244"/>
      <c r="O75" s="244"/>
      <c r="P75" s="244"/>
      <c r="Q75" s="244"/>
      <c r="R75" s="244"/>
      <c r="S75" s="244"/>
      <c r="T75" s="244"/>
      <c r="U75" s="244"/>
      <c r="V75" s="244"/>
      <c r="W75" s="244"/>
      <c r="X75" s="244"/>
      <c r="Y75" s="244"/>
      <c r="Z75" s="244"/>
    </row>
    <row r="76">
      <c r="A76" s="244"/>
      <c r="B76" s="244"/>
      <c r="C76" s="425"/>
      <c r="D76" s="244"/>
      <c r="E76" s="244"/>
      <c r="F76" s="425"/>
      <c r="G76" s="244"/>
      <c r="H76" s="244"/>
      <c r="I76" s="244"/>
      <c r="J76" s="244"/>
      <c r="K76" s="244"/>
      <c r="L76" s="244"/>
      <c r="M76" s="244"/>
      <c r="N76" s="244"/>
      <c r="O76" s="244"/>
      <c r="P76" s="244"/>
      <c r="Q76" s="244"/>
      <c r="R76" s="244"/>
      <c r="S76" s="244"/>
      <c r="T76" s="244"/>
      <c r="U76" s="244"/>
      <c r="V76" s="244"/>
      <c r="W76" s="244"/>
      <c r="X76" s="244"/>
      <c r="Y76" s="244"/>
      <c r="Z76" s="244"/>
    </row>
    <row r="77">
      <c r="A77" s="244"/>
      <c r="B77" s="244"/>
      <c r="C77" s="425"/>
      <c r="D77" s="244"/>
      <c r="E77" s="244"/>
      <c r="F77" s="425"/>
      <c r="G77" s="244"/>
      <c r="H77" s="244"/>
      <c r="I77" s="244"/>
      <c r="J77" s="244"/>
      <c r="K77" s="244"/>
      <c r="L77" s="244"/>
      <c r="M77" s="244"/>
      <c r="N77" s="244"/>
      <c r="O77" s="244"/>
      <c r="P77" s="244"/>
      <c r="Q77" s="244"/>
      <c r="R77" s="244"/>
      <c r="S77" s="244"/>
      <c r="T77" s="244"/>
      <c r="U77" s="244"/>
      <c r="V77" s="244"/>
      <c r="W77" s="244"/>
      <c r="X77" s="244"/>
      <c r="Y77" s="244"/>
      <c r="Z77" s="244"/>
    </row>
    <row r="78">
      <c r="A78" s="244"/>
      <c r="B78" s="244"/>
      <c r="C78" s="425"/>
      <c r="D78" s="244"/>
      <c r="E78" s="244"/>
      <c r="F78" s="425"/>
      <c r="G78" s="244"/>
      <c r="H78" s="244"/>
      <c r="I78" s="244"/>
      <c r="J78" s="244"/>
      <c r="K78" s="244"/>
      <c r="L78" s="244"/>
      <c r="M78" s="244"/>
      <c r="N78" s="244"/>
      <c r="O78" s="244"/>
      <c r="P78" s="244"/>
      <c r="Q78" s="244"/>
      <c r="R78" s="244"/>
      <c r="S78" s="244"/>
      <c r="T78" s="244"/>
      <c r="U78" s="244"/>
      <c r="V78" s="244"/>
      <c r="W78" s="244"/>
      <c r="X78" s="244"/>
      <c r="Y78" s="244"/>
      <c r="Z78" s="244"/>
    </row>
    <row r="79">
      <c r="A79" s="244"/>
      <c r="B79" s="244"/>
      <c r="C79" s="425"/>
      <c r="D79" s="244"/>
      <c r="E79" s="244"/>
      <c r="F79" s="425"/>
      <c r="G79" s="244"/>
      <c r="H79" s="244"/>
      <c r="I79" s="244"/>
      <c r="J79" s="244"/>
      <c r="K79" s="244"/>
      <c r="L79" s="244"/>
      <c r="M79" s="244"/>
      <c r="N79" s="244"/>
      <c r="O79" s="244"/>
      <c r="P79" s="244"/>
      <c r="Q79" s="244"/>
      <c r="R79" s="244"/>
      <c r="S79" s="244"/>
      <c r="T79" s="244"/>
      <c r="U79" s="244"/>
      <c r="V79" s="244"/>
      <c r="W79" s="244"/>
      <c r="X79" s="244"/>
      <c r="Y79" s="244"/>
      <c r="Z79" s="244"/>
    </row>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sheetData>
  <sheetProtection sheet="1" objects="1" scenarios="1"/>
  <mergeCells count="3">
    <mergeCell ref="B5:E5"/>
    <mergeCell ref="B4:E4"/>
    <mergeCell ref="B46:F47"/>
  </mergeCells>
  <phoneticPr fontId="0" type="noConversion"/>
  <hyperlinks>
    <hyperlink ref="H8" r:id="rId61" display="www.strglobal.com"/>
    <hyperlink ref="M8" r:id="rId62" display="www.str.com"/>
  </hyperlinks>
  <printOptions horizontalCentered="1" verticalCentered="1"/>
  <pageMargins left="0.25" right="0.25" top="0.3" bottom="0.3" header="0" footer="0"/>
  <pageSetup scale="72" orientation="landscape" r:id="rId3"/>
  <headerFooter alignWithMargins="0">
    <oddHeader/>
    <oddFooter/>
  </headerFooter>
  <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pageSetUpPr fitToPage="1"/>
  </sheetPr>
  <dimension ref="A1:BK113"/>
  <sheetViews>
    <sheetView showGridLines="0" zoomScale="65" zoomScaleNormal="7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6"/>
      <c r="B1" s="39" t="s">
        <v>121</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141</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142</v>
      </c>
      <c r="AG3" s="40"/>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143</v>
      </c>
      <c r="R4" s="618" t="s">
        <v>146</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7" t="s">
        <v>75</v>
      </c>
      <c r="C24" s="309" t="s">
        <v>145</v>
      </c>
      <c r="D24" s="310"/>
      <c r="E24" s="310"/>
      <c r="F24" s="310"/>
      <c r="G24" s="310"/>
      <c r="H24" s="310"/>
      <c r="I24" s="310"/>
      <c r="J24" s="310"/>
      <c r="K24" s="310"/>
      <c r="L24" s="310"/>
      <c r="M24" s="310"/>
      <c r="N24" s="310"/>
      <c r="O24" s="310"/>
      <c r="P24" s="310"/>
      <c r="Q24" s="310"/>
      <c r="R24" s="310"/>
      <c r="S24" s="311"/>
      <c r="T24" s="311"/>
      <c r="U24" s="311"/>
      <c r="V24" s="311"/>
      <c r="W24" s="311"/>
      <c r="X24" s="312"/>
      <c r="Y24" s="656" t="s">
        <v>148</v>
      </c>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322">
        <v>10</v>
      </c>
      <c r="D25" s="42">
        <v>11</v>
      </c>
      <c r="E25" s="42">
        <v>12</v>
      </c>
      <c r="F25" s="42">
        <v>13</v>
      </c>
      <c r="G25" s="42">
        <v>14</v>
      </c>
      <c r="H25" s="42">
        <v>15</v>
      </c>
      <c r="I25" s="42">
        <v>16</v>
      </c>
      <c r="J25" s="42">
        <v>17</v>
      </c>
      <c r="K25" s="42">
        <v>18</v>
      </c>
      <c r="L25" s="42">
        <v>19</v>
      </c>
      <c r="M25" s="42">
        <v>20</v>
      </c>
      <c r="N25" s="42">
        <v>21</v>
      </c>
      <c r="O25" s="42">
        <v>22</v>
      </c>
      <c r="P25" s="42">
        <v>23</v>
      </c>
      <c r="Q25" s="42">
        <v>24</v>
      </c>
      <c r="R25" s="42">
        <v>25</v>
      </c>
      <c r="S25" s="42">
        <v>26</v>
      </c>
      <c r="T25" s="42">
        <v>27</v>
      </c>
      <c r="U25" s="42">
        <v>28</v>
      </c>
      <c r="V25" s="42">
        <v>29</v>
      </c>
      <c r="W25" s="42">
        <v>30</v>
      </c>
      <c r="X25" s="323">
        <v>31</v>
      </c>
      <c r="Y25" s="657">
        <v>1</v>
      </c>
      <c r="Z25" s="42">
        <v>2</v>
      </c>
      <c r="AA25" s="42">
        <v>3</v>
      </c>
      <c r="AB25" s="42">
        <v>4</v>
      </c>
      <c r="AC25" s="42">
        <v>5</v>
      </c>
      <c r="AD25" s="337">
        <v>6</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444">
        <v>24.193548387096774193548387100</v>
      </c>
      <c r="D26" s="445">
        <v>38.709677419354838709677419350</v>
      </c>
      <c r="E26" s="445">
        <v>41.397849462365591397849462370</v>
      </c>
      <c r="F26" s="445">
        <v>36.559139784946236559139784950</v>
      </c>
      <c r="G26" s="445">
        <v>43.010752688172043010752688170</v>
      </c>
      <c r="H26" s="445">
        <v>47.311827956989247311827956990</v>
      </c>
      <c r="I26" s="445">
        <v>55.376344086021505376344086020</v>
      </c>
      <c r="J26" s="445">
        <v>23.118279569892473118279569890</v>
      </c>
      <c r="K26" s="445">
        <v>30.107526881720430107526881720</v>
      </c>
      <c r="L26" s="445">
        <v>36.021505376344086021505376340</v>
      </c>
      <c r="M26" s="445">
        <v>34.946236559139784946236559140</v>
      </c>
      <c r="N26" s="445">
        <v>31.182795698924731182795698920</v>
      </c>
      <c r="O26" s="445">
        <v>41.935483870967741935483870970</v>
      </c>
      <c r="P26" s="445">
        <v>44.623655913978494623655913980</v>
      </c>
      <c r="Q26" s="445">
        <v>16.129032258064516129032258060</v>
      </c>
      <c r="R26" s="445">
        <v>28.494623655913978494623655910</v>
      </c>
      <c r="S26" s="445">
        <v>25.806451612903225806451612900</v>
      </c>
      <c r="T26" s="445">
        <v>30.645161290322580645161290320</v>
      </c>
      <c r="U26" s="445">
        <v>33.333333333333333333333333330</v>
      </c>
      <c r="V26" s="445">
        <v>54.301075268817204301075268820</v>
      </c>
      <c r="W26" s="445">
        <v>68.817204301075268817204301080</v>
      </c>
      <c r="X26" s="446">
        <v>66.666666666666666666666666670</v>
      </c>
      <c r="Y26" s="658">
        <v>12.903225806451612903225806450</v>
      </c>
      <c r="Z26" s="445">
        <v>23.655913978494623655913978490</v>
      </c>
      <c r="AA26" s="445">
        <v>26.344086021505376344086021510</v>
      </c>
      <c r="AB26" s="445">
        <v>19.354838709677419354838709680</v>
      </c>
      <c r="AC26" s="445">
        <v>31.182795698924731182795698920</v>
      </c>
      <c r="AD26" s="447">
        <v>32.258064516129032258064516130</v>
      </c>
      <c r="AE26" s="448"/>
      <c r="AF26" s="444">
        <v>30.337941628264208909370199690</v>
      </c>
      <c r="AG26" s="445">
        <v>35.656682027649769585253456220</v>
      </c>
      <c r="AH26" s="449">
        <v>39.264654873395768296912937910</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27">
        <v>56.896551724137931034482758620</v>
      </c>
      <c r="D27" s="81">
        <v>65.517241379310344827586206900</v>
      </c>
      <c r="E27" s="81">
        <v>73.371647509578544061302681990</v>
      </c>
      <c r="F27" s="81">
        <v>73.563218390804597701149425290</v>
      </c>
      <c r="G27" s="81">
        <v>64.367816091954022988505747130</v>
      </c>
      <c r="H27" s="81">
        <v>69.348659003831417624521072800</v>
      </c>
      <c r="I27" s="81">
        <v>69.540229885057471264367816090</v>
      </c>
      <c r="J27" s="81">
        <v>50.383141762452107279693486590</v>
      </c>
      <c r="K27" s="81">
        <v>63.218390804597701149425287360</v>
      </c>
      <c r="L27" s="81">
        <v>69.348659003831417624521072800</v>
      </c>
      <c r="M27" s="81">
        <v>69.540229885057471264367816090</v>
      </c>
      <c r="N27" s="81">
        <v>60.153256704980842911877394640</v>
      </c>
      <c r="O27" s="81">
        <v>60.344827586206896551724137930</v>
      </c>
      <c r="P27" s="81">
        <v>59.386973180076628352490421460</v>
      </c>
      <c r="Q27" s="81">
        <v>45.210727969348659003831417620</v>
      </c>
      <c r="R27" s="81">
        <v>57.088122605363984674329501920</v>
      </c>
      <c r="S27" s="81">
        <v>68.007662835249042145593869730</v>
      </c>
      <c r="T27" s="81">
        <v>62.260536398467432950191570880</v>
      </c>
      <c r="U27" s="81">
        <v>62.452107279693486590038314180</v>
      </c>
      <c r="V27" s="81">
        <v>66.858237547892720306513409960</v>
      </c>
      <c r="W27" s="81">
        <v>73.946360153256704980842911880</v>
      </c>
      <c r="X27" s="82">
        <v>62.835249042145593869731800770</v>
      </c>
      <c r="Y27" s="659">
        <v>39.272030651340996168582375480</v>
      </c>
      <c r="Z27" s="81">
        <v>43.295019157088122605363984670</v>
      </c>
      <c r="AA27" s="81">
        <v>53.831417624521072796934865900</v>
      </c>
      <c r="AB27" s="81">
        <v>58.620689655172413793103448280</v>
      </c>
      <c r="AC27" s="81">
        <v>58.045977011494252873563218390</v>
      </c>
      <c r="AD27" s="83">
        <v>60.344827586206896551724137930</v>
      </c>
      <c r="AE27" s="88"/>
      <c r="AF27" s="327">
        <v>53.749315818281335522714833060</v>
      </c>
      <c r="AG27" s="81">
        <v>61.323207443897099069512862620</v>
      </c>
      <c r="AH27" s="328">
        <v>58.929674947472500308985292300</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147</v>
      </c>
      <c r="C28" s="450">
        <v>59.319727891156462585034013610</v>
      </c>
      <c r="D28" s="451">
        <v>80.31746031746031746031746032</v>
      </c>
      <c r="E28" s="451">
        <v>88.20861678004535147392290249</v>
      </c>
      <c r="F28" s="451">
        <v>86.21315192743764172335600907</v>
      </c>
      <c r="G28" s="451">
        <v>70.56689342403628117913832200</v>
      </c>
      <c r="H28" s="451">
        <v>66.031746031746031746031746030</v>
      </c>
      <c r="I28" s="451">
        <v>70.294784580498866213151927440</v>
      </c>
      <c r="J28" s="451">
        <v>49.886621315192743764172335600</v>
      </c>
      <c r="K28" s="451">
        <v>75.646258503401360544217687070</v>
      </c>
      <c r="L28" s="451">
        <v>84.44444444444444444444444444</v>
      </c>
      <c r="M28" s="451">
        <v>80.68027210884353741496598639</v>
      </c>
      <c r="N28" s="451">
        <v>64.943310657596371882086167800</v>
      </c>
      <c r="O28" s="451">
        <v>67.346938775510204081632653060</v>
      </c>
      <c r="P28" s="451">
        <v>66.802721088435374149659863950</v>
      </c>
      <c r="Q28" s="451">
        <v>50.068027210884353741496598640</v>
      </c>
      <c r="R28" s="451">
        <v>75.555555555555555555555555560</v>
      </c>
      <c r="S28" s="451">
        <v>81.40589569160997732426303855</v>
      </c>
      <c r="T28" s="451">
        <v>75.102040816326530612244897960</v>
      </c>
      <c r="U28" s="451">
        <v>63.038548752834467120181405900</v>
      </c>
      <c r="V28" s="451">
        <v>68.480725623582766439909297050</v>
      </c>
      <c r="W28" s="451">
        <v>77.097505668934240362811791380</v>
      </c>
      <c r="X28" s="452">
        <v>64.761904761904761904761904760</v>
      </c>
      <c r="Y28" s="660">
        <v>37.052154195011337868480725620</v>
      </c>
      <c r="Z28" s="451">
        <v>60.589569160997732426303854880</v>
      </c>
      <c r="AA28" s="451">
        <v>68.707482993197278911564625850</v>
      </c>
      <c r="AB28" s="451">
        <v>64.988662131519274376417233560</v>
      </c>
      <c r="AC28" s="451">
        <v>63.129251700680272108843537410</v>
      </c>
      <c r="AD28" s="453">
        <v>62.811791383219954648526077100</v>
      </c>
      <c r="AE28" s="448"/>
      <c r="AF28" s="450">
        <v>60.291545189504373177842565600</v>
      </c>
      <c r="AG28" s="451">
        <v>68.696145124716553287981859410</v>
      </c>
      <c r="AH28" s="454">
        <v>70.879964889181479043230195300</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2" customHeight="1">
      <c r="B29" s="4"/>
      <c r="X29" s="27"/>
      <c r="AD29" s="28"/>
      <c r="AF29" s="22"/>
      <c r="AG29" s="22"/>
      <c r="AH29" s="2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18">
      <c r="B30" s="29"/>
      <c r="X30" s="27"/>
      <c r="AD30" s="28"/>
      <c r="AF30" s="22"/>
      <c r="AG30" s="22"/>
      <c r="AH30" s="2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s="41" customFormat="1" ht="18">
      <c r="B31" s="417" t="s">
        <v>76</v>
      </c>
      <c r="C31" s="309" t="s">
        <v>145</v>
      </c>
      <c r="D31" s="310"/>
      <c r="E31" s="310"/>
      <c r="F31" s="310"/>
      <c r="G31" s="310"/>
      <c r="H31" s="310"/>
      <c r="I31" s="310"/>
      <c r="J31" s="310"/>
      <c r="K31" s="310"/>
      <c r="L31" s="310"/>
      <c r="M31" s="310"/>
      <c r="N31" s="310"/>
      <c r="O31" s="310"/>
      <c r="P31" s="310"/>
      <c r="Q31" s="310"/>
      <c r="R31" s="310"/>
      <c r="S31" s="311"/>
      <c r="T31" s="311"/>
      <c r="U31" s="311"/>
      <c r="V31" s="311"/>
      <c r="W31" s="311"/>
      <c r="X31" s="312"/>
      <c r="Y31" s="656" t="s">
        <v>148</v>
      </c>
      <c r="Z31" s="311"/>
      <c r="AA31" s="311"/>
      <c r="AB31" s="311"/>
      <c r="AC31" s="311"/>
      <c r="AD31" s="336"/>
      <c r="AE31" s="25"/>
      <c r="AF31" s="316" t="s">
        <v>58</v>
      </c>
      <c r="AG31" s="317" t="s">
        <v>59</v>
      </c>
      <c r="AH31" s="318" t="s">
        <v>59</v>
      </c>
      <c r="AI31" s="25"/>
      <c r="AJ31" s="255"/>
      <c r="AK31" s="255"/>
      <c r="AL31" s="255"/>
      <c r="AM31" s="255"/>
      <c r="AN31" s="263"/>
      <c r="AO31" s="263"/>
      <c r="AP31" s="263"/>
      <c r="AQ31" s="263"/>
      <c r="AR31" s="263"/>
      <c r="AS31" s="263"/>
      <c r="AT31" s="263"/>
      <c r="AU31" s="263"/>
      <c r="AV31" s="263"/>
      <c r="AW31" s="263"/>
      <c r="AX31" s="263"/>
      <c r="AY31" s="263"/>
      <c r="AZ31" s="263"/>
      <c r="BA31" s="263"/>
      <c r="BB31" s="263"/>
      <c r="BC31" s="263"/>
      <c r="BD31" s="263"/>
      <c r="BE31" s="263"/>
      <c r="BF31" s="263"/>
      <c r="BG31" s="263"/>
      <c r="BH31" s="263"/>
      <c r="BI31" s="263"/>
      <c r="BJ31" s="263"/>
      <c r="BK31" s="263"/>
    </row>
    <row r="32" s="42" customFormat="1">
      <c r="C32" s="322">
        <v>10</v>
      </c>
      <c r="D32" s="42">
        <v>11</v>
      </c>
      <c r="E32" s="42">
        <v>12</v>
      </c>
      <c r="F32" s="42">
        <v>13</v>
      </c>
      <c r="G32" s="42">
        <v>14</v>
      </c>
      <c r="H32" s="42">
        <v>15</v>
      </c>
      <c r="I32" s="42">
        <v>16</v>
      </c>
      <c r="J32" s="42">
        <v>17</v>
      </c>
      <c r="K32" s="42">
        <v>18</v>
      </c>
      <c r="L32" s="42">
        <v>19</v>
      </c>
      <c r="M32" s="42">
        <v>20</v>
      </c>
      <c r="N32" s="42">
        <v>21</v>
      </c>
      <c r="O32" s="42">
        <v>22</v>
      </c>
      <c r="P32" s="42">
        <v>23</v>
      </c>
      <c r="Q32" s="42">
        <v>24</v>
      </c>
      <c r="R32" s="42">
        <v>25</v>
      </c>
      <c r="S32" s="42">
        <v>26</v>
      </c>
      <c r="T32" s="42">
        <v>27</v>
      </c>
      <c r="U32" s="42">
        <v>28</v>
      </c>
      <c r="V32" s="42">
        <v>29</v>
      </c>
      <c r="W32" s="42">
        <v>30</v>
      </c>
      <c r="X32" s="323">
        <v>31</v>
      </c>
      <c r="Y32" s="657">
        <v>1</v>
      </c>
      <c r="Z32" s="42">
        <v>2</v>
      </c>
      <c r="AA32" s="42">
        <v>3</v>
      </c>
      <c r="AB32" s="42">
        <v>4</v>
      </c>
      <c r="AC32" s="42">
        <v>5</v>
      </c>
      <c r="AD32" s="337">
        <v>6</v>
      </c>
      <c r="AE32" s="25"/>
      <c r="AF32" s="324" t="s">
        <v>60</v>
      </c>
      <c r="AG32" s="325">
        <v>28</v>
      </c>
      <c r="AH32" s="326" t="s">
        <v>31</v>
      </c>
      <c r="AI32" s="25"/>
      <c r="AJ32" s="255"/>
      <c r="AK32" s="255"/>
      <c r="AL32" s="255"/>
      <c r="AM32" s="255"/>
      <c r="AN32" s="264"/>
      <c r="AO32" s="264"/>
      <c r="AP32" s="264"/>
      <c r="AQ32" s="264"/>
      <c r="AR32" s="264"/>
      <c r="AS32" s="264"/>
      <c r="AT32" s="264"/>
      <c r="AU32" s="264"/>
      <c r="AV32" s="264"/>
      <c r="AW32" s="264"/>
      <c r="AX32" s="264"/>
      <c r="AY32" s="264"/>
      <c r="AZ32" s="264"/>
      <c r="BA32" s="264"/>
      <c r="BB32" s="264"/>
      <c r="BC32" s="264"/>
      <c r="BD32" s="264"/>
      <c r="BE32" s="264"/>
      <c r="BF32" s="264"/>
      <c r="BG32" s="264"/>
      <c r="BH32" s="264"/>
      <c r="BI32" s="264"/>
      <c r="BJ32" s="264"/>
      <c r="BK32" s="264"/>
    </row>
    <row r="33" ht="14.25" customHeight="1">
      <c r="B33" s="46" t="s">
        <v>32</v>
      </c>
      <c r="C33" s="444">
        <v>24.999999999854166666666836820</v>
      </c>
      <c r="D33" s="445">
        <v>50.000000000018750000000002330</v>
      </c>
      <c r="E33" s="445">
        <v>2.666666666568106666666761300</v>
      </c>
      <c r="F33" s="445">
        <v>-20.000000000030117647058812180</v>
      </c>
      <c r="G33" s="445">
        <v>21.212121212264462809917524660</v>
      </c>
      <c r="H33" s="445">
        <v>49.15254237300775639184153200</v>
      </c>
      <c r="I33" s="445">
        <v>6.1855670103267934955893322500</v>
      </c>
      <c r="J33" s="445">
        <v>-10.416666666655468749999998610</v>
      </c>
      <c r="K33" s="445">
        <v>7.6923076923532544378698417600</v>
      </c>
      <c r="L33" s="445">
        <v>9.836065573874926095135815490</v>
      </c>
      <c r="M33" s="445">
        <v>16.071428571507334183673522830</v>
      </c>
      <c r="N33" s="445">
        <v>5.4545454546106446280992138400</v>
      </c>
      <c r="O33" s="445">
        <v>9.859154929441301329101537550</v>
      </c>
      <c r="P33" s="445">
        <v>-3.488372093054678204434819400</v>
      </c>
      <c r="Q33" s="445">
        <v>-53.124999999948730468749943940</v>
      </c>
      <c r="R33" s="445">
        <v>-14.516129032172580645161204850</v>
      </c>
      <c r="S33" s="445">
        <v>-38.461538461585798816568010930</v>
      </c>
      <c r="T33" s="445">
        <v>-19.718309859254433644118107190</v>
      </c>
      <c r="U33" s="445">
        <v>-15.068493150778007130793667950</v>
      </c>
      <c r="V33" s="445">
        <v>14.772727272701188016528931550</v>
      </c>
      <c r="W33" s="445">
        <v>14.285714285791836734693930180</v>
      </c>
      <c r="X33" s="446">
        <v>45.882352941121550173010401310</v>
      </c>
      <c r="Y33" s="658">
        <v>-60.655737704880623488309558630</v>
      </c>
      <c r="Z33" s="445">
        <v>-39.726027397326327641208409520</v>
      </c>
      <c r="AA33" s="445">
        <v>-41.666666666691666666666655940</v>
      </c>
      <c r="AB33" s="445">
        <v>-63.999999999989919999999997170</v>
      </c>
      <c r="AC33" s="445">
        <v>-54.687500000016284179687494150</v>
      </c>
      <c r="AD33" s="447">
        <v>-52.755905511829623659247311170</v>
      </c>
      <c r="AE33" s="448"/>
      <c r="AF33" s="444">
        <v>-39.969604863219330013580805690</v>
      </c>
      <c r="AG33" s="445">
        <v>-11.613517372592173306108991780</v>
      </c>
      <c r="AH33" s="449">
        <v>14.285714285785130165140304960</v>
      </c>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row>
    <row r="34" ht="14.25" customHeight="1">
      <c r="B34" s="47" t="s">
        <v>26</v>
      </c>
      <c r="C34" s="327">
        <v>143.44262295059618382155355104</v>
      </c>
      <c r="D34" s="81">
        <v>55.454545454662752066115790990</v>
      </c>
      <c r="E34" s="81">
        <v>64.377682403324831918068188730</v>
      </c>
      <c r="F34" s="81">
        <v>44.360902255724845949460167390</v>
      </c>
      <c r="G34" s="81">
        <v>48.017621145422701779580446180</v>
      </c>
      <c r="H34" s="81">
        <v>37.121212121152909779614350640</v>
      </c>
      <c r="I34" s="81">
        <v>42.913385826823417446834912410</v>
      </c>
      <c r="J34" s="81">
        <v>132.74336283233213250841979107</v>
      </c>
      <c r="K34" s="81">
        <v>89.65517241398275862068984484</v>
      </c>
      <c r="L34" s="81">
        <v>45.381526104379135820390003930</v>
      </c>
      <c r="M34" s="81">
        <v>45.200000000040656000000011380</v>
      </c>
      <c r="N34" s="81">
        <v>51.317198543406777090603090320</v>
      </c>
      <c r="O34" s="81">
        <v>83.13953488361658328826398590</v>
      </c>
      <c r="P34" s="81">
        <v>68.478260869535916824196602460</v>
      </c>
      <c r="Q34" s="81">
        <v>107.01754385936583564173630638</v>
      </c>
      <c r="R34" s="81">
        <v>70.285714285507996734694127470</v>
      </c>
      <c r="S34" s="81">
        <v>73.170731707497846519928802630</v>
      </c>
      <c r="T34" s="81">
        <v>86.78160919558908045977030172</v>
      </c>
      <c r="U34" s="81">
        <v>113.07189542473633217993084305</v>
      </c>
      <c r="V34" s="81">
        <v>126.62337662347080452015520864</v>
      </c>
      <c r="W34" s="81">
        <v>135.36585365833279298036900454</v>
      </c>
      <c r="X34" s="82">
        <v>168.85245901614662725073927524</v>
      </c>
      <c r="Y34" s="659">
        <v>120.43010752716614637530387030</v>
      </c>
      <c r="Z34" s="81">
        <v>77.952755905576266352532728390</v>
      </c>
      <c r="AA34" s="81">
        <v>59.659090909021965392562013240</v>
      </c>
      <c r="AB34" s="81">
        <v>69.060773480739574494063097500</v>
      </c>
      <c r="AC34" s="81">
        <v>53.030303030136088154270154570</v>
      </c>
      <c r="AD34" s="83">
        <v>55.940594059256175865111407430</v>
      </c>
      <c r="AE34" s="88"/>
      <c r="AF34" s="327">
        <v>78.707916287477208579890248390</v>
      </c>
      <c r="AG34" s="81">
        <v>73.247912442860097426408741290</v>
      </c>
      <c r="AH34" s="328">
        <v>56.609159991018578862497321760</v>
      </c>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row>
    <row r="35" ht="14.25" customHeight="1">
      <c r="A35" s="24"/>
      <c r="B35" s="49" t="s">
        <v>147</v>
      </c>
      <c r="C35" s="450">
        <v>28.109696376056062645272026980</v>
      </c>
      <c r="D35" s="451">
        <v>19.259259259277328843995513400</v>
      </c>
      <c r="E35" s="451">
        <v>16.957306073340999627924672940</v>
      </c>
      <c r="F35" s="451">
        <v>16.912669126753821661832887960</v>
      </c>
      <c r="G35" s="451">
        <v>17.080511662977119204004481670</v>
      </c>
      <c r="H35" s="451">
        <v>12.693498451993194605526750380</v>
      </c>
      <c r="I35" s="451">
        <v>6.1643835617041893413398729300</v>
      </c>
      <c r="J35" s="451">
        <v>10.775427996075549998022507810</v>
      </c>
      <c r="K35" s="451">
        <v>10.390469887500859568984736990</v>
      </c>
      <c r="L35" s="451">
        <v>7.3817762399253770508814179500</v>
      </c>
      <c r="M35" s="451">
        <v>10.634328358250236689685914260</v>
      </c>
      <c r="N35" s="451">
        <v>11.353032659318535055109651730</v>
      </c>
      <c r="O35" s="451">
        <v>31.067961165172323670297205990</v>
      </c>
      <c r="P35" s="451">
        <v>21.035332785477541862778026880</v>
      </c>
      <c r="Q35" s="451">
        <v>31.742243436727450857536702070</v>
      </c>
      <c r="R35" s="451">
        <v>23.133776792287440409175312700</v>
      </c>
      <c r="S35" s="451">
        <v>13.177805800793371103396852830</v>
      </c>
      <c r="T35" s="451">
        <v>14.999999999964062500000011230</v>
      </c>
      <c r="U35" s="451">
        <v>24.663677130134287840093369900</v>
      </c>
      <c r="V35" s="451">
        <v>33.628318584018172918787709650</v>
      </c>
      <c r="W35" s="451">
        <v>31.680867544465167599558685320</v>
      </c>
      <c r="X35" s="452">
        <v>43.086172344552457620652256910</v>
      </c>
      <c r="Y35" s="660">
        <v>8.933333333259258666666717030</v>
      </c>
      <c r="Z35" s="451">
        <v>13.028764805352873474365945350</v>
      </c>
      <c r="AA35" s="451">
        <v>9.465317919070003435213338470</v>
      </c>
      <c r="AB35" s="451">
        <v>8.314436885865457294028722600</v>
      </c>
      <c r="AC35" s="451">
        <v>2.8824833702665768604874161200</v>
      </c>
      <c r="AD35" s="453">
        <v>8.627450980393434832756632080</v>
      </c>
      <c r="AE35" s="448"/>
      <c r="AF35" s="450">
        <v>12.595281306651715903439088880</v>
      </c>
      <c r="AG35" s="451">
        <v>16.596107323587831358198172220</v>
      </c>
      <c r="AH35" s="454">
        <v>15.665584415665984562730108220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3.5" customHeight="1">
      <c r="B36" s="40"/>
      <c r="C36" s="23"/>
      <c r="D36" s="23"/>
      <c r="E36" s="23"/>
      <c r="F36" s="23"/>
      <c r="G36" s="23"/>
      <c r="H36" s="23"/>
      <c r="I36" s="23"/>
      <c r="J36" s="23"/>
      <c r="K36" s="23"/>
      <c r="L36" s="23"/>
      <c r="M36" s="23"/>
      <c r="N36" s="23"/>
      <c r="O36" s="23"/>
      <c r="P36" s="23"/>
      <c r="Q36" s="23"/>
      <c r="R36" s="23"/>
      <c r="S36" s="23"/>
      <c r="T36" s="23"/>
      <c r="U36" s="23"/>
      <c r="V36" s="23"/>
      <c r="W36" s="23"/>
      <c r="X36" s="44"/>
      <c r="Y36" s="23"/>
      <c r="Z36" s="23"/>
      <c r="AA36" s="23"/>
      <c r="AB36" s="23"/>
      <c r="AC36" s="23"/>
      <c r="AD36" s="45"/>
      <c r="AF36" s="43"/>
      <c r="AG36" s="43"/>
      <c r="AH36" s="43"/>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8">
      <c r="B37" s="29"/>
      <c r="X37" s="27"/>
      <c r="AD37" s="28"/>
      <c r="AF37" s="43"/>
      <c r="AG37" s="43"/>
      <c r="AH37" s="43"/>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s="41" customFormat="1" ht="18">
      <c r="B38" s="417" t="s">
        <v>91</v>
      </c>
      <c r="C38" s="309" t="s">
        <v>145</v>
      </c>
      <c r="D38" s="310"/>
      <c r="E38" s="310"/>
      <c r="F38" s="310"/>
      <c r="G38" s="310"/>
      <c r="H38" s="310"/>
      <c r="I38" s="310"/>
      <c r="J38" s="310"/>
      <c r="K38" s="310"/>
      <c r="L38" s="310"/>
      <c r="M38" s="310"/>
      <c r="N38" s="310"/>
      <c r="O38" s="310"/>
      <c r="P38" s="310"/>
      <c r="Q38" s="310"/>
      <c r="R38" s="310"/>
      <c r="S38" s="311"/>
      <c r="T38" s="311"/>
      <c r="U38" s="311"/>
      <c r="V38" s="311"/>
      <c r="W38" s="311"/>
      <c r="X38" s="312"/>
      <c r="Y38" s="656" t="s">
        <v>148</v>
      </c>
      <c r="Z38" s="311"/>
      <c r="AA38" s="311"/>
      <c r="AB38" s="311"/>
      <c r="AC38" s="311"/>
      <c r="AD38" s="336"/>
      <c r="AE38" s="25"/>
      <c r="AF38" s="316" t="s">
        <v>58</v>
      </c>
      <c r="AG38" s="317" t="s">
        <v>59</v>
      </c>
      <c r="AH38" s="318" t="s">
        <v>59</v>
      </c>
      <c r="AI38" s="25"/>
      <c r="AJ38" s="255"/>
      <c r="AK38" s="255"/>
      <c r="AL38" s="255"/>
      <c r="AM38" s="255"/>
      <c r="AN38" s="263"/>
      <c r="AO38" s="263"/>
      <c r="AP38" s="263"/>
      <c r="AQ38" s="263"/>
      <c r="AR38" s="263"/>
      <c r="AS38" s="263"/>
      <c r="AT38" s="263"/>
      <c r="AU38" s="263"/>
      <c r="AV38" s="263"/>
      <c r="AW38" s="263"/>
      <c r="AX38" s="263"/>
      <c r="AY38" s="263"/>
      <c r="AZ38" s="263"/>
      <c r="BA38" s="263"/>
      <c r="BB38" s="263"/>
      <c r="BC38" s="263"/>
      <c r="BD38" s="263"/>
      <c r="BE38" s="263"/>
      <c r="BF38" s="263"/>
      <c r="BG38" s="263"/>
      <c r="BH38" s="263"/>
      <c r="BI38" s="263"/>
      <c r="BJ38" s="263"/>
      <c r="BK38" s="263"/>
    </row>
    <row r="39" s="42" customFormat="1">
      <c r="C39" s="313">
        <v>10</v>
      </c>
      <c r="D39" s="42">
        <v>11</v>
      </c>
      <c r="E39" s="42">
        <v>12</v>
      </c>
      <c r="F39" s="42">
        <v>13</v>
      </c>
      <c r="G39" s="42">
        <v>14</v>
      </c>
      <c r="H39" s="42">
        <v>15</v>
      </c>
      <c r="I39" s="42">
        <v>16</v>
      </c>
      <c r="J39" s="42">
        <v>17</v>
      </c>
      <c r="K39" s="42">
        <v>18</v>
      </c>
      <c r="L39" s="42">
        <v>19</v>
      </c>
      <c r="M39" s="42">
        <v>20</v>
      </c>
      <c r="N39" s="42">
        <v>21</v>
      </c>
      <c r="O39" s="42">
        <v>22</v>
      </c>
      <c r="P39" s="42">
        <v>23</v>
      </c>
      <c r="Q39" s="42">
        <v>24</v>
      </c>
      <c r="R39" s="42">
        <v>25</v>
      </c>
      <c r="S39" s="42">
        <v>26</v>
      </c>
      <c r="T39" s="42">
        <v>27</v>
      </c>
      <c r="U39" s="42">
        <v>28</v>
      </c>
      <c r="V39" s="42">
        <v>29</v>
      </c>
      <c r="W39" s="42">
        <v>30</v>
      </c>
      <c r="X39" s="323">
        <v>31</v>
      </c>
      <c r="Y39" s="657">
        <v>1</v>
      </c>
      <c r="Z39" s="42">
        <v>2</v>
      </c>
      <c r="AA39" s="42">
        <v>3</v>
      </c>
      <c r="AB39" s="42">
        <v>4</v>
      </c>
      <c r="AC39" s="42">
        <v>5</v>
      </c>
      <c r="AD39" s="337">
        <v>6</v>
      </c>
      <c r="AE39" s="25"/>
      <c r="AF39" s="324" t="s">
        <v>60</v>
      </c>
      <c r="AG39" s="325">
        <v>28</v>
      </c>
      <c r="AH39" s="326" t="s">
        <v>31</v>
      </c>
      <c r="AI39" s="25"/>
      <c r="AJ39" s="255"/>
      <c r="AK39" s="255"/>
      <c r="AL39" s="255"/>
      <c r="AM39" s="255"/>
      <c r="AN39" s="264"/>
      <c r="AO39" s="264"/>
      <c r="AP39" s="264"/>
      <c r="AQ39" s="264"/>
      <c r="AR39" s="264"/>
      <c r="AS39" s="264"/>
      <c r="AT39" s="264"/>
      <c r="AU39" s="264"/>
      <c r="AV39" s="264"/>
      <c r="AW39" s="264"/>
      <c r="AX39" s="264"/>
      <c r="AY39" s="264"/>
      <c r="AZ39" s="264"/>
      <c r="BA39" s="264"/>
      <c r="BB39" s="264"/>
      <c r="BC39" s="264"/>
      <c r="BD39" s="264"/>
      <c r="BE39" s="264"/>
      <c r="BF39" s="264"/>
      <c r="BG39" s="264"/>
      <c r="BH39" s="264"/>
      <c r="BI39" s="264"/>
      <c r="BJ39" s="264"/>
      <c r="BK39" s="264"/>
    </row>
    <row r="40" ht="14.25" customHeight="1">
      <c r="A40" s="1"/>
      <c r="B40" s="46" t="s">
        <v>26</v>
      </c>
      <c r="C40" s="444">
        <v>42.521994134925708699902267190</v>
      </c>
      <c r="D40" s="445">
        <v>59.083191850603556429273524830</v>
      </c>
      <c r="E40" s="445">
        <v>56.422134254173679975563843090</v>
      </c>
      <c r="F40" s="445">
        <v>49.697580645164396421370967940</v>
      </c>
      <c r="G40" s="445">
        <v>66.820276497648123765635320460</v>
      </c>
      <c r="H40" s="445">
        <v>68.223133131380043344220275900</v>
      </c>
      <c r="I40" s="445">
        <v>79.63209810712272033242928832</v>
      </c>
      <c r="J40" s="445">
        <v>45.884950324990113042436075870</v>
      </c>
      <c r="K40" s="445">
        <v>47.624633431083312183417755330</v>
      </c>
      <c r="L40" s="445">
        <v>51.942612725027987546167710050</v>
      </c>
      <c r="M40" s="445">
        <v>50.253265795757056520465084860</v>
      </c>
      <c r="N40" s="445">
        <v>51.838915142781929254474766380</v>
      </c>
      <c r="O40" s="445">
        <v>69.493087557611628703094141790</v>
      </c>
      <c r="P40" s="445">
        <v>75.140478668024538887583510010</v>
      </c>
      <c r="Q40" s="445">
        <v>35.675232367452283594814286390</v>
      </c>
      <c r="R40" s="445">
        <v>49.913401169052728371724048560</v>
      </c>
      <c r="S40" s="445">
        <v>37.946388005479431398020125830</v>
      </c>
      <c r="T40" s="445">
        <v>49.220843672430829394922708630</v>
      </c>
      <c r="U40" s="445">
        <v>53.374233128828789190409876750</v>
      </c>
      <c r="V40" s="445">
        <v>81.21822719289253396139816736</v>
      </c>
      <c r="W40" s="445">
        <v>93.06368042782450241140921458</v>
      </c>
      <c r="X40" s="446">
        <v>106.09756097568674152290308978</v>
      </c>
      <c r="Y40" s="658">
        <v>32.856018882803771334267273040</v>
      </c>
      <c r="Z40" s="445">
        <v>54.638880959162858131715171130</v>
      </c>
      <c r="AA40" s="445">
        <v>48.938124210787151762548362330</v>
      </c>
      <c r="AB40" s="445">
        <v>33.017077798845942627525400780</v>
      </c>
      <c r="AC40" s="445">
        <v>53.720855956558079378682039910</v>
      </c>
      <c r="AD40" s="447">
        <v>53.456221198162791310072416760</v>
      </c>
      <c r="AE40" s="448"/>
      <c r="AF40" s="444">
        <v>56.443400564989269325689097240</v>
      </c>
      <c r="AG40" s="445">
        <v>58.145494200167843196309678120</v>
      </c>
      <c r="AH40" s="449">
        <v>66.629681749265291578949342570</v>
      </c>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row>
    <row r="41" ht="14.25" customHeight="1">
      <c r="A41" s="24"/>
      <c r="B41" s="48" t="s">
        <v>147</v>
      </c>
      <c r="C41" s="329">
        <v>40.784995560786875765317919080</v>
      </c>
      <c r="D41" s="330">
        <v>48.195843427236164873992025990</v>
      </c>
      <c r="E41" s="330">
        <v>46.931752218284350017725629240</v>
      </c>
      <c r="F41" s="330">
        <v>42.405525105650525091394484880</v>
      </c>
      <c r="G41" s="330">
        <v>60.950327556213441581461856150</v>
      </c>
      <c r="H41" s="330">
        <v>71.650124069528856592384077580</v>
      </c>
      <c r="I41" s="330">
        <v>78.777315296564806401262126160</v>
      </c>
      <c r="J41" s="330">
        <v>46.341642228732262330045322220</v>
      </c>
      <c r="K41" s="330">
        <v>39.800417730332579376276189550</v>
      </c>
      <c r="L41" s="330">
        <v>42.657045840429921365382908780</v>
      </c>
      <c r="M41" s="330">
        <v>43.314475330491741260690772890</v>
      </c>
      <c r="N41" s="330">
        <v>48.015408181651669710481832390</v>
      </c>
      <c r="O41" s="330">
        <v>62.267839687203960425368051430</v>
      </c>
      <c r="P41" s="330">
        <v>66.799159056601957901714487340</v>
      </c>
      <c r="Q41" s="330">
        <v>32.214235624113355211255262600</v>
      </c>
      <c r="R41" s="330">
        <v>37.713472485746316553186752640</v>
      </c>
      <c r="S41" s="330">
        <v>31.700961452066065244983432300</v>
      </c>
      <c r="T41" s="330">
        <v>40.804698457237416105783894350</v>
      </c>
      <c r="U41" s="330">
        <v>52.877697841755530252057362730</v>
      </c>
      <c r="V41" s="330">
        <v>79.29395428325285018625386203</v>
      </c>
      <c r="W41" s="330">
        <v>89.25996204937550530193103670</v>
      </c>
      <c r="X41" s="331">
        <v>102.94117647059580449826989676</v>
      </c>
      <c r="Y41" s="661">
        <v>34.824495597594262638325950780</v>
      </c>
      <c r="Z41" s="330">
        <v>39.042881977978063635622323100</v>
      </c>
      <c r="AA41" s="330">
        <v>38.342382625357791614357858720</v>
      </c>
      <c r="AB41" s="330">
        <v>29.781869752164247712535955790</v>
      </c>
      <c r="AC41" s="330">
        <v>49.395161290307144657258069330</v>
      </c>
      <c r="AD41" s="338">
        <v>51.356701991398637601377959180</v>
      </c>
      <c r="AE41" s="88"/>
      <c r="AF41" s="329">
        <v>50.3187329714476713583585600</v>
      </c>
      <c r="AG41" s="330">
        <v>51.904924159753548263939383400</v>
      </c>
      <c r="AH41" s="332">
        <v>55.395985219200545485296363090</v>
      </c>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row>
    <row r="42" ht="12" customHeight="1">
      <c r="B42" s="4"/>
      <c r="X42" s="27"/>
      <c r="AD42" s="28"/>
      <c r="AF42" s="43"/>
      <c r="AG42" s="43"/>
      <c r="AH42" s="43"/>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8">
      <c r="B43" s="29"/>
      <c r="X43" s="27"/>
      <c r="AD43" s="28"/>
      <c r="AF43" s="43"/>
      <c r="AG43" s="43"/>
      <c r="AH43" s="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s="41" customFormat="1" ht="18">
      <c r="B44" s="417" t="s">
        <v>77</v>
      </c>
      <c r="C44" s="309" t="s">
        <v>145</v>
      </c>
      <c r="D44" s="310"/>
      <c r="E44" s="310"/>
      <c r="F44" s="310"/>
      <c r="G44" s="310"/>
      <c r="H44" s="310"/>
      <c r="I44" s="310"/>
      <c r="J44" s="310"/>
      <c r="K44" s="310"/>
      <c r="L44" s="310"/>
      <c r="M44" s="310"/>
      <c r="N44" s="310"/>
      <c r="O44" s="310"/>
      <c r="P44" s="310"/>
      <c r="Q44" s="310"/>
      <c r="R44" s="310"/>
      <c r="S44" s="311"/>
      <c r="T44" s="311"/>
      <c r="U44" s="311"/>
      <c r="V44" s="311"/>
      <c r="W44" s="311"/>
      <c r="X44" s="312"/>
      <c r="Y44" s="656" t="s">
        <v>148</v>
      </c>
      <c r="Z44" s="311"/>
      <c r="AA44" s="311"/>
      <c r="AB44" s="311"/>
      <c r="AC44" s="311"/>
      <c r="AD44" s="336"/>
      <c r="AE44" s="25"/>
      <c r="AF44" s="316" t="s">
        <v>58</v>
      </c>
      <c r="AG44" s="317" t="s">
        <v>59</v>
      </c>
      <c r="AH44" s="318" t="s">
        <v>59</v>
      </c>
      <c r="AI44" s="25"/>
      <c r="AJ44" s="255"/>
      <c r="AK44" s="255"/>
      <c r="AL44" s="255"/>
      <c r="AM44" s="255"/>
      <c r="AN44" s="263"/>
      <c r="AO44" s="263"/>
      <c r="AP44" s="263"/>
      <c r="AQ44" s="263"/>
      <c r="AR44" s="263"/>
      <c r="AS44" s="263"/>
      <c r="AT44" s="263"/>
      <c r="AU44" s="263"/>
      <c r="AV44" s="263"/>
      <c r="AW44" s="263"/>
      <c r="AX44" s="263"/>
      <c r="AY44" s="263"/>
      <c r="AZ44" s="263"/>
      <c r="BA44" s="263"/>
      <c r="BB44" s="263"/>
      <c r="BC44" s="263"/>
      <c r="BD44" s="263"/>
      <c r="BE44" s="263"/>
      <c r="BF44" s="263"/>
      <c r="BG44" s="263"/>
      <c r="BH44" s="263"/>
      <c r="BI44" s="263"/>
      <c r="BJ44" s="263"/>
      <c r="BK44" s="263"/>
    </row>
    <row r="45" s="42" customFormat="1">
      <c r="C45" s="322">
        <v>10</v>
      </c>
      <c r="D45" s="42">
        <v>11</v>
      </c>
      <c r="E45" s="42">
        <v>12</v>
      </c>
      <c r="F45" s="42">
        <v>13</v>
      </c>
      <c r="G45" s="42">
        <v>14</v>
      </c>
      <c r="H45" s="42">
        <v>15</v>
      </c>
      <c r="I45" s="42">
        <v>16</v>
      </c>
      <c r="J45" s="42">
        <v>17</v>
      </c>
      <c r="K45" s="42">
        <v>18</v>
      </c>
      <c r="L45" s="42">
        <v>19</v>
      </c>
      <c r="M45" s="42">
        <v>20</v>
      </c>
      <c r="N45" s="42">
        <v>21</v>
      </c>
      <c r="O45" s="42">
        <v>22</v>
      </c>
      <c r="P45" s="42">
        <v>23</v>
      </c>
      <c r="Q45" s="42">
        <v>24</v>
      </c>
      <c r="R45" s="42">
        <v>25</v>
      </c>
      <c r="S45" s="42">
        <v>26</v>
      </c>
      <c r="T45" s="42">
        <v>27</v>
      </c>
      <c r="U45" s="42">
        <v>28</v>
      </c>
      <c r="V45" s="42">
        <v>29</v>
      </c>
      <c r="W45" s="42">
        <v>30</v>
      </c>
      <c r="X45" s="323">
        <v>31</v>
      </c>
      <c r="Y45" s="657">
        <v>1</v>
      </c>
      <c r="Z45" s="42">
        <v>2</v>
      </c>
      <c r="AA45" s="42">
        <v>3</v>
      </c>
      <c r="AB45" s="42">
        <v>4</v>
      </c>
      <c r="AC45" s="42">
        <v>5</v>
      </c>
      <c r="AD45" s="337">
        <v>6</v>
      </c>
      <c r="AE45" s="25"/>
      <c r="AF45" s="324" t="s">
        <v>60</v>
      </c>
      <c r="AG45" s="325">
        <v>28</v>
      </c>
      <c r="AH45" s="326" t="s">
        <v>31</v>
      </c>
      <c r="AI45" s="25"/>
      <c r="AJ45" s="255"/>
      <c r="AK45" s="255"/>
      <c r="AL45" s="255"/>
      <c r="AM45" s="255"/>
      <c r="AN45" s="264"/>
      <c r="AO45" s="264"/>
      <c r="AP45" s="264"/>
      <c r="AQ45" s="264"/>
      <c r="AR45" s="264"/>
      <c r="AS45" s="264"/>
      <c r="AT45" s="264"/>
      <c r="AU45" s="264"/>
      <c r="AV45" s="264"/>
      <c r="AW45" s="264"/>
      <c r="AX45" s="264"/>
      <c r="AY45" s="264"/>
      <c r="AZ45" s="264"/>
      <c r="BA45" s="264"/>
      <c r="BB45" s="264"/>
      <c r="BC45" s="264"/>
      <c r="BD45" s="264"/>
      <c r="BE45" s="264"/>
      <c r="BF45" s="264"/>
      <c r="BG45" s="264"/>
      <c r="BH45" s="264"/>
      <c r="BI45" s="264"/>
      <c r="BJ45" s="264"/>
      <c r="BK45" s="264"/>
    </row>
    <row r="46" ht="14.25" customHeight="1">
      <c r="A46" s="1"/>
      <c r="B46" s="46" t="s">
        <v>26</v>
      </c>
      <c r="C46" s="444">
        <v>-48.653198653108452016976800050</v>
      </c>
      <c r="D46" s="445">
        <v>-3.5087719298846519530323603200</v>
      </c>
      <c r="E46" s="445">
        <v>-37.542210617916650256253636470</v>
      </c>
      <c r="F46" s="445">
        <v>-44.583333333377215633451618810</v>
      </c>
      <c r="G46" s="445">
        <v>-18.109668109739466760813177450</v>
      </c>
      <c r="H46" s="445">
        <v>8.774229796974387432183072600</v>
      </c>
      <c r="I46" s="445">
        <v>-25.699355315195262936569768640</v>
      </c>
      <c r="J46" s="445">
        <v>-61.509822560325425840259393690</v>
      </c>
      <c r="K46" s="445">
        <v>-43.216783216828961024988961750</v>
      </c>
      <c r="L46" s="445">
        <v>-24.449778099750076066272488880</v>
      </c>
      <c r="M46" s="445">
        <v>-20.060999606462020620979422700</v>
      </c>
      <c r="N46" s="445">
        <v>-30.308949366196290563740435240</v>
      </c>
      <c r="O46" s="445">
        <v>-40.013413816181404306347155750</v>
      </c>
      <c r="P46" s="445">
        <v>-42.715678919756886655194584190</v>
      </c>
      <c r="Q46" s="445">
        <v>-77.356991525363247101413710050</v>
      </c>
      <c r="R46" s="445">
        <v>-49.799740203502859209619134250</v>
      </c>
      <c r="S46" s="445">
        <v>-64.463705308783122576423551840</v>
      </c>
      <c r="T46" s="445">
        <v>-57.018418201592548686099322830</v>
      </c>
      <c r="U46" s="445">
        <v>-60.139507521620022024701342570</v>
      </c>
      <c r="V46" s="445">
        <v>-49.35530085961382768914000800</v>
      </c>
      <c r="W46" s="445">
        <v>-51.443375277552819049933982910</v>
      </c>
      <c r="X46" s="446">
        <v>-45.738880918120115270716793580</v>
      </c>
      <c r="Y46" s="658">
        <v>-82.15113954418300648201333201</v>
      </c>
      <c r="Z46" s="445">
        <v>-66.129227785206868060078767200</v>
      </c>
      <c r="AA46" s="445">
        <v>-63.463819691556117036809939910</v>
      </c>
      <c r="AB46" s="445">
        <v>-78.705882352962079260231460550</v>
      </c>
      <c r="AC46" s="445">
        <v>-70.389851485124995242117785780</v>
      </c>
      <c r="AD46" s="447">
        <v>-69.703787026587636712976104480</v>
      </c>
      <c r="AE46" s="448"/>
      <c r="AF46" s="444">
        <v>-66.408653637815271126523502340</v>
      </c>
      <c r="AG46" s="445">
        <v>-48.982656482801655925619112320</v>
      </c>
      <c r="AH46" s="449">
        <v>-27.024885203233413943026845890</v>
      </c>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row>
    <row r="47" ht="14.25" customHeight="1">
      <c r="A47" s="24"/>
      <c r="B47" s="48" t="s">
        <v>147</v>
      </c>
      <c r="C47" s="329">
        <v>-2.4273700307104735125383048400</v>
      </c>
      <c r="D47" s="330">
        <v>25.776397515580995900004939200</v>
      </c>
      <c r="E47" s="330">
        <v>-12.218680376907616375879563970</v>
      </c>
      <c r="F47" s="330">
        <v>-31.572856391420998763890821390</v>
      </c>
      <c r="G47" s="330">
        <v>3.5288618836185872402499800300</v>
      </c>
      <c r="H47" s="330">
        <v>32.352393369498318364965147640</v>
      </c>
      <c r="I47" s="330">
        <v>0.0199534419505721297655185300</v>
      </c>
      <c r="J47" s="330">
        <v>-19.130681818256378492895032330</v>
      </c>
      <c r="K47" s="330">
        <v>-2.4441984873839117875290508400</v>
      </c>
      <c r="L47" s="330">
        <v>2.2855734184604124299045882600</v>
      </c>
      <c r="M47" s="330">
        <v>4.9144784388604839973748729500</v>
      </c>
      <c r="N47" s="330">
        <v>-5.2971051293633322974596947100</v>
      </c>
      <c r="O47" s="330">
        <v>-16.181533646405102060853941400</v>
      </c>
      <c r="P47" s="330">
        <v>-20.261608171841598925933846630</v>
      </c>
      <c r="Q47" s="330">
        <v>-64.419157608703824270452063910</v>
      </c>
      <c r="R47" s="330">
        <v>-30.576424118033777111975540780</v>
      </c>
      <c r="S47" s="330">
        <v>-45.626740947040630709398961010</v>
      </c>
      <c r="T47" s="330">
        <v>-30.189834660092080894001064480</v>
      </c>
      <c r="U47" s="330">
        <v>-31.871489110061739888411597770</v>
      </c>
      <c r="V47" s="330">
        <v>-14.110475617048704798957429370</v>
      </c>
      <c r="W47" s="330">
        <v>-13.210084033549278864006550960</v>
      </c>
      <c r="X47" s="331">
        <v>1.9541934421742559439330949400</v>
      </c>
      <c r="Y47" s="661">
        <v>-63.882256155013377548382936790</v>
      </c>
      <c r="Z47" s="330">
        <v>-46.673775736136893148219379970</v>
      </c>
      <c r="AA47" s="330">
        <v>-46.710671067090453842492525810</v>
      </c>
      <c r="AB47" s="330">
        <v>-66.763433356575393314149714450</v>
      </c>
      <c r="AC47" s="330">
        <v>-55.957031249992584602200247240</v>
      </c>
      <c r="AD47" s="338">
        <v>-56.508144063205507807337305370</v>
      </c>
      <c r="AE47" s="88"/>
      <c r="AF47" s="329">
        <v>-46.684803803349444433602378910</v>
      </c>
      <c r="AG47" s="330">
        <v>-24.194310894116749238621362390</v>
      </c>
      <c r="AH47" s="332">
        <v>-1.19298245624752340397480900</v>
      </c>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row>
    <row r="48" ht="14.25" customHeight="1">
      <c r="A48" s="24"/>
      <c r="B48" s="53"/>
      <c r="C48" s="472"/>
      <c r="D48" s="472"/>
      <c r="E48" s="472"/>
      <c r="F48" s="472"/>
      <c r="G48" s="472"/>
      <c r="H48" s="472"/>
      <c r="I48" s="472"/>
      <c r="J48" s="472"/>
      <c r="K48" s="472"/>
      <c r="L48" s="472"/>
      <c r="M48" s="472"/>
      <c r="N48" s="472"/>
      <c r="O48" s="472"/>
      <c r="P48" s="472"/>
      <c r="Q48" s="472"/>
      <c r="R48" s="472"/>
      <c r="S48" s="472"/>
      <c r="T48" s="472"/>
      <c r="U48" s="472"/>
      <c r="V48" s="472"/>
      <c r="W48" s="472"/>
      <c r="X48" s="473"/>
      <c r="Y48" s="472"/>
      <c r="Z48" s="472"/>
      <c r="AA48" s="472"/>
      <c r="AB48" s="472"/>
      <c r="AC48" s="472"/>
      <c r="AD48" s="474"/>
      <c r="AE48" s="475"/>
      <c r="AF48" s="472"/>
      <c r="AG48" s="472"/>
      <c r="AH48" s="472"/>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8">
      <c r="B49" s="29"/>
      <c r="X49" s="27"/>
      <c r="AD49" s="28"/>
      <c r="AF49" s="43"/>
      <c r="AG49" s="43"/>
      <c r="AH49" s="43"/>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s="41" customFormat="1" ht="18">
      <c r="B50" s="417" t="s">
        <v>55</v>
      </c>
      <c r="C50" s="309" t="s">
        <v>145</v>
      </c>
      <c r="D50" s="310"/>
      <c r="E50" s="310"/>
      <c r="F50" s="310"/>
      <c r="G50" s="310"/>
      <c r="H50" s="310"/>
      <c r="I50" s="310"/>
      <c r="J50" s="310"/>
      <c r="K50" s="310"/>
      <c r="L50" s="310"/>
      <c r="M50" s="310"/>
      <c r="N50" s="310"/>
      <c r="O50" s="310"/>
      <c r="P50" s="310"/>
      <c r="Q50" s="310"/>
      <c r="R50" s="310"/>
      <c r="S50" s="311"/>
      <c r="T50" s="311"/>
      <c r="U50" s="311"/>
      <c r="V50" s="311"/>
      <c r="W50" s="311"/>
      <c r="X50" s="312"/>
      <c r="Y50" s="656" t="s">
        <v>148</v>
      </c>
      <c r="Z50" s="311"/>
      <c r="AA50" s="311"/>
      <c r="AB50" s="311"/>
      <c r="AC50" s="311"/>
      <c r="AD50" s="336"/>
      <c r="AE50" s="25"/>
      <c r="AF50" s="316" t="s">
        <v>58</v>
      </c>
      <c r="AG50" s="317" t="s">
        <v>59</v>
      </c>
      <c r="AH50" s="318" t="s">
        <v>59</v>
      </c>
      <c r="AI50" s="25"/>
      <c r="AJ50" s="255"/>
      <c r="AK50" s="255"/>
      <c r="AL50" s="255"/>
      <c r="AM50" s="255"/>
      <c r="AN50" s="263"/>
      <c r="AO50" s="263"/>
      <c r="AP50" s="263"/>
      <c r="AQ50" s="263"/>
      <c r="AR50" s="263"/>
      <c r="AS50" s="263"/>
      <c r="AT50" s="263"/>
      <c r="AU50" s="263"/>
      <c r="AV50" s="263"/>
      <c r="AW50" s="263"/>
      <c r="AX50" s="263"/>
      <c r="AY50" s="263"/>
      <c r="AZ50" s="263"/>
      <c r="BA50" s="263"/>
      <c r="BB50" s="263"/>
      <c r="BC50" s="263"/>
      <c r="BD50" s="263"/>
      <c r="BE50" s="263"/>
      <c r="BF50" s="263"/>
      <c r="BG50" s="263"/>
      <c r="BH50" s="263"/>
      <c r="BI50" s="263"/>
      <c r="BJ50" s="263"/>
      <c r="BK50" s="263"/>
    </row>
    <row r="51" s="42" customFormat="1">
      <c r="C51" s="322">
        <v>10</v>
      </c>
      <c r="D51" s="42">
        <v>11</v>
      </c>
      <c r="E51" s="42">
        <v>12</v>
      </c>
      <c r="F51" s="42">
        <v>13</v>
      </c>
      <c r="G51" s="42">
        <v>14</v>
      </c>
      <c r="H51" s="42">
        <v>15</v>
      </c>
      <c r="I51" s="42">
        <v>16</v>
      </c>
      <c r="J51" s="42">
        <v>17</v>
      </c>
      <c r="K51" s="42">
        <v>18</v>
      </c>
      <c r="L51" s="42">
        <v>19</v>
      </c>
      <c r="M51" s="42">
        <v>20</v>
      </c>
      <c r="N51" s="42">
        <v>21</v>
      </c>
      <c r="O51" s="42">
        <v>22</v>
      </c>
      <c r="P51" s="42">
        <v>23</v>
      </c>
      <c r="Q51" s="42">
        <v>24</v>
      </c>
      <c r="R51" s="42">
        <v>25</v>
      </c>
      <c r="S51" s="42">
        <v>26</v>
      </c>
      <c r="T51" s="42">
        <v>27</v>
      </c>
      <c r="U51" s="42">
        <v>28</v>
      </c>
      <c r="V51" s="42">
        <v>29</v>
      </c>
      <c r="W51" s="42">
        <v>30</v>
      </c>
      <c r="X51" s="323">
        <v>31</v>
      </c>
      <c r="Y51" s="657">
        <v>1</v>
      </c>
      <c r="Z51" s="42">
        <v>2</v>
      </c>
      <c r="AA51" s="42">
        <v>3</v>
      </c>
      <c r="AB51" s="42">
        <v>4</v>
      </c>
      <c r="AC51" s="42">
        <v>5</v>
      </c>
      <c r="AD51" s="337">
        <v>6</v>
      </c>
      <c r="AE51" s="25"/>
      <c r="AF51" s="324" t="s">
        <v>60</v>
      </c>
      <c r="AG51" s="325">
        <v>28</v>
      </c>
      <c r="AH51" s="326" t="s">
        <v>31</v>
      </c>
      <c r="AI51" s="25"/>
      <c r="AJ51" s="255"/>
      <c r="AK51" s="255"/>
      <c r="AL51" s="255"/>
      <c r="AM51" s="255"/>
      <c r="AN51" s="264"/>
      <c r="AO51" s="264"/>
      <c r="AP51" s="264"/>
      <c r="AQ51" s="264"/>
      <c r="AR51" s="264"/>
      <c r="AS51" s="264"/>
      <c r="AT51" s="264"/>
      <c r="AU51" s="264"/>
      <c r="AV51" s="264"/>
      <c r="AW51" s="264"/>
      <c r="AX51" s="264"/>
      <c r="AY51" s="264"/>
      <c r="AZ51" s="264"/>
      <c r="BA51" s="264"/>
      <c r="BB51" s="264"/>
      <c r="BC51" s="264"/>
      <c r="BD51" s="264"/>
      <c r="BE51" s="264"/>
      <c r="BF51" s="264"/>
      <c r="BG51" s="264"/>
      <c r="BH51" s="264"/>
      <c r="BI51" s="264"/>
      <c r="BJ51" s="264"/>
      <c r="BK51" s="264"/>
    </row>
    <row r="52" ht="14.25" customHeight="1">
      <c r="A52" s="1"/>
      <c r="B52" s="46" t="s">
        <v>56</v>
      </c>
      <c r="C52" s="455" t="s">
        <v>149</v>
      </c>
      <c r="D52" s="456" t="s">
        <v>150</v>
      </c>
      <c r="E52" s="456" t="s">
        <v>149</v>
      </c>
      <c r="F52" s="456" t="s">
        <v>149</v>
      </c>
      <c r="G52" s="456" t="s">
        <v>150</v>
      </c>
      <c r="H52" s="456" t="s">
        <v>150</v>
      </c>
      <c r="I52" s="456" t="s">
        <v>151</v>
      </c>
      <c r="J52" s="456" t="s">
        <v>150</v>
      </c>
      <c r="K52" s="456" t="s">
        <v>149</v>
      </c>
      <c r="L52" s="456" t="s">
        <v>150</v>
      </c>
      <c r="M52" s="456" t="s">
        <v>149</v>
      </c>
      <c r="N52" s="456" t="s">
        <v>151</v>
      </c>
      <c r="O52" s="456" t="s">
        <v>151</v>
      </c>
      <c r="P52" s="456" t="s">
        <v>151</v>
      </c>
      <c r="Q52" s="456" t="s">
        <v>149</v>
      </c>
      <c r="R52" s="456" t="s">
        <v>150</v>
      </c>
      <c r="S52" s="456" t="s">
        <v>149</v>
      </c>
      <c r="T52" s="456" t="s">
        <v>149</v>
      </c>
      <c r="U52" s="456" t="s">
        <v>149</v>
      </c>
      <c r="V52" s="456" t="s">
        <v>151</v>
      </c>
      <c r="W52" s="456" t="s">
        <v>151</v>
      </c>
      <c r="X52" s="457" t="s">
        <v>152</v>
      </c>
      <c r="Y52" s="662" t="s">
        <v>149</v>
      </c>
      <c r="Z52" s="456" t="s">
        <v>150</v>
      </c>
      <c r="AA52" s="456" t="s">
        <v>149</v>
      </c>
      <c r="AB52" s="456" t="s">
        <v>149</v>
      </c>
      <c r="AC52" s="456" t="s">
        <v>149</v>
      </c>
      <c r="AD52" s="458" t="s">
        <v>149</v>
      </c>
      <c r="AE52" s="459"/>
      <c r="AF52" s="455" t="s">
        <v>149</v>
      </c>
      <c r="AG52" s="456" t="s">
        <v>149</v>
      </c>
      <c r="AH52" s="460" t="s">
        <v>151</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ht="14.25" customHeight="1" thickBot="1">
      <c r="B53" s="48" t="s">
        <v>76</v>
      </c>
      <c r="C53" s="333" t="s">
        <v>149</v>
      </c>
      <c r="D53" s="334" t="s">
        <v>151</v>
      </c>
      <c r="E53" s="334" t="s">
        <v>149</v>
      </c>
      <c r="F53" s="334" t="s">
        <v>149</v>
      </c>
      <c r="G53" s="334" t="s">
        <v>149</v>
      </c>
      <c r="H53" s="334" t="s">
        <v>152</v>
      </c>
      <c r="I53" s="334" t="s">
        <v>150</v>
      </c>
      <c r="J53" s="334" t="s">
        <v>149</v>
      </c>
      <c r="K53" s="334" t="s">
        <v>149</v>
      </c>
      <c r="L53" s="334" t="s">
        <v>149</v>
      </c>
      <c r="M53" s="334" t="s">
        <v>150</v>
      </c>
      <c r="N53" s="334" t="s">
        <v>153</v>
      </c>
      <c r="O53" s="334" t="s">
        <v>149</v>
      </c>
      <c r="P53" s="334" t="s">
        <v>149</v>
      </c>
      <c r="Q53" s="334" t="s">
        <v>149</v>
      </c>
      <c r="R53" s="334" t="s">
        <v>149</v>
      </c>
      <c r="S53" s="334" t="s">
        <v>149</v>
      </c>
      <c r="T53" s="334" t="s">
        <v>149</v>
      </c>
      <c r="U53" s="334" t="s">
        <v>149</v>
      </c>
      <c r="V53" s="334" t="s">
        <v>149</v>
      </c>
      <c r="W53" s="334" t="s">
        <v>149</v>
      </c>
      <c r="X53" s="60" t="s">
        <v>150</v>
      </c>
      <c r="Y53" s="663" t="s">
        <v>149</v>
      </c>
      <c r="Z53" s="61" t="s">
        <v>149</v>
      </c>
      <c r="AA53" s="61" t="s">
        <v>149</v>
      </c>
      <c r="AB53" s="61" t="s">
        <v>149</v>
      </c>
      <c r="AC53" s="61" t="s">
        <v>149</v>
      </c>
      <c r="AD53" s="62" t="s">
        <v>149</v>
      </c>
      <c r="AE53" s="59"/>
      <c r="AF53" s="333" t="s">
        <v>149</v>
      </c>
      <c r="AG53" s="334" t="s">
        <v>149</v>
      </c>
      <c r="AH53" s="335" t="s">
        <v>149</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9.95" customHeight="1">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9.95" customHeight="1">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24.95" customHeight="1">
      <c r="B56" s="611" t="s">
        <v>114</v>
      </c>
      <c r="C56" s="611"/>
      <c r="D56" s="611"/>
      <c r="E56" s="611"/>
      <c r="F56" s="611"/>
      <c r="G56" s="611"/>
      <c r="H56" s="611"/>
      <c r="I56" s="611"/>
      <c r="J56" s="611"/>
      <c r="K56" s="611"/>
      <c r="L56" s="611"/>
      <c r="M56" s="611"/>
      <c r="N56" s="611"/>
      <c r="O56" s="611"/>
      <c r="P56" s="611"/>
      <c r="Q56" s="611"/>
      <c r="R56" s="611"/>
      <c r="S56" s="611"/>
      <c r="T56" s="611"/>
      <c r="U56" s="611"/>
      <c r="V56" s="611"/>
      <c r="W56" s="611"/>
      <c r="X56" s="611"/>
      <c r="Y56" s="611"/>
      <c r="Z56" s="611"/>
      <c r="AA56" s="611"/>
      <c r="AB56" s="611"/>
      <c r="AC56" s="611"/>
      <c r="AD56" s="611"/>
      <c r="AE56" s="611"/>
      <c r="AF56" s="611"/>
      <c r="AG56" s="611"/>
      <c r="AH56" s="61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B57" s="235"/>
      <c r="AF57" s="80"/>
      <c r="AG57" s="242"/>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9.95" customHeight="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s="25" customFormat="1">
      <c r="A65" s="255"/>
      <c r="B65" s="255"/>
      <c r="C65" s="255"/>
      <c r="D65" s="255"/>
      <c r="E65" s="255"/>
      <c r="F65" s="255"/>
      <c r="G65" s="255"/>
      <c r="H65" s="255"/>
      <c r="I65" s="255"/>
      <c r="J65" s="255"/>
      <c r="K65" s="255"/>
      <c r="L65" s="255"/>
      <c r="M65" s="255"/>
      <c r="N65" s="255"/>
      <c r="O65" s="255"/>
      <c r="P65" s="255"/>
      <c r="Q65" s="255"/>
      <c r="R65" s="255"/>
      <c r="S65" s="255"/>
      <c r="T65" s="255"/>
      <c r="U65" s="255"/>
      <c r="V65" s="255"/>
      <c r="W65" s="255"/>
      <c r="X65" s="255"/>
      <c r="Y65" s="255"/>
      <c r="Z65" s="255"/>
      <c r="AA65" s="255"/>
      <c r="AB65" s="255"/>
      <c r="AC65" s="255"/>
      <c r="AD65" s="255"/>
      <c r="AE65" s="255"/>
      <c r="AF65" s="255"/>
      <c r="AG65" s="255"/>
      <c r="AH65" s="255"/>
      <c r="AI65" s="255"/>
      <c r="AJ65" s="255"/>
      <c r="AK65" s="255"/>
      <c r="AL65" s="255"/>
      <c r="AM65" s="255"/>
      <c r="AN65" s="255"/>
      <c r="AO65" s="255"/>
      <c r="AP65" s="255"/>
      <c r="AQ65" s="255"/>
      <c r="AR65" s="255"/>
      <c r="AS65" s="255"/>
      <c r="AT65" s="255"/>
      <c r="AU65" s="255"/>
      <c r="AV65" s="255"/>
      <c r="AW65" s="255"/>
      <c r="AX65" s="255"/>
      <c r="AY65" s="255"/>
      <c r="AZ65" s="255"/>
      <c r="BA65" s="255"/>
      <c r="BB65" s="255"/>
      <c r="BC65" s="255"/>
      <c r="BD65" s="255"/>
      <c r="BE65" s="255"/>
      <c r="BF65" s="255"/>
      <c r="BG65" s="255"/>
      <c r="BH65" s="255"/>
      <c r="BI65" s="255"/>
      <c r="BJ65" s="255"/>
      <c r="BK65" s="255"/>
    </row>
    <row r="66" s="25" customFormat="1" ht="10.5" customHeight="1">
      <c r="A66" s="255"/>
      <c r="B66" s="664"/>
      <c r="C66" s="664"/>
      <c r="D66" s="664"/>
      <c r="E66" s="664"/>
      <c r="F66" s="664"/>
      <c r="G66" s="664"/>
      <c r="H66" s="664"/>
      <c r="I66" s="664"/>
      <c r="J66" s="664"/>
      <c r="K66" s="664"/>
      <c r="L66" s="664"/>
      <c r="M66" s="664"/>
      <c r="N66" s="664"/>
      <c r="O66" s="664"/>
      <c r="P66" s="664"/>
      <c r="Q66" s="664"/>
      <c r="R66" s="664"/>
      <c r="S66" s="664"/>
      <c r="T66" s="664"/>
      <c r="U66" s="664"/>
      <c r="V66" s="664"/>
      <c r="W66" s="664"/>
      <c r="X66" s="664"/>
      <c r="Y66" s="664"/>
      <c r="Z66" s="664"/>
      <c r="AA66" s="664"/>
      <c r="AB66" s="664"/>
      <c r="AC66" s="664"/>
      <c r="AD66" s="664"/>
      <c r="AE66" s="664"/>
      <c r="AF66" s="664"/>
      <c r="AG66" s="664"/>
      <c r="AH66" s="664"/>
      <c r="AI66" s="255"/>
      <c r="AJ66" s="255"/>
      <c r="AK66" s="255"/>
      <c r="AL66" s="255"/>
      <c r="AM66" s="255"/>
      <c r="AN66" s="255"/>
      <c r="AO66" s="255"/>
      <c r="AP66" s="255"/>
      <c r="AQ66" s="255"/>
      <c r="AR66" s="255"/>
      <c r="AS66" s="255"/>
      <c r="AT66" s="255"/>
      <c r="AU66" s="255"/>
      <c r="AV66" s="255"/>
      <c r="AW66" s="255"/>
      <c r="AX66" s="255"/>
      <c r="AY66" s="255"/>
      <c r="AZ66" s="255"/>
      <c r="BA66" s="255"/>
      <c r="BB66" s="255"/>
      <c r="BC66" s="255"/>
      <c r="BD66" s="255"/>
      <c r="BE66" s="255"/>
      <c r="BF66" s="255"/>
      <c r="BG66" s="255"/>
      <c r="BH66" s="255"/>
      <c r="BI66" s="255"/>
      <c r="BJ66" s="255"/>
      <c r="BK66" s="255"/>
    </row>
    <row r="67" s="25" customFormat="1">
      <c r="A67" s="255"/>
      <c r="B67" s="664"/>
      <c r="C67" s="664"/>
      <c r="D67" s="664"/>
      <c r="E67" s="664"/>
      <c r="F67" s="664"/>
      <c r="G67" s="664"/>
      <c r="H67" s="664"/>
      <c r="I67" s="664"/>
      <c r="J67" s="664"/>
      <c r="K67" s="664"/>
      <c r="L67" s="664"/>
      <c r="M67" s="664"/>
      <c r="N67" s="664"/>
      <c r="O67" s="664"/>
      <c r="P67" s="664"/>
      <c r="Q67" s="664"/>
      <c r="R67" s="664"/>
      <c r="S67" s="664"/>
      <c r="T67" s="664"/>
      <c r="U67" s="664"/>
      <c r="V67" s="664"/>
      <c r="W67" s="664"/>
      <c r="X67" s="664"/>
      <c r="Y67" s="664"/>
      <c r="Z67" s="664"/>
      <c r="AA67" s="664"/>
      <c r="AB67" s="664"/>
      <c r="AC67" s="664"/>
      <c r="AD67" s="664"/>
      <c r="AE67" s="664"/>
      <c r="AF67" s="664"/>
      <c r="AG67" s="664"/>
      <c r="AH67" s="664"/>
      <c r="AI67" s="255"/>
      <c r="AJ67" s="255"/>
      <c r="AK67" s="255"/>
      <c r="AL67" s="255"/>
      <c r="AM67" s="255"/>
      <c r="AN67" s="255"/>
      <c r="AO67" s="255"/>
      <c r="AP67" s="255"/>
      <c r="AQ67" s="255"/>
      <c r="AR67" s="255"/>
      <c r="AS67" s="255"/>
      <c r="AT67" s="255"/>
      <c r="AU67" s="255"/>
      <c r="AV67" s="255"/>
      <c r="AW67" s="255"/>
      <c r="AX67" s="255"/>
      <c r="AY67" s="255"/>
      <c r="AZ67" s="255"/>
      <c r="BA67" s="255"/>
      <c r="BB67" s="255"/>
      <c r="BC67" s="255"/>
      <c r="BD67" s="255"/>
      <c r="BE67" s="255"/>
      <c r="BF67" s="255"/>
      <c r="BG67" s="255"/>
      <c r="BH67" s="255"/>
      <c r="BI67" s="255"/>
      <c r="BJ67" s="255"/>
      <c r="BK67" s="255"/>
    </row>
    <row r="68" s="84" customFormat="1">
      <c r="A68" s="257"/>
      <c r="B68" s="664"/>
      <c r="C68" s="664"/>
      <c r="D68" s="664"/>
      <c r="E68" s="664"/>
      <c r="F68" s="664"/>
      <c r="G68" s="664"/>
      <c r="H68" s="664"/>
      <c r="I68" s="664"/>
      <c r="J68" s="664"/>
      <c r="K68" s="664"/>
      <c r="L68" s="664"/>
      <c r="M68" s="664"/>
      <c r="N68" s="664"/>
      <c r="O68" s="664"/>
      <c r="P68" s="664"/>
      <c r="Q68" s="664"/>
      <c r="R68" s="664"/>
      <c r="S68" s="664"/>
      <c r="T68" s="664"/>
      <c r="U68" s="664"/>
      <c r="V68" s="664"/>
      <c r="W68" s="664"/>
      <c r="X68" s="664"/>
      <c r="Y68" s="664"/>
      <c r="Z68" s="664"/>
      <c r="AA68" s="664"/>
      <c r="AB68" s="664"/>
      <c r="AC68" s="664"/>
      <c r="AD68" s="664"/>
      <c r="AE68" s="664"/>
      <c r="AF68" s="664"/>
      <c r="AG68" s="664"/>
      <c r="AH68" s="664"/>
      <c r="AI68" s="257"/>
      <c r="AJ68" s="257"/>
      <c r="AK68" s="257"/>
      <c r="AL68" s="257"/>
      <c r="AM68" s="257"/>
      <c r="AN68" s="257"/>
      <c r="AO68" s="257"/>
      <c r="AP68" s="257"/>
      <c r="AQ68" s="257"/>
      <c r="AR68" s="257"/>
      <c r="AS68" s="257"/>
      <c r="AT68" s="257"/>
      <c r="AU68" s="257"/>
      <c r="AV68" s="257"/>
      <c r="AW68" s="257"/>
      <c r="AX68" s="257"/>
      <c r="AY68" s="257"/>
      <c r="AZ68" s="257"/>
      <c r="BA68" s="257"/>
      <c r="BB68" s="257"/>
      <c r="BC68" s="257"/>
      <c r="BD68" s="257"/>
      <c r="BE68" s="257"/>
      <c r="BF68" s="257"/>
      <c r="BG68" s="257"/>
      <c r="BH68" s="257"/>
      <c r="BI68" s="257"/>
      <c r="BJ68" s="257"/>
      <c r="BK68" s="257"/>
    </row>
    <row r="69" s="84" customFormat="1">
      <c r="A69" s="257"/>
      <c r="B69" s="664"/>
      <c r="C69" s="664"/>
      <c r="D69" s="664"/>
      <c r="E69" s="664"/>
      <c r="F69" s="664"/>
      <c r="G69" s="664"/>
      <c r="H69" s="664"/>
      <c r="I69" s="664"/>
      <c r="J69" s="664"/>
      <c r="K69" s="664"/>
      <c r="L69" s="664"/>
      <c r="M69" s="664"/>
      <c r="N69" s="664"/>
      <c r="O69" s="664"/>
      <c r="P69" s="664"/>
      <c r="Q69" s="664"/>
      <c r="R69" s="664"/>
      <c r="S69" s="664"/>
      <c r="T69" s="664"/>
      <c r="U69" s="664"/>
      <c r="V69" s="664"/>
      <c r="W69" s="664"/>
      <c r="X69" s="664"/>
      <c r="Y69" s="664"/>
      <c r="Z69" s="664"/>
      <c r="AA69" s="664"/>
      <c r="AB69" s="664"/>
      <c r="AC69" s="664"/>
      <c r="AD69" s="664"/>
      <c r="AE69" s="664"/>
      <c r="AF69" s="664"/>
      <c r="AG69" s="664"/>
      <c r="AH69" s="664"/>
      <c r="AI69" s="257"/>
      <c r="AJ69" s="257"/>
      <c r="AK69" s="257"/>
      <c r="AL69" s="257"/>
      <c r="AM69" s="257"/>
      <c r="AN69" s="257"/>
      <c r="AO69" s="257"/>
      <c r="AP69" s="257"/>
      <c r="AQ69" s="257"/>
      <c r="AR69" s="257"/>
      <c r="AS69" s="257"/>
      <c r="AT69" s="257"/>
      <c r="AU69" s="257"/>
      <c r="AV69" s="257"/>
      <c r="AW69" s="257"/>
      <c r="AX69" s="257"/>
      <c r="AY69" s="257"/>
      <c r="AZ69" s="257"/>
      <c r="BA69" s="257"/>
      <c r="BB69" s="257"/>
      <c r="BC69" s="257"/>
      <c r="BD69" s="257"/>
      <c r="BE69" s="257"/>
      <c r="BF69" s="257"/>
      <c r="BG69" s="257"/>
      <c r="BH69" s="257"/>
      <c r="BI69" s="257"/>
      <c r="BJ69" s="257"/>
      <c r="BK69" s="257"/>
    </row>
    <row r="70" s="84" customFormat="1">
      <c r="A70" s="257"/>
      <c r="B70" s="664"/>
      <c r="C70" s="664"/>
      <c r="D70" s="664"/>
      <c r="E70" s="664"/>
      <c r="F70" s="664"/>
      <c r="G70" s="664"/>
      <c r="H70" s="664"/>
      <c r="I70" s="664"/>
      <c r="J70" s="664"/>
      <c r="K70" s="664"/>
      <c r="L70" s="664"/>
      <c r="M70" s="664"/>
      <c r="N70" s="664"/>
      <c r="O70" s="664"/>
      <c r="P70" s="664"/>
      <c r="Q70" s="664"/>
      <c r="R70" s="664"/>
      <c r="S70" s="664"/>
      <c r="T70" s="664"/>
      <c r="U70" s="664"/>
      <c r="V70" s="664"/>
      <c r="W70" s="664"/>
      <c r="X70" s="664"/>
      <c r="Y70" s="664"/>
      <c r="Z70" s="664"/>
      <c r="AA70" s="664"/>
      <c r="AB70" s="664"/>
      <c r="AC70" s="664"/>
      <c r="AD70" s="664"/>
      <c r="AE70" s="664"/>
      <c r="AF70" s="664"/>
      <c r="AG70" s="664"/>
      <c r="AH70" s="664"/>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7"/>
      <c r="B71" s="664">
        <v>1</v>
      </c>
      <c r="C71" s="664">
        <v>2</v>
      </c>
      <c r="D71" s="664">
        <v>3</v>
      </c>
      <c r="E71" s="664">
        <v>4</v>
      </c>
      <c r="F71" s="664">
        <v>5</v>
      </c>
      <c r="G71" s="664">
        <v>6</v>
      </c>
      <c r="H71" s="664">
        <v>7</v>
      </c>
      <c r="I71" s="664">
        <v>8</v>
      </c>
      <c r="J71" s="664">
        <v>9</v>
      </c>
      <c r="K71" s="664">
        <v>10</v>
      </c>
      <c r="L71" s="664">
        <v>11</v>
      </c>
      <c r="M71" s="664">
        <v>12</v>
      </c>
      <c r="N71" s="664"/>
      <c r="O71" s="664"/>
      <c r="P71" s="664"/>
      <c r="Q71" s="664"/>
      <c r="R71" s="664"/>
      <c r="S71" s="664"/>
      <c r="T71" s="664"/>
      <c r="U71" s="664"/>
      <c r="V71" s="664"/>
      <c r="W71" s="664"/>
      <c r="X71" s="664"/>
      <c r="Y71" s="664"/>
      <c r="Z71" s="664"/>
      <c r="AA71" s="664"/>
      <c r="AB71" s="664"/>
      <c r="AC71" s="664"/>
      <c r="AD71" s="664"/>
      <c r="AE71" s="664"/>
      <c r="AF71" s="664"/>
      <c r="AG71" s="664"/>
      <c r="AH71" s="664"/>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64" t="n">
        <v>45829</v>
      </c>
      <c r="C72" s="664">
        <v>45836</v>
      </c>
      <c r="D72" s="664">
        <v>45843</v>
      </c>
      <c r="E72" s="664">
        <v>45850</v>
      </c>
      <c r="F72" s="664">
        <v>45857</v>
      </c>
      <c r="G72" s="664">
        <v>45864</v>
      </c>
      <c r="H72" s="664">
        <v>45871</v>
      </c>
      <c r="I72" s="664">
        <v>45878</v>
      </c>
      <c r="J72" s="664">
        <v>45885</v>
      </c>
      <c r="K72" s="664">
        <v>45892</v>
      </c>
      <c r="L72" s="664">
        <v>45899</v>
      </c>
      <c r="M72" s="664">
        <v>45906</v>
      </c>
      <c r="N72" s="664"/>
      <c r="O72" s="664"/>
      <c r="P72" s="664"/>
      <c r="Q72" s="664"/>
      <c r="R72" s="664"/>
      <c r="S72" s="664"/>
      <c r="T72" s="664"/>
      <c r="U72" s="664"/>
      <c r="V72" s="664"/>
      <c r="W72" s="664"/>
      <c r="X72" s="664"/>
      <c r="Y72" s="664"/>
      <c r="Z72" s="664"/>
      <c r="AA72" s="664"/>
      <c r="AB72" s="664"/>
      <c r="AC72" s="664"/>
      <c r="AD72" s="664"/>
      <c r="AE72" s="664"/>
      <c r="AF72" s="664"/>
      <c r="AG72" s="664"/>
      <c r="AH72" s="664"/>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64">
        <v>45.314900153609831029185867900</v>
      </c>
      <c r="C73" s="664">
        <v>50.768049155145929339477726570</v>
      </c>
      <c r="D73" s="664">
        <v>29.877112135176651305683563750</v>
      </c>
      <c r="E73" s="664">
        <v>39.170506912442396313364055300</v>
      </c>
      <c r="F73" s="664">
        <v>40.629800307219662058371735790</v>
      </c>
      <c r="G73" s="664">
        <v>29.262672811059907834101382490</v>
      </c>
      <c r="H73" s="664">
        <v>43.241167434715821812596006140</v>
      </c>
      <c r="I73" s="664">
        <v>39.708141321044546850998463900</v>
      </c>
      <c r="J73" s="664">
        <v>40.937019969278033794162826420</v>
      </c>
      <c r="K73" s="664">
        <v>34.562211981566820276497695850</v>
      </c>
      <c r="L73" s="664">
        <v>36.789554531490015360983102920</v>
      </c>
      <c r="M73" s="664">
        <v>30.337941628264208909370199690</v>
      </c>
      <c r="N73" s="664"/>
      <c r="O73" s="664"/>
      <c r="P73" s="664"/>
      <c r="Q73" s="664"/>
      <c r="R73" s="664"/>
      <c r="S73" s="664"/>
      <c r="T73" s="664"/>
      <c r="U73" s="664"/>
      <c r="V73" s="664"/>
      <c r="W73" s="664"/>
      <c r="X73" s="664"/>
      <c r="Y73" s="664"/>
      <c r="Z73" s="664"/>
      <c r="AA73" s="664"/>
      <c r="AB73" s="664"/>
      <c r="AC73" s="664"/>
      <c r="AD73" s="664"/>
      <c r="AE73" s="664"/>
      <c r="AF73" s="664"/>
      <c r="AG73" s="664"/>
      <c r="AH73" s="664"/>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64">
        <v>60.454296661193212917350848390</v>
      </c>
      <c r="C74" s="664">
        <v>57.569178373776074925500212860</v>
      </c>
      <c r="D74" s="664">
        <v>44.663382594417077175697865350</v>
      </c>
      <c r="E74" s="664">
        <v>58.730158730158730158730158730</v>
      </c>
      <c r="F74" s="664">
        <v>52.298850574712643678160919540</v>
      </c>
      <c r="G74" s="664">
        <v>56.896551724137931034482758620</v>
      </c>
      <c r="H74" s="664">
        <v>48.850574712643678160919540230</v>
      </c>
      <c r="I74" s="664">
        <v>45.046524356869184455391351940</v>
      </c>
      <c r="J74" s="664">
        <v>67.515051997810618500273672690</v>
      </c>
      <c r="K74" s="664">
        <v>61.767925561029009304871373840</v>
      </c>
      <c r="L74" s="664">
        <v>62.260536398467432950191570880</v>
      </c>
      <c r="M74" s="664">
        <v>53.749315818281335522714833060</v>
      </c>
      <c r="N74" s="664"/>
      <c r="O74" s="664"/>
      <c r="P74" s="664"/>
      <c r="Q74" s="664"/>
      <c r="R74" s="664"/>
      <c r="S74" s="664"/>
      <c r="T74" s="664"/>
      <c r="U74" s="664"/>
      <c r="V74" s="664"/>
      <c r="W74" s="664"/>
      <c r="X74" s="664"/>
      <c r="Y74" s="664"/>
      <c r="Z74" s="664"/>
      <c r="AA74" s="664"/>
      <c r="AB74" s="664"/>
      <c r="AC74" s="664"/>
      <c r="AD74" s="664"/>
      <c r="AE74" s="664"/>
      <c r="AF74" s="664"/>
      <c r="AG74" s="664"/>
      <c r="AH74" s="664"/>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ht="14.25">
      <c r="A75" s="260" t="s">
        <v>147</v>
      </c>
      <c r="B75" s="664">
        <v>77.680596047942986718496922580</v>
      </c>
      <c r="C75" s="664">
        <v>75.730482669258179462261094910</v>
      </c>
      <c r="D75" s="664">
        <v>63.122772918691286038224813740</v>
      </c>
      <c r="E75" s="664">
        <v>77.032717849044379656624554580</v>
      </c>
      <c r="F75" s="664">
        <v>74.603174603174603174603174600</v>
      </c>
      <c r="G75" s="664">
        <v>74.201490119857466796242306450</v>
      </c>
      <c r="H75" s="664">
        <v>70.709426627793974732750242950</v>
      </c>
      <c r="I75" s="664">
        <v>69.996760609005506964690638160</v>
      </c>
      <c r="J75" s="664">
        <v>74.421768707482993197278911560</v>
      </c>
      <c r="K75" s="664">
        <v>69.964366699060576611597019760</v>
      </c>
      <c r="L75" s="664">
        <v>70.106899902818270165208940720</v>
      </c>
      <c r="M75" s="664">
        <v>60.291545189504373177842565600</v>
      </c>
      <c r="N75" s="664"/>
      <c r="O75" s="664"/>
      <c r="P75" s="664"/>
      <c r="Q75" s="664"/>
      <c r="R75" s="664"/>
      <c r="S75" s="664"/>
      <c r="T75" s="664"/>
      <c r="U75" s="664"/>
      <c r="V75" s="664"/>
      <c r="W75" s="664"/>
      <c r="X75" s="664"/>
      <c r="Y75" s="664"/>
      <c r="Z75" s="664"/>
      <c r="AA75" s="664"/>
      <c r="AB75" s="664"/>
      <c r="AC75" s="664"/>
      <c r="AD75" s="664"/>
      <c r="AE75" s="664"/>
      <c r="AF75" s="664"/>
      <c r="AG75" s="664"/>
      <c r="AH75" s="66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c r="BH75" s="244"/>
      <c r="BI75" s="244"/>
      <c r="BJ75" s="244"/>
      <c r="BK75" s="244"/>
    </row>
    <row r="76">
      <c r="A76" s="256"/>
      <c r="B76" s="664"/>
      <c r="C76" s="664"/>
      <c r="D76" s="664"/>
      <c r="E76" s="664"/>
      <c r="F76" s="664"/>
      <c r="G76" s="664"/>
      <c r="H76" s="664"/>
      <c r="I76" s="664"/>
      <c r="J76" s="664"/>
      <c r="K76" s="664"/>
      <c r="L76" s="664"/>
      <c r="M76" s="664"/>
      <c r="N76" s="664"/>
      <c r="O76" s="664"/>
      <c r="P76" s="664"/>
      <c r="Q76" s="664"/>
      <c r="R76" s="664"/>
      <c r="S76" s="664"/>
      <c r="T76" s="664"/>
      <c r="U76" s="664"/>
      <c r="V76" s="664"/>
      <c r="W76" s="664"/>
      <c r="X76" s="664"/>
      <c r="Y76" s="664"/>
      <c r="Z76" s="664"/>
      <c r="AA76" s="664"/>
      <c r="AB76" s="664"/>
      <c r="AC76" s="664"/>
      <c r="AD76" s="664"/>
      <c r="AE76" s="664"/>
      <c r="AF76" s="664"/>
      <c r="AG76" s="664"/>
      <c r="AH76" s="66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c r="BH76" s="244"/>
      <c r="BI76" s="244"/>
      <c r="BJ76" s="244"/>
      <c r="BK76" s="244"/>
    </row>
    <row r="77">
      <c r="A77" s="256"/>
      <c r="B77" s="664"/>
      <c r="C77" s="664"/>
      <c r="D77" s="664"/>
      <c r="E77" s="664"/>
      <c r="F77" s="664"/>
      <c r="G77" s="664"/>
      <c r="H77" s="664"/>
      <c r="I77" s="664"/>
      <c r="J77" s="664"/>
      <c r="K77" s="664"/>
      <c r="L77" s="664"/>
      <c r="M77" s="664"/>
      <c r="N77" s="664"/>
      <c r="O77" s="664"/>
      <c r="P77" s="664"/>
      <c r="Q77" s="664"/>
      <c r="R77" s="664"/>
      <c r="S77" s="664"/>
      <c r="T77" s="664"/>
      <c r="U77" s="664"/>
      <c r="V77" s="664"/>
      <c r="W77" s="664"/>
      <c r="X77" s="664"/>
      <c r="Y77" s="664"/>
      <c r="Z77" s="664"/>
      <c r="AA77" s="664"/>
      <c r="AB77" s="664"/>
      <c r="AC77" s="664"/>
      <c r="AD77" s="664"/>
      <c r="AE77" s="664"/>
      <c r="AF77" s="664"/>
      <c r="AG77" s="664"/>
      <c r="AH77" s="66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44"/>
      <c r="B78" s="664"/>
      <c r="C78" s="664"/>
      <c r="D78" s="664"/>
      <c r="E78" s="664"/>
      <c r="F78" s="664"/>
      <c r="G78" s="664"/>
      <c r="H78" s="664"/>
      <c r="I78" s="664"/>
      <c r="J78" s="664"/>
      <c r="K78" s="664"/>
      <c r="L78" s="664"/>
      <c r="M78" s="664"/>
      <c r="N78" s="664"/>
      <c r="O78" s="664"/>
      <c r="P78" s="664"/>
      <c r="Q78" s="664"/>
      <c r="R78" s="664"/>
      <c r="S78" s="664"/>
      <c r="T78" s="664"/>
      <c r="U78" s="664"/>
      <c r="V78" s="664"/>
      <c r="W78" s="664"/>
      <c r="X78" s="664"/>
      <c r="Y78" s="664"/>
      <c r="Z78" s="664"/>
      <c r="AA78" s="664"/>
      <c r="AB78" s="664"/>
      <c r="AC78" s="664"/>
      <c r="AD78" s="664"/>
      <c r="AE78" s="664"/>
      <c r="AF78" s="664"/>
      <c r="AG78" s="664"/>
      <c r="AH78" s="66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44"/>
      <c r="B79" s="664"/>
      <c r="C79" s="664"/>
      <c r="D79" s="664"/>
      <c r="E79" s="664"/>
      <c r="F79" s="664"/>
      <c r="G79" s="664"/>
      <c r="H79" s="664"/>
      <c r="I79" s="664"/>
      <c r="J79" s="664"/>
      <c r="K79" s="664"/>
      <c r="L79" s="664"/>
      <c r="M79" s="664"/>
      <c r="N79" s="664"/>
      <c r="O79" s="664"/>
      <c r="P79" s="664"/>
      <c r="Q79" s="664"/>
      <c r="R79" s="664"/>
      <c r="S79" s="664"/>
      <c r="T79" s="664"/>
      <c r="U79" s="664"/>
      <c r="V79" s="664"/>
      <c r="W79" s="664"/>
      <c r="X79" s="664"/>
      <c r="Y79" s="664"/>
      <c r="Z79" s="664"/>
      <c r="AA79" s="664"/>
      <c r="AB79" s="664"/>
      <c r="AC79" s="664"/>
      <c r="AD79" s="664"/>
      <c r="AE79" s="664"/>
      <c r="AF79" s="664"/>
      <c r="AG79" s="664"/>
      <c r="AH79" s="66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4"/>
      <c r="C80" s="664"/>
      <c r="D80" s="664"/>
      <c r="E80" s="664"/>
      <c r="F80" s="664"/>
      <c r="G80" s="664"/>
      <c r="H80" s="664"/>
      <c r="I80" s="664"/>
      <c r="J80" s="664"/>
      <c r="K80" s="664"/>
      <c r="L80" s="664"/>
      <c r="M80" s="664"/>
      <c r="N80" s="664"/>
      <c r="O80" s="664"/>
      <c r="P80" s="664"/>
      <c r="Q80" s="664"/>
      <c r="R80" s="664"/>
      <c r="S80" s="664"/>
      <c r="T80" s="664"/>
      <c r="U80" s="664"/>
      <c r="V80" s="664"/>
      <c r="W80" s="664"/>
      <c r="X80" s="664"/>
      <c r="Y80" s="664"/>
      <c r="Z80" s="664"/>
      <c r="AA80" s="664"/>
      <c r="AB80" s="664"/>
      <c r="AC80" s="664"/>
      <c r="AD80" s="664"/>
      <c r="AE80" s="664"/>
      <c r="AF80" s="664"/>
      <c r="AG80" s="664"/>
      <c r="AH80" s="66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4"/>
      <c r="C81" s="664"/>
      <c r="D81" s="664"/>
      <c r="E81" s="664"/>
      <c r="F81" s="664"/>
      <c r="G81" s="664"/>
      <c r="H81" s="664"/>
      <c r="I81" s="664"/>
      <c r="J81" s="664"/>
      <c r="K81" s="664"/>
      <c r="L81" s="664"/>
      <c r="M81" s="664"/>
      <c r="N81" s="664"/>
      <c r="O81" s="664"/>
      <c r="P81" s="664"/>
      <c r="Q81" s="664"/>
      <c r="R81" s="664"/>
      <c r="S81" s="664"/>
      <c r="T81" s="664"/>
      <c r="U81" s="664"/>
      <c r="V81" s="664"/>
      <c r="W81" s="664"/>
      <c r="X81" s="664"/>
      <c r="Y81" s="664"/>
      <c r="Z81" s="664"/>
      <c r="AA81" s="664"/>
      <c r="AB81" s="664"/>
      <c r="AC81" s="664"/>
      <c r="AD81" s="664"/>
      <c r="AE81" s="664"/>
      <c r="AF81" s="664"/>
      <c r="AG81" s="664"/>
      <c r="AH81" s="66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4"/>
      <c r="C82" s="664"/>
      <c r="D82" s="664"/>
      <c r="E82" s="664"/>
      <c r="F82" s="664"/>
      <c r="G82" s="664"/>
      <c r="H82" s="664"/>
      <c r="I82" s="664"/>
      <c r="J82" s="664"/>
      <c r="K82" s="664"/>
      <c r="L82" s="664"/>
      <c r="M82" s="664"/>
      <c r="N82" s="664"/>
      <c r="O82" s="664"/>
      <c r="P82" s="664"/>
      <c r="Q82" s="664"/>
      <c r="R82" s="664"/>
      <c r="S82" s="664"/>
      <c r="T82" s="664"/>
      <c r="U82" s="664"/>
      <c r="V82" s="664"/>
      <c r="W82" s="664"/>
      <c r="X82" s="664"/>
      <c r="Y82" s="664"/>
      <c r="Z82" s="664"/>
      <c r="AA82" s="664"/>
      <c r="AB82" s="664"/>
      <c r="AC82" s="664"/>
      <c r="AD82" s="664"/>
      <c r="AE82" s="664"/>
      <c r="AF82" s="664"/>
      <c r="AG82" s="664"/>
      <c r="AH82" s="66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4"/>
      <c r="C83" s="664"/>
      <c r="D83" s="664"/>
      <c r="E83" s="664"/>
      <c r="F83" s="664"/>
      <c r="G83" s="664"/>
      <c r="H83" s="664"/>
      <c r="I83" s="664"/>
      <c r="J83" s="664"/>
      <c r="K83" s="664"/>
      <c r="L83" s="664"/>
      <c r="M83" s="664"/>
      <c r="N83" s="664"/>
      <c r="O83" s="664"/>
      <c r="P83" s="664"/>
      <c r="Q83" s="664"/>
      <c r="R83" s="664"/>
      <c r="S83" s="664"/>
      <c r="T83" s="664"/>
      <c r="U83" s="664"/>
      <c r="V83" s="664"/>
      <c r="W83" s="664"/>
      <c r="X83" s="664"/>
      <c r="Y83" s="664"/>
      <c r="Z83" s="664"/>
      <c r="AA83" s="664"/>
      <c r="AB83" s="664"/>
      <c r="AC83" s="664"/>
      <c r="AD83" s="664"/>
      <c r="AE83" s="664"/>
      <c r="AF83" s="664"/>
      <c r="AG83" s="664"/>
      <c r="AH83" s="66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4"/>
      <c r="C84" s="664"/>
      <c r="D84" s="664"/>
      <c r="E84" s="664"/>
      <c r="F84" s="664"/>
      <c r="G84" s="664"/>
      <c r="H84" s="664"/>
      <c r="I84" s="664"/>
      <c r="J84" s="664"/>
      <c r="K84" s="664"/>
      <c r="L84" s="664"/>
      <c r="M84" s="664"/>
      <c r="N84" s="664"/>
      <c r="O84" s="664"/>
      <c r="P84" s="664"/>
      <c r="Q84" s="664"/>
      <c r="R84" s="664"/>
      <c r="S84" s="664"/>
      <c r="T84" s="664"/>
      <c r="U84" s="664"/>
      <c r="V84" s="664"/>
      <c r="W84" s="664"/>
      <c r="X84" s="664"/>
      <c r="Y84" s="664"/>
      <c r="Z84" s="664"/>
      <c r="AA84" s="664"/>
      <c r="AB84" s="664"/>
      <c r="AC84" s="664"/>
      <c r="AD84" s="664"/>
      <c r="AE84" s="664"/>
      <c r="AF84" s="664"/>
      <c r="AG84" s="664"/>
      <c r="AH84" s="66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4"/>
      <c r="C85" s="664"/>
      <c r="D85" s="664"/>
      <c r="E85" s="664"/>
      <c r="F85" s="664"/>
      <c r="G85" s="664"/>
      <c r="H85" s="664"/>
      <c r="I85" s="664"/>
      <c r="J85" s="664"/>
      <c r="K85" s="664"/>
      <c r="L85" s="664"/>
      <c r="M85" s="664"/>
      <c r="N85" s="664"/>
      <c r="O85" s="664"/>
      <c r="P85" s="664"/>
      <c r="Q85" s="664"/>
      <c r="R85" s="664"/>
      <c r="S85" s="664"/>
      <c r="T85" s="664"/>
      <c r="U85" s="664"/>
      <c r="V85" s="664"/>
      <c r="W85" s="664"/>
      <c r="X85" s="664"/>
      <c r="Y85" s="664"/>
      <c r="Z85" s="664"/>
      <c r="AA85" s="664"/>
      <c r="AB85" s="664"/>
      <c r="AC85" s="664"/>
      <c r="AD85" s="664"/>
      <c r="AE85" s="664"/>
      <c r="AF85" s="664"/>
      <c r="AG85" s="664"/>
      <c r="AH85" s="66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4"/>
      <c r="C86" s="664"/>
      <c r="D86" s="664"/>
      <c r="E86" s="664"/>
      <c r="F86" s="664"/>
      <c r="G86" s="664"/>
      <c r="H86" s="664"/>
      <c r="I86" s="664"/>
      <c r="J86" s="664"/>
      <c r="K86" s="664"/>
      <c r="L86" s="664"/>
      <c r="M86" s="664"/>
      <c r="N86" s="664"/>
      <c r="O86" s="664"/>
      <c r="P86" s="664"/>
      <c r="Q86" s="664"/>
      <c r="R86" s="664"/>
      <c r="S86" s="664"/>
      <c r="T86" s="664"/>
      <c r="U86" s="664"/>
      <c r="V86" s="664"/>
      <c r="W86" s="664"/>
      <c r="X86" s="664"/>
      <c r="Y86" s="664"/>
      <c r="Z86" s="664"/>
      <c r="AA86" s="664"/>
      <c r="AB86" s="664"/>
      <c r="AC86" s="664"/>
      <c r="AD86" s="664"/>
      <c r="AE86" s="664"/>
      <c r="AF86" s="664"/>
      <c r="AG86" s="664"/>
      <c r="AH86" s="66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4"/>
      <c r="C87" s="664"/>
      <c r="D87" s="664"/>
      <c r="E87" s="664"/>
      <c r="F87" s="664"/>
      <c r="G87" s="664"/>
      <c r="H87" s="664"/>
      <c r="I87" s="664"/>
      <c r="J87" s="664"/>
      <c r="K87" s="664"/>
      <c r="L87" s="664"/>
      <c r="M87" s="664"/>
      <c r="N87" s="664"/>
      <c r="O87" s="664"/>
      <c r="P87" s="664"/>
      <c r="Q87" s="664"/>
      <c r="R87" s="664"/>
      <c r="S87" s="664"/>
      <c r="T87" s="664"/>
      <c r="U87" s="664"/>
      <c r="V87" s="664"/>
      <c r="W87" s="664"/>
      <c r="X87" s="664"/>
      <c r="Y87" s="664"/>
      <c r="Z87" s="664"/>
      <c r="AA87" s="664"/>
      <c r="AB87" s="664"/>
      <c r="AC87" s="664"/>
      <c r="AD87" s="664"/>
      <c r="AE87" s="664"/>
      <c r="AF87" s="664"/>
      <c r="AG87" s="664"/>
      <c r="AH87" s="66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4"/>
      <c r="C88" s="664"/>
      <c r="D88" s="664"/>
      <c r="E88" s="664"/>
      <c r="F88" s="664"/>
      <c r="G88" s="664"/>
      <c r="H88" s="664"/>
      <c r="I88" s="664"/>
      <c r="J88" s="664"/>
      <c r="K88" s="664"/>
      <c r="L88" s="664"/>
      <c r="M88" s="664"/>
      <c r="N88" s="664"/>
      <c r="O88" s="664"/>
      <c r="P88" s="664"/>
      <c r="Q88" s="664"/>
      <c r="R88" s="664"/>
      <c r="S88" s="664"/>
      <c r="T88" s="664"/>
      <c r="U88" s="664"/>
      <c r="V88" s="664"/>
      <c r="W88" s="664"/>
      <c r="X88" s="664"/>
      <c r="Y88" s="664"/>
      <c r="Z88" s="664"/>
      <c r="AA88" s="664"/>
      <c r="AB88" s="664"/>
      <c r="AC88" s="664"/>
      <c r="AD88" s="664"/>
      <c r="AE88" s="664"/>
      <c r="AF88" s="664"/>
      <c r="AG88" s="664"/>
      <c r="AH88" s="66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4"/>
      <c r="C89" s="664"/>
      <c r="D89" s="664"/>
      <c r="E89" s="664"/>
      <c r="F89" s="664"/>
      <c r="G89" s="664"/>
      <c r="H89" s="664"/>
      <c r="I89" s="664"/>
      <c r="J89" s="664"/>
      <c r="K89" s="664"/>
      <c r="L89" s="664"/>
      <c r="M89" s="664"/>
      <c r="N89" s="664"/>
      <c r="O89" s="664"/>
      <c r="P89" s="664"/>
      <c r="Q89" s="664"/>
      <c r="R89" s="664"/>
      <c r="S89" s="664"/>
      <c r="T89" s="664"/>
      <c r="U89" s="664"/>
      <c r="V89" s="664"/>
      <c r="W89" s="664"/>
      <c r="X89" s="664"/>
      <c r="Y89" s="664"/>
      <c r="Z89" s="664"/>
      <c r="AA89" s="664"/>
      <c r="AB89" s="664"/>
      <c r="AC89" s="664"/>
      <c r="AD89" s="664"/>
      <c r="AE89" s="664"/>
      <c r="AF89" s="664"/>
      <c r="AG89" s="664"/>
      <c r="AH89" s="66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4"/>
      <c r="C90" s="664"/>
      <c r="D90" s="664"/>
      <c r="E90" s="664"/>
      <c r="F90" s="664"/>
      <c r="G90" s="664"/>
      <c r="H90" s="664"/>
      <c r="I90" s="664"/>
      <c r="J90" s="664"/>
      <c r="K90" s="664"/>
      <c r="L90" s="664"/>
      <c r="M90" s="664"/>
      <c r="N90" s="664"/>
      <c r="O90" s="664"/>
      <c r="P90" s="664"/>
      <c r="Q90" s="664"/>
      <c r="R90" s="664"/>
      <c r="S90" s="664"/>
      <c r="T90" s="664"/>
      <c r="U90" s="664"/>
      <c r="V90" s="664"/>
      <c r="W90" s="664"/>
      <c r="X90" s="664"/>
      <c r="Y90" s="664"/>
      <c r="Z90" s="664"/>
      <c r="AA90" s="664"/>
      <c r="AB90" s="664"/>
      <c r="AC90" s="664"/>
      <c r="AD90" s="664"/>
      <c r="AE90" s="664"/>
      <c r="AF90" s="664"/>
      <c r="AG90" s="664"/>
      <c r="AH90" s="66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4"/>
      <c r="C91" s="664"/>
      <c r="D91" s="664"/>
      <c r="E91" s="664"/>
      <c r="F91" s="664"/>
      <c r="G91" s="664"/>
      <c r="H91" s="664"/>
      <c r="I91" s="664"/>
      <c r="J91" s="664"/>
      <c r="K91" s="664"/>
      <c r="L91" s="664"/>
      <c r="M91" s="664"/>
      <c r="N91" s="664"/>
      <c r="O91" s="664"/>
      <c r="P91" s="664"/>
      <c r="Q91" s="664"/>
      <c r="R91" s="664"/>
      <c r="S91" s="664"/>
      <c r="T91" s="664"/>
      <c r="U91" s="664"/>
      <c r="V91" s="664"/>
      <c r="W91" s="664"/>
      <c r="X91" s="664"/>
      <c r="Y91" s="664"/>
      <c r="Z91" s="664"/>
      <c r="AA91" s="664"/>
      <c r="AB91" s="664"/>
      <c r="AC91" s="664"/>
      <c r="AD91" s="664"/>
      <c r="AE91" s="664"/>
      <c r="AF91" s="664"/>
      <c r="AG91" s="664"/>
      <c r="AH91" s="66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4"/>
      <c r="C92" s="664"/>
      <c r="D92" s="664"/>
      <c r="E92" s="664"/>
      <c r="F92" s="664"/>
      <c r="G92" s="664"/>
      <c r="H92" s="664"/>
      <c r="I92" s="664"/>
      <c r="J92" s="664"/>
      <c r="K92" s="664"/>
      <c r="L92" s="664"/>
      <c r="M92" s="664"/>
      <c r="N92" s="664"/>
      <c r="O92" s="664"/>
      <c r="P92" s="664"/>
      <c r="Q92" s="664"/>
      <c r="R92" s="664"/>
      <c r="S92" s="664"/>
      <c r="T92" s="664"/>
      <c r="U92" s="664"/>
      <c r="V92" s="664"/>
      <c r="W92" s="664"/>
      <c r="X92" s="664"/>
      <c r="Y92" s="664"/>
      <c r="Z92" s="664"/>
      <c r="AA92" s="664"/>
      <c r="AB92" s="664"/>
      <c r="AC92" s="664"/>
      <c r="AD92" s="664"/>
      <c r="AE92" s="664"/>
      <c r="AF92" s="664"/>
      <c r="AG92" s="664"/>
      <c r="AH92" s="66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4"/>
      <c r="C93" s="664"/>
      <c r="D93" s="664"/>
      <c r="E93" s="664"/>
      <c r="F93" s="664"/>
      <c r="G93" s="664"/>
      <c r="H93" s="664"/>
      <c r="I93" s="664"/>
      <c r="J93" s="664"/>
      <c r="K93" s="664"/>
      <c r="L93" s="664"/>
      <c r="M93" s="664"/>
      <c r="N93" s="664"/>
      <c r="O93" s="664"/>
      <c r="P93" s="664"/>
      <c r="Q93" s="664"/>
      <c r="R93" s="664"/>
      <c r="S93" s="664"/>
      <c r="T93" s="664"/>
      <c r="U93" s="664"/>
      <c r="V93" s="664"/>
      <c r="W93" s="664"/>
      <c r="X93" s="664"/>
      <c r="Y93" s="664"/>
      <c r="Z93" s="664"/>
      <c r="AA93" s="664"/>
      <c r="AB93" s="664"/>
      <c r="AC93" s="664"/>
      <c r="AD93" s="664"/>
      <c r="AE93" s="664"/>
      <c r="AF93" s="664"/>
      <c r="AG93" s="664"/>
      <c r="AH93" s="66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4"/>
      <c r="C94" s="664"/>
      <c r="D94" s="664"/>
      <c r="E94" s="664"/>
      <c r="F94" s="664"/>
      <c r="G94" s="664"/>
      <c r="H94" s="664"/>
      <c r="I94" s="664"/>
      <c r="J94" s="664"/>
      <c r="K94" s="664"/>
      <c r="L94" s="664"/>
      <c r="M94" s="664"/>
      <c r="N94" s="664"/>
      <c r="O94" s="664"/>
      <c r="P94" s="664"/>
      <c r="Q94" s="664"/>
      <c r="R94" s="664"/>
      <c r="S94" s="664"/>
      <c r="T94" s="664"/>
      <c r="U94" s="664"/>
      <c r="V94" s="664"/>
      <c r="W94" s="664"/>
      <c r="X94" s="664"/>
      <c r="Y94" s="664"/>
      <c r="Z94" s="664"/>
      <c r="AA94" s="664"/>
      <c r="AB94" s="664"/>
      <c r="AC94" s="664"/>
      <c r="AD94" s="664"/>
      <c r="AE94" s="664"/>
      <c r="AF94" s="664"/>
      <c r="AG94" s="664"/>
      <c r="AH94" s="66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4"/>
      <c r="C95" s="664"/>
      <c r="D95" s="664"/>
      <c r="E95" s="664"/>
      <c r="F95" s="664"/>
      <c r="G95" s="664"/>
      <c r="H95" s="664"/>
      <c r="I95" s="664"/>
      <c r="J95" s="664"/>
      <c r="K95" s="664"/>
      <c r="L95" s="664"/>
      <c r="M95" s="664"/>
      <c r="N95" s="664"/>
      <c r="O95" s="664"/>
      <c r="P95" s="664"/>
      <c r="Q95" s="664"/>
      <c r="R95" s="664"/>
      <c r="S95" s="664"/>
      <c r="T95" s="664"/>
      <c r="U95" s="664"/>
      <c r="V95" s="664"/>
      <c r="W95" s="664"/>
      <c r="X95" s="664"/>
      <c r="Y95" s="664"/>
      <c r="Z95" s="664"/>
      <c r="AA95" s="664"/>
      <c r="AB95" s="664"/>
      <c r="AC95" s="664"/>
      <c r="AD95" s="664"/>
      <c r="AE95" s="664"/>
      <c r="AF95" s="664"/>
      <c r="AG95" s="664"/>
      <c r="AH95" s="66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6:AH56"/>
  </mergeCells>
  <phoneticPr fontId="0" type="noConversion"/>
  <printOptions horizontalCentered="1" verticalCentered="1"/>
  <pageMargins left="0.25" right="0.25" top="0.25" bottom="0.25" header="0" footer="0"/>
  <pageSetup scale="55" orientation="landscape" r:id="rId1"/>
  <headerFooter alignWithMargins="0">
    <oddHeader/>
    <oddFooter/>
  </headerFooter>
  <drawing r:id="rId55"/>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K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style="1" customWidth="1"/>
    <col min="35" max="35" width="2" style="1" customWidth="1"/>
    <col min="36" max="39" width="9.28515625" style="1" bestFit="1" customWidth="1"/>
  </cols>
  <sheetData>
    <row r="1" ht="36" customHeight="1">
      <c r="A1" s="6"/>
      <c r="B1" s="39" t="s">
        <v>125</v>
      </c>
      <c r="AF1"/>
      <c r="AG1"/>
      <c r="AH1"/>
      <c r="AI1"/>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141</v>
      </c>
      <c r="AF2"/>
      <c r="AG2" s="216"/>
      <c r="AH2"/>
      <c r="AI2"/>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142</v>
      </c>
      <c r="AF3"/>
      <c r="AG3"/>
      <c r="AH3"/>
      <c r="AI3"/>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143</v>
      </c>
      <c r="R4" s="618" t="s">
        <v>146</v>
      </c>
      <c r="S4" s="618"/>
      <c r="T4" s="618"/>
      <c r="U4" s="618"/>
      <c r="V4" s="618"/>
      <c r="W4" s="618"/>
      <c r="X4" s="618"/>
      <c r="Y4" s="618"/>
      <c r="Z4" s="618"/>
      <c r="AA4" s="618"/>
      <c r="AB4" s="618"/>
      <c r="AC4" s="618"/>
      <c r="AD4" s="618"/>
      <c r="AE4" s="618"/>
      <c r="AF4" s="618"/>
      <c r="AG4" s="618"/>
      <c r="AH4"/>
      <c r="AI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F5"/>
      <c r="AG5"/>
      <c r="AH5"/>
      <c r="AI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F6"/>
      <c r="AG6"/>
      <c r="AH6"/>
      <c r="AI6"/>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F7"/>
      <c r="AG7"/>
      <c r="AH7"/>
      <c r="AI7"/>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F8"/>
      <c r="AG8"/>
      <c r="AH8"/>
      <c r="AI8"/>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F9"/>
      <c r="AG9"/>
      <c r="AH9"/>
      <c r="AI9"/>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F10"/>
      <c r="AG10"/>
      <c r="AH10"/>
      <c r="AI10"/>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F11"/>
      <c r="AG11"/>
      <c r="AH11"/>
      <c r="AI11"/>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F12"/>
      <c r="AG12"/>
      <c r="AH12"/>
      <c r="AI12"/>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F13"/>
      <c r="AG13"/>
      <c r="AH13"/>
      <c r="AI13"/>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F14"/>
      <c r="AG14"/>
      <c r="AH14"/>
      <c r="AI1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F15"/>
      <c r="AG15"/>
      <c r="AH15"/>
      <c r="AI1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F16"/>
      <c r="AG16"/>
      <c r="AH16"/>
      <c r="AI16"/>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F17"/>
      <c r="AG17"/>
      <c r="AH17"/>
      <c r="AI17"/>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F18"/>
      <c r="AG18"/>
      <c r="AH18"/>
      <c r="AI18"/>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F19"/>
      <c r="AG19"/>
      <c r="AH19"/>
      <c r="AI19"/>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F20"/>
      <c r="AG20"/>
      <c r="AH20"/>
      <c r="AI20"/>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F21"/>
      <c r="AG21"/>
      <c r="AH21"/>
      <c r="AI2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F22"/>
      <c r="AG22"/>
      <c r="AH22"/>
      <c r="AI22"/>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8" t="s">
        <v>12</v>
      </c>
      <c r="C24" s="309" t="s">
        <v>145</v>
      </c>
      <c r="D24" s="310"/>
      <c r="E24" s="310"/>
      <c r="F24" s="310"/>
      <c r="G24" s="310"/>
      <c r="H24" s="310"/>
      <c r="I24" s="310"/>
      <c r="J24" s="310"/>
      <c r="K24" s="310"/>
      <c r="L24" s="310"/>
      <c r="M24" s="310"/>
      <c r="N24" s="310"/>
      <c r="O24" s="310"/>
      <c r="P24" s="310"/>
      <c r="Q24" s="310"/>
      <c r="R24" s="310"/>
      <c r="S24" s="311"/>
      <c r="T24" s="311"/>
      <c r="U24" s="311"/>
      <c r="V24" s="311"/>
      <c r="W24" s="311"/>
      <c r="X24" s="312"/>
      <c r="Y24" s="656" t="s">
        <v>148</v>
      </c>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322">
        <v>10</v>
      </c>
      <c r="D25" s="42">
        <v>11</v>
      </c>
      <c r="E25" s="42">
        <v>12</v>
      </c>
      <c r="F25" s="42">
        <v>13</v>
      </c>
      <c r="G25" s="42">
        <v>14</v>
      </c>
      <c r="H25" s="42">
        <v>15</v>
      </c>
      <c r="I25" s="42">
        <v>16</v>
      </c>
      <c r="J25" s="42">
        <v>17</v>
      </c>
      <c r="K25" s="42">
        <v>18</v>
      </c>
      <c r="L25" s="42">
        <v>19</v>
      </c>
      <c r="M25" s="42">
        <v>20</v>
      </c>
      <c r="N25" s="42">
        <v>21</v>
      </c>
      <c r="O25" s="42">
        <v>22</v>
      </c>
      <c r="P25" s="42">
        <v>23</v>
      </c>
      <c r="Q25" s="42">
        <v>24</v>
      </c>
      <c r="R25" s="42">
        <v>25</v>
      </c>
      <c r="S25" s="42">
        <v>26</v>
      </c>
      <c r="T25" s="42">
        <v>27</v>
      </c>
      <c r="U25" s="42">
        <v>28</v>
      </c>
      <c r="V25" s="42">
        <v>29</v>
      </c>
      <c r="W25" s="42">
        <v>30</v>
      </c>
      <c r="X25" s="323">
        <v>31</v>
      </c>
      <c r="Y25" s="657">
        <v>1</v>
      </c>
      <c r="Z25" s="42">
        <v>2</v>
      </c>
      <c r="AA25" s="42">
        <v>3</v>
      </c>
      <c r="AB25" s="42">
        <v>4</v>
      </c>
      <c r="AC25" s="42">
        <v>5</v>
      </c>
      <c r="AD25" s="337">
        <v>6</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461">
        <v>88.46666666666666666666666667</v>
      </c>
      <c r="D26" s="462">
        <v>97.95833333333333333333333333</v>
      </c>
      <c r="E26" s="462">
        <v>98.19480519480519480519480519</v>
      </c>
      <c r="F26" s="462">
        <v>95.88235294117647058823529412</v>
      </c>
      <c r="G26" s="462">
        <v>87.775000000</v>
      </c>
      <c r="H26" s="462">
        <v>97.63636363636363636363636364</v>
      </c>
      <c r="I26" s="462">
        <v>94.09708737864077669902912621</v>
      </c>
      <c r="J26" s="462">
        <v>89.65116279069767441860465116</v>
      </c>
      <c r="K26" s="462">
        <v>89.92857142857142857142857143</v>
      </c>
      <c r="L26" s="462">
        <v>97.44776119402985074626865672</v>
      </c>
      <c r="M26" s="462">
        <v>92.18461538461538461538461538</v>
      </c>
      <c r="N26" s="462">
        <v>90.93103448275862068965517241</v>
      </c>
      <c r="O26" s="462">
        <v>95.19230769230769230769230769</v>
      </c>
      <c r="P26" s="462">
        <v>104.92771084337349397590361446</v>
      </c>
      <c r="Q26" s="462">
        <v>105.03333333333333333333333333</v>
      </c>
      <c r="R26" s="462">
        <v>92.79245283018867924528301887</v>
      </c>
      <c r="S26" s="462">
        <v>97.750000000</v>
      </c>
      <c r="T26" s="462">
        <v>93.78947368421052631578947368</v>
      </c>
      <c r="U26" s="462">
        <v>86.90322580645161290322580645</v>
      </c>
      <c r="V26" s="462">
        <v>128.92079207920792079207920792</v>
      </c>
      <c r="W26" s="462">
        <v>144.492187500</v>
      </c>
      <c r="X26" s="463">
        <v>116.07258064516129032258064516</v>
      </c>
      <c r="Y26" s="671">
        <v>91.16666666666666666666666667</v>
      </c>
      <c r="Z26" s="462">
        <v>96.06818181818181818181818182</v>
      </c>
      <c r="AA26" s="462">
        <v>92.79591836734693877551020408</v>
      </c>
      <c r="AB26" s="462">
        <v>79.91666666666666666666666667</v>
      </c>
      <c r="AC26" s="462">
        <v>96.27586206896551724137931034</v>
      </c>
      <c r="AD26" s="464">
        <v>109.100000000</v>
      </c>
      <c r="AE26" s="465"/>
      <c r="AF26" s="461">
        <v>102.18227848101265822784810127</v>
      </c>
      <c r="AG26" s="462">
        <v>101.56919763058696822832525579</v>
      </c>
      <c r="AH26" s="466">
        <v>101.51545936395759717314487633</v>
      </c>
      <c r="AI26"/>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70">
        <v>85.15414141414141414141414141</v>
      </c>
      <c r="D27" s="85">
        <v>90.10400584795321637426900584</v>
      </c>
      <c r="E27" s="85">
        <v>95.16780678851174934725848564</v>
      </c>
      <c r="F27" s="85">
        <v>95.14286458333333333333333333</v>
      </c>
      <c r="G27" s="85">
        <v>91.15113095238095238095238095</v>
      </c>
      <c r="H27" s="85">
        <v>93.25472375690607734806629834</v>
      </c>
      <c r="I27" s="85">
        <v>93.06713498622589531680440772</v>
      </c>
      <c r="J27" s="85">
        <v>88.60893536121673003802281369</v>
      </c>
      <c r="K27" s="85">
        <v>89.10545454545454545454545454</v>
      </c>
      <c r="L27" s="85">
        <v>98.67638121546961325966850828</v>
      </c>
      <c r="M27" s="85">
        <v>98.07531680440771349862258953</v>
      </c>
      <c r="N27" s="85">
        <v>86.81640127388535031847133757</v>
      </c>
      <c r="O27" s="85">
        <v>91.17736507936507936507936508</v>
      </c>
      <c r="P27" s="85">
        <v>87.85287096774193548387096774</v>
      </c>
      <c r="Q27" s="85">
        <v>85.94584745762711864406779662</v>
      </c>
      <c r="R27" s="85">
        <v>93.49617449664429530201342281</v>
      </c>
      <c r="S27" s="85">
        <v>97.64501408450704225352112676</v>
      </c>
      <c r="T27" s="85">
        <v>91.72658461538461538461538462</v>
      </c>
      <c r="U27" s="85">
        <v>100.10512269938650306748466257</v>
      </c>
      <c r="V27" s="85">
        <v>93.09063037249283667621776505</v>
      </c>
      <c r="W27" s="85">
        <v>99.39427461139896373056994818</v>
      </c>
      <c r="X27" s="86">
        <v>90.47417682926829268292682926</v>
      </c>
      <c r="Y27" s="672">
        <v>88.56004878048780487804878048</v>
      </c>
      <c r="Z27" s="85">
        <v>83.26159292035398230088495576</v>
      </c>
      <c r="AA27" s="85">
        <v>78.407437722419928825622775801</v>
      </c>
      <c r="AB27" s="85">
        <v>91.2834967320261437908496732</v>
      </c>
      <c r="AC27" s="85">
        <v>93.98247524752475247524752475</v>
      </c>
      <c r="AD27" s="87">
        <v>93.93939682539682539682539683</v>
      </c>
      <c r="AE27" s="169"/>
      <c r="AF27" s="370">
        <v>88.94108961303462321792260692</v>
      </c>
      <c r="AG27" s="85">
        <v>92.07800736360593551266317081</v>
      </c>
      <c r="AH27" s="371">
        <v>94.05055893456375838926174497</v>
      </c>
      <c r="AI27"/>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147</v>
      </c>
      <c r="C28" s="467">
        <v>118.49311926605504587155963303</v>
      </c>
      <c r="D28" s="468">
        <v>135.34217955957086391869000565</v>
      </c>
      <c r="E28" s="468">
        <v>145.13059125964010282776349614</v>
      </c>
      <c r="F28" s="468">
        <v>141.59863229879011046817464492</v>
      </c>
      <c r="G28" s="468">
        <v>126.62339331619537275064267352</v>
      </c>
      <c r="H28" s="468">
        <v>123.82074175824175824175824176</v>
      </c>
      <c r="I28" s="468">
        <v>113.01161290322580645161290323</v>
      </c>
      <c r="J28" s="468">
        <v>116.09363636363636363636363636</v>
      </c>
      <c r="K28" s="468">
        <v>130.04016786570743405275779376</v>
      </c>
      <c r="L28" s="468">
        <v>142.56390977443609022556390977</v>
      </c>
      <c r="M28" s="468">
        <v>140.63856098931984260820685779</v>
      </c>
      <c r="N28" s="468">
        <v>124.43435754189944134078212291</v>
      </c>
      <c r="O28" s="468">
        <v>122.59259259259259259259259259</v>
      </c>
      <c r="P28" s="468">
        <v>120.71554650373387644263408011</v>
      </c>
      <c r="Q28" s="468">
        <v>119.35235507246376811594202899</v>
      </c>
      <c r="R28" s="468">
        <v>131.56842737094837935174069628</v>
      </c>
      <c r="S28" s="468">
        <v>141.57827298050139275766016713</v>
      </c>
      <c r="T28" s="468">
        <v>135.18780193236714975845410628</v>
      </c>
      <c r="U28" s="468">
        <v>123.68705035971223021582733813</v>
      </c>
      <c r="V28" s="468">
        <v>128.64503311258278145695364238</v>
      </c>
      <c r="W28" s="468">
        <v>136.13</v>
      </c>
      <c r="X28" s="469">
        <v>117.68907563025210084033613445</v>
      </c>
      <c r="Y28" s="673">
        <v>115.0452876376988984088127295</v>
      </c>
      <c r="Z28" s="468">
        <v>127.43113772455089820359281437</v>
      </c>
      <c r="AA28" s="468">
        <v>129.43300330033003300330033003</v>
      </c>
      <c r="AB28" s="468">
        <v>122.77180739706908583391486392</v>
      </c>
      <c r="AC28" s="468">
        <v>119.72054597701149425287356322</v>
      </c>
      <c r="AD28" s="470">
        <v>119.1364620938628158844765343</v>
      </c>
      <c r="AE28" s="465"/>
      <c r="AF28" s="467">
        <v>122.06941758005587792821835375</v>
      </c>
      <c r="AG28" s="468">
        <v>128.72159479404899441209063259</v>
      </c>
      <c r="AH28" s="471">
        <v>128.28724458204334365325077399</v>
      </c>
      <c r="AI28"/>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4.25">
      <c r="A29" s="24"/>
      <c r="B29" s="53"/>
      <c r="C29" s="489"/>
      <c r="D29" s="489"/>
      <c r="E29" s="489"/>
      <c r="F29" s="489"/>
      <c r="G29" s="489"/>
      <c r="H29" s="489"/>
      <c r="I29" s="489"/>
      <c r="J29" s="489"/>
      <c r="K29" s="489"/>
      <c r="L29" s="489"/>
      <c r="M29" s="489"/>
      <c r="N29" s="489"/>
      <c r="O29" s="489"/>
      <c r="P29" s="489"/>
      <c r="Q29" s="489"/>
      <c r="R29" s="489"/>
      <c r="S29" s="489"/>
      <c r="T29" s="489"/>
      <c r="U29" s="489"/>
      <c r="V29" s="489"/>
      <c r="W29" s="489"/>
      <c r="X29" s="490"/>
      <c r="Y29" s="489"/>
      <c r="Z29" s="489"/>
      <c r="AA29" s="489"/>
      <c r="AB29" s="489"/>
      <c r="AC29" s="489"/>
      <c r="AD29" s="491"/>
      <c r="AE29" s="169"/>
      <c r="AF29" s="489"/>
      <c r="AG29" s="489"/>
      <c r="AH29" s="489"/>
      <c r="AI29"/>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89"/>
      <c r="AG30" s="489"/>
      <c r="AH30" s="489"/>
      <c r="AI30"/>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ht="0" hidden="1" customHeight="1">
      <c r="B31" s="4"/>
      <c r="X31" s="27"/>
      <c r="AD31" s="28"/>
      <c r="AF31" s="22"/>
      <c r="AG31" s="22"/>
      <c r="AH31" s="22"/>
      <c r="AI31"/>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row>
    <row r="32" ht="18">
      <c r="B32" s="29"/>
      <c r="X32" s="27"/>
      <c r="AD32" s="28"/>
      <c r="AF32" s="22"/>
      <c r="AG32" s="22"/>
      <c r="AH32" s="22"/>
      <c r="AI3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row>
    <row r="33" s="41" customFormat="1" ht="18">
      <c r="B33" s="418" t="s">
        <v>78</v>
      </c>
      <c r="C33" s="309" t="s">
        <v>145</v>
      </c>
      <c r="D33" s="310"/>
      <c r="E33" s="310"/>
      <c r="F33" s="310"/>
      <c r="G33" s="310"/>
      <c r="H33" s="310"/>
      <c r="I33" s="310"/>
      <c r="J33" s="310"/>
      <c r="K33" s="310"/>
      <c r="L33" s="310"/>
      <c r="M33" s="310"/>
      <c r="N33" s="310"/>
      <c r="O33" s="310"/>
      <c r="P33" s="310"/>
      <c r="Q33" s="310"/>
      <c r="R33" s="310"/>
      <c r="S33" s="311"/>
      <c r="T33" s="311"/>
      <c r="U33" s="311"/>
      <c r="V33" s="311"/>
      <c r="W33" s="311"/>
      <c r="X33" s="312"/>
      <c r="Y33" s="656" t="s">
        <v>148</v>
      </c>
      <c r="Z33" s="311"/>
      <c r="AA33" s="311"/>
      <c r="AB33" s="311"/>
      <c r="AC33" s="311"/>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c r="BK33" s="263"/>
    </row>
    <row r="34" s="42" customFormat="1">
      <c r="C34" s="322">
        <v>10</v>
      </c>
      <c r="D34" s="42">
        <v>11</v>
      </c>
      <c r="E34" s="42">
        <v>12</v>
      </c>
      <c r="F34" s="42">
        <v>13</v>
      </c>
      <c r="G34" s="42">
        <v>14</v>
      </c>
      <c r="H34" s="42">
        <v>15</v>
      </c>
      <c r="I34" s="42">
        <v>16</v>
      </c>
      <c r="J34" s="42">
        <v>17</v>
      </c>
      <c r="K34" s="42">
        <v>18</v>
      </c>
      <c r="L34" s="42">
        <v>19</v>
      </c>
      <c r="M34" s="42">
        <v>20</v>
      </c>
      <c r="N34" s="42">
        <v>21</v>
      </c>
      <c r="O34" s="42">
        <v>22</v>
      </c>
      <c r="P34" s="42">
        <v>23</v>
      </c>
      <c r="Q34" s="42">
        <v>24</v>
      </c>
      <c r="R34" s="42">
        <v>25</v>
      </c>
      <c r="S34" s="42">
        <v>26</v>
      </c>
      <c r="T34" s="42">
        <v>27</v>
      </c>
      <c r="U34" s="42">
        <v>28</v>
      </c>
      <c r="V34" s="42">
        <v>29</v>
      </c>
      <c r="W34" s="42">
        <v>30</v>
      </c>
      <c r="X34" s="323">
        <v>31</v>
      </c>
      <c r="Y34" s="657">
        <v>1</v>
      </c>
      <c r="Z34" s="42">
        <v>2</v>
      </c>
      <c r="AA34" s="42">
        <v>3</v>
      </c>
      <c r="AB34" s="42">
        <v>4</v>
      </c>
      <c r="AC34" s="42">
        <v>5</v>
      </c>
      <c r="AD34" s="337">
        <v>6</v>
      </c>
      <c r="AE34" s="25"/>
      <c r="AF34" s="324" t="s">
        <v>60</v>
      </c>
      <c r="AG34" s="325">
        <v>28</v>
      </c>
      <c r="AH34" s="326"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c r="BK34" s="264"/>
    </row>
    <row r="35" ht="14.25" customHeight="1">
      <c r="B35" s="46" t="s">
        <v>32</v>
      </c>
      <c r="C35" s="444">
        <v>-10.186125211505922165820642970</v>
      </c>
      <c r="D35" s="445">
        <v>7.0582877959927140255009107400</v>
      </c>
      <c r="E35" s="445">
        <v>-5.3148574233990424038930912100</v>
      </c>
      <c r="F35" s="445">
        <v>-12.899433579157230002441133430</v>
      </c>
      <c r="G35" s="445">
        <v>-8.769291338562563308326612220</v>
      </c>
      <c r="H35" s="445">
        <v>-11.348946528970552174755630470</v>
      </c>
      <c r="I35" s="445">
        <v>-3.8612020673311722454368103100</v>
      </c>
      <c r="J35" s="445">
        <v>-37.233725000663759736099582330</v>
      </c>
      <c r="K35" s="445">
        <v>-49.711950593759353238980959220</v>
      </c>
      <c r="L35" s="445">
        <v>-6.226322245859332190840814100</v>
      </c>
      <c r="M35" s="445">
        <v>-4.5954821375261220021892725700</v>
      </c>
      <c r="N35" s="445">
        <v>-16.395738940932861532059247320</v>
      </c>
      <c r="O35" s="445">
        <v>-28.751277185803277055450936050</v>
      </c>
      <c r="P35" s="445">
        <v>0.3981211896763742712941401400</v>
      </c>
      <c r="Q35" s="445">
        <v>6.7344130411770932571186620100</v>
      </c>
      <c r="R35" s="445">
        <v>-10.721103732620848304124773640</v>
      </c>
      <c r="S35" s="445">
        <v>-5.6840672933957654792907955900</v>
      </c>
      <c r="T35" s="445">
        <v>-0.3583326114386894347207425900</v>
      </c>
      <c r="U35" s="445">
        <v>-3.9234365610721052493250372700</v>
      </c>
      <c r="V35" s="445">
        <v>16.886768009124475159515818240</v>
      </c>
      <c r="W35" s="445">
        <v>40.735063918660364232264507330</v>
      </c>
      <c r="X35" s="446">
        <v>26.765634778795310960146511960</v>
      </c>
      <c r="Y35" s="658">
        <v>4.0053612617881190506928433900</v>
      </c>
      <c r="Z35" s="445">
        <v>-1.0584470552440112770261767300</v>
      </c>
      <c r="AA35" s="445">
        <v>-8.349710254472159234063995970</v>
      </c>
      <c r="AB35" s="445">
        <v>-21.925882506187312752377230690</v>
      </c>
      <c r="AC35" s="445">
        <v>-13.374733974219132525681486550</v>
      </c>
      <c r="AD35" s="447">
        <v>-8.826084095518775730079639570</v>
      </c>
      <c r="AE35" s="448"/>
      <c r="AF35" s="444">
        <v>-1.6759684705375266114938568400</v>
      </c>
      <c r="AG35" s="445">
        <v>-4.5097285057374416121655820400</v>
      </c>
      <c r="AH35" s="449">
        <v>-4.7329257720677435060016570800</v>
      </c>
      <c r="AI35"/>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4.25" customHeight="1">
      <c r="B36" s="47" t="s">
        <v>26</v>
      </c>
      <c r="C36" s="327">
        <v>9.899325850634951820221768200</v>
      </c>
      <c r="D36" s="81">
        <v>-19.768060241497390246014176010</v>
      </c>
      <c r="E36" s="81">
        <v>-12.478976411519958158106361560</v>
      </c>
      <c r="F36" s="81">
        <v>0.2798308665718525773177667900</v>
      </c>
      <c r="G36" s="81">
        <v>-12.251575147194763375523552280</v>
      </c>
      <c r="H36" s="81">
        <v>-10.710799058241907603814966880</v>
      </c>
      <c r="I36" s="81">
        <v>-10.702384551569286357253414660</v>
      </c>
      <c r="J36" s="81">
        <v>-8.036597814615697050712939800</v>
      </c>
      <c r="K36" s="81">
        <v>-13.987056791997526873030462910</v>
      </c>
      <c r="L36" s="81">
        <v>-8.455487760887269997561785400</v>
      </c>
      <c r="M36" s="81">
        <v>-1.9133836173850092544435223600</v>
      </c>
      <c r="N36" s="81">
        <v>-8.695858389335938739472742690</v>
      </c>
      <c r="O36" s="81">
        <v>26.633286421176428336957810740</v>
      </c>
      <c r="P36" s="81">
        <v>-10.673632341394871539024187320</v>
      </c>
      <c r="Q36" s="81">
        <v>-9.170219298993886213838714530</v>
      </c>
      <c r="R36" s="81">
        <v>8.810760532115742868498992470</v>
      </c>
      <c r="S36" s="81">
        <v>-47.103075060027752837857900830</v>
      </c>
      <c r="T36" s="81">
        <v>-11.366027865218059251125069640</v>
      </c>
      <c r="U36" s="81">
        <v>11.523609606949731478403245390</v>
      </c>
      <c r="V36" s="81">
        <v>-4.0931971435979366254733517100</v>
      </c>
      <c r="W36" s="81">
        <v>4.4791606899255544713069671900</v>
      </c>
      <c r="X36" s="82">
        <v>5.7202500730114314314526665900</v>
      </c>
      <c r="Y36" s="659">
        <v>-10.604051034382041024484392750</v>
      </c>
      <c r="Z36" s="81">
        <v>-11.597561661449047997574045810</v>
      </c>
      <c r="AA36" s="81">
        <v>-22.571461375805860679659840470</v>
      </c>
      <c r="AB36" s="81">
        <v>-8.387050955608018203366020720</v>
      </c>
      <c r="AC36" s="81">
        <v>-5.7052089749400392050315719400</v>
      </c>
      <c r="AD36" s="83">
        <v>-7.6560506169355642197327889600</v>
      </c>
      <c r="AE36" s="88"/>
      <c r="AF36" s="327">
        <v>-9.289233296516651603382645080</v>
      </c>
      <c r="AG36" s="81">
        <v>-9.613417600057486379459065700</v>
      </c>
      <c r="AH36" s="328">
        <v>-8.196095198788127996107346050</v>
      </c>
      <c r="AI36"/>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4.25" customHeight="1">
      <c r="A37" s="24"/>
      <c r="B37" s="49" t="s">
        <v>147</v>
      </c>
      <c r="C37" s="450">
        <v>6.5671958588299352557124206200</v>
      </c>
      <c r="D37" s="451">
        <v>7.5506556035217425516745970200</v>
      </c>
      <c r="E37" s="451">
        <v>7.976437889950214129516562960</v>
      </c>
      <c r="F37" s="451">
        <v>9.220679176558851466631209200</v>
      </c>
      <c r="G37" s="451">
        <v>5.3464271871028655559226329700</v>
      </c>
      <c r="H37" s="451">
        <v>6.0985126452747317773019205300</v>
      </c>
      <c r="I37" s="451">
        <v>-2.2164938106303813020702417800</v>
      </c>
      <c r="J37" s="451">
        <v>0.800046262925469698602326500</v>
      </c>
      <c r="K37" s="451">
        <v>-1.4244250011918181711400503100</v>
      </c>
      <c r="L37" s="451">
        <v>3.2929361950551687069739138900</v>
      </c>
      <c r="M37" s="451">
        <v>5.7155974527420554615188338400</v>
      </c>
      <c r="N37" s="451">
        <v>7.1402829435448272458622944200</v>
      </c>
      <c r="O37" s="451">
        <v>7.946878425287075855048999660</v>
      </c>
      <c r="P37" s="451">
        <v>5.5598572245088212811101832200</v>
      </c>
      <c r="Q37" s="451">
        <v>5.8383847098063206720035373800</v>
      </c>
      <c r="R37" s="451">
        <v>6.5825732753098469771504105300</v>
      </c>
      <c r="S37" s="451">
        <v>2.7253076350479371621704674800</v>
      </c>
      <c r="T37" s="451">
        <v>6.1887002768715206698951665900</v>
      </c>
      <c r="U37" s="451">
        <v>8.222407972051575631603741550</v>
      </c>
      <c r="V37" s="451">
        <v>13.613823694557820379619491750</v>
      </c>
      <c r="W37" s="451">
        <v>16.644651082559429966584813400</v>
      </c>
      <c r="X37" s="452">
        <v>5.9869674685946533639100517500</v>
      </c>
      <c r="Y37" s="660">
        <v>1.7067821776707377894586371800</v>
      </c>
      <c r="Z37" s="451">
        <v>6.5042282414178016004442114100</v>
      </c>
      <c r="AA37" s="451">
        <v>2.5399698723972540896736384600</v>
      </c>
      <c r="AB37" s="451">
        <v>1.7630776856068692639753757700</v>
      </c>
      <c r="AC37" s="451">
        <v>-2.0825507886065153068705567500</v>
      </c>
      <c r="AD37" s="453">
        <v>-1.6453061579367606483127842700</v>
      </c>
      <c r="AE37" s="448"/>
      <c r="AF37" s="450">
        <v>1.7801355750738865511640416800</v>
      </c>
      <c r="AG37" s="451">
        <v>5.0127730343141677188500195400</v>
      </c>
      <c r="AH37" s="454">
        <v>4.1372197094941022520099306100</v>
      </c>
      <c r="AI37"/>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I38"/>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row>
    <row r="39" ht="18">
      <c r="B39" s="29"/>
      <c r="X39" s="27"/>
      <c r="AD39" s="28"/>
      <c r="AF39" s="43"/>
      <c r="AG39" s="43"/>
      <c r="AH39" s="43"/>
      <c r="AI39"/>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row>
    <row r="40" s="41" customFormat="1" ht="18">
      <c r="B40" s="418" t="s">
        <v>92</v>
      </c>
      <c r="C40" s="309" t="s">
        <v>145</v>
      </c>
      <c r="D40" s="310"/>
      <c r="E40" s="310"/>
      <c r="F40" s="310"/>
      <c r="G40" s="310"/>
      <c r="H40" s="310"/>
      <c r="I40" s="310"/>
      <c r="J40" s="310"/>
      <c r="K40" s="310"/>
      <c r="L40" s="310"/>
      <c r="M40" s="310"/>
      <c r="N40" s="310"/>
      <c r="O40" s="310"/>
      <c r="P40" s="310"/>
      <c r="Q40" s="310"/>
      <c r="R40" s="310"/>
      <c r="S40" s="311"/>
      <c r="T40" s="311"/>
      <c r="U40" s="311"/>
      <c r="V40" s="311"/>
      <c r="W40" s="311"/>
      <c r="X40" s="312"/>
      <c r="Y40" s="656" t="s">
        <v>148</v>
      </c>
      <c r="Z40" s="311"/>
      <c r="AA40" s="311"/>
      <c r="AB40" s="311"/>
      <c r="AC40" s="311"/>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c r="BK40" s="263"/>
    </row>
    <row r="41" s="42" customFormat="1">
      <c r="C41" s="313">
        <v>10</v>
      </c>
      <c r="D41" s="314">
        <v>11</v>
      </c>
      <c r="E41" s="314">
        <v>12</v>
      </c>
      <c r="F41" s="314">
        <v>13</v>
      </c>
      <c r="G41" s="314">
        <v>14</v>
      </c>
      <c r="H41" s="314">
        <v>15</v>
      </c>
      <c r="I41" s="314">
        <v>16</v>
      </c>
      <c r="J41" s="314">
        <v>17</v>
      </c>
      <c r="K41" s="314">
        <v>18</v>
      </c>
      <c r="L41" s="314">
        <v>19</v>
      </c>
      <c r="M41" s="314">
        <v>20</v>
      </c>
      <c r="N41" s="314">
        <v>21</v>
      </c>
      <c r="O41" s="314">
        <v>22</v>
      </c>
      <c r="P41" s="314">
        <v>23</v>
      </c>
      <c r="Q41" s="314">
        <v>24</v>
      </c>
      <c r="R41" s="314">
        <v>25</v>
      </c>
      <c r="S41" s="314">
        <v>26</v>
      </c>
      <c r="T41" s="314">
        <v>27</v>
      </c>
      <c r="U41" s="314">
        <v>28</v>
      </c>
      <c r="V41" s="314">
        <v>29</v>
      </c>
      <c r="W41" s="314">
        <v>30</v>
      </c>
      <c r="X41" s="315">
        <v>31</v>
      </c>
      <c r="Y41" s="674">
        <v>1</v>
      </c>
      <c r="Z41" s="314">
        <v>2</v>
      </c>
      <c r="AA41" s="314">
        <v>3</v>
      </c>
      <c r="AB41" s="314">
        <v>4</v>
      </c>
      <c r="AC41" s="314">
        <v>5</v>
      </c>
      <c r="AD41" s="373">
        <v>6</v>
      </c>
      <c r="AE41" s="25"/>
      <c r="AF41" s="324" t="s">
        <v>60</v>
      </c>
      <c r="AG41" s="325">
        <v>28</v>
      </c>
      <c r="AH41" s="326"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c r="BK41" s="264"/>
    </row>
    <row r="42" ht="14.25" customHeight="1">
      <c r="A42" s="1"/>
      <c r="B42" s="46" t="s">
        <v>26</v>
      </c>
      <c r="C42" s="444">
        <v>103.89003423387012371390192800</v>
      </c>
      <c r="D42" s="445">
        <v>108.71695704471020749209846310</v>
      </c>
      <c r="E42" s="445">
        <v>103.18069577145175401784267755</v>
      </c>
      <c r="F42" s="445">
        <v>100.77723995500369836533270804</v>
      </c>
      <c r="G42" s="445">
        <v>96.29611731952832471611952085</v>
      </c>
      <c r="H42" s="445">
        <v>104.69857150709690985454951483</v>
      </c>
      <c r="I42" s="445">
        <v>101.10667680120753485921293915</v>
      </c>
      <c r="J42" s="445">
        <v>101.17621030570924116668693972</v>
      </c>
      <c r="K42" s="445">
        <v>100.92375588819999750104812334</v>
      </c>
      <c r="L42" s="445">
        <v>98.75489959569255191630022116</v>
      </c>
      <c r="M42" s="445">
        <v>93.99369626148346224855563560</v>
      </c>
      <c r="N42" s="445">
        <v>104.73946529513153309164463437</v>
      </c>
      <c r="O42" s="445">
        <v>104.40344224623223007616409732</v>
      </c>
      <c r="P42" s="445">
        <v>119.43572211994213851092575586</v>
      </c>
      <c r="Q42" s="445">
        <v>122.20873543093497001824289489</v>
      </c>
      <c r="R42" s="445">
        <v>99.24732571123868636942480915</v>
      </c>
      <c r="S42" s="445">
        <v>100.10751794803280721933459695</v>
      </c>
      <c r="T42" s="445">
        <v>102.24895440886631173752877492</v>
      </c>
      <c r="U42" s="445">
        <v>86.81196672362950383114368179</v>
      </c>
      <c r="V42" s="445">
        <v>138.48954676032846604417186983</v>
      </c>
      <c r="W42" s="445">
        <v>145.37274713751722156672698001</v>
      </c>
      <c r="X42" s="446">
        <v>128.29360234374772983384863505</v>
      </c>
      <c r="Y42" s="658">
        <v>102.94333384190797415847711415</v>
      </c>
      <c r="Z42" s="445">
        <v>115.38114807631078119122890628</v>
      </c>
      <c r="AA42" s="445">
        <v>118.35091295278526143456197335</v>
      </c>
      <c r="AB42" s="445">
        <v>87.54777098569601568652873663</v>
      </c>
      <c r="AC42" s="445">
        <v>102.44022815469155558897306147</v>
      </c>
      <c r="AD42" s="447">
        <v>116.13870610940602574553775446</v>
      </c>
      <c r="AE42" s="448"/>
      <c r="AF42" s="444">
        <v>114.88759461529833892192312113</v>
      </c>
      <c r="AG42" s="445">
        <v>110.30777113747467663202933091</v>
      </c>
      <c r="AH42" s="449">
        <v>107.93711437116335477802498798</v>
      </c>
      <c r="AI42"/>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4.25" customHeight="1">
      <c r="A43" s="24"/>
      <c r="B43" s="48" t="s">
        <v>147</v>
      </c>
      <c r="C43" s="329">
        <v>74.659750046749188695309029340</v>
      </c>
      <c r="D43" s="330">
        <v>72.378273833100110619103534830</v>
      </c>
      <c r="E43" s="330">
        <v>67.659619066224862068724755110</v>
      </c>
      <c r="F43" s="330">
        <v>67.714180133355031530086010940</v>
      </c>
      <c r="G43" s="330">
        <v>69.319734451288159420137193700</v>
      </c>
      <c r="H43" s="330">
        <v>78.852995265551048721496758150</v>
      </c>
      <c r="I43" s="330">
        <v>83.26320186159944120172622020</v>
      </c>
      <c r="J43" s="330">
        <v>77.223149863196895233792780930</v>
      </c>
      <c r="K43" s="330">
        <v>69.154456584096279977022080930</v>
      </c>
      <c r="L43" s="330">
        <v>68.35373787674305747941466700</v>
      </c>
      <c r="M43" s="330">
        <v>65.547183315981833197365174640</v>
      </c>
      <c r="N43" s="330">
        <v>73.075504449918491623295699840</v>
      </c>
      <c r="O43" s="330">
        <v>77.649314431787081380025037260</v>
      </c>
      <c r="P43" s="330">
        <v>86.92145616899261612310299044</v>
      </c>
      <c r="Q43" s="330">
        <v>88.00273213673190825116328861</v>
      </c>
      <c r="R43" s="330">
        <v>70.527902996515027903471689580</v>
      </c>
      <c r="S43" s="330">
        <v>69.043079804669887844945409190</v>
      </c>
      <c r="T43" s="330">
        <v>69.377171862820503949798765390</v>
      </c>
      <c r="U43" s="330">
        <v>70.260569359301838727511968750</v>
      </c>
      <c r="V43" s="330">
        <v>100.21435648150251972332843252</v>
      </c>
      <c r="W43" s="330">
        <v>106.14279548960552413134503783</v>
      </c>
      <c r="X43" s="331">
        <v>98.62646980912939549880740020</v>
      </c>
      <c r="Y43" s="661">
        <v>79.24415553096641572609039915</v>
      </c>
      <c r="Z43" s="330">
        <v>75.388310528782396479959946470</v>
      </c>
      <c r="AA43" s="330">
        <v>71.694170730203442836530081310</v>
      </c>
      <c r="AB43" s="330">
        <v>65.093663081931937817218037360</v>
      </c>
      <c r="AC43" s="330">
        <v>80.41715921297373957880485313</v>
      </c>
      <c r="AD43" s="338">
        <v>91.57565877187997777977047939</v>
      </c>
      <c r="AE43" s="88"/>
      <c r="AF43" s="329">
        <v>83.70833621284567932124253164</v>
      </c>
      <c r="AG43" s="330">
        <v>78.906105687342940354531586500</v>
      </c>
      <c r="AH43" s="332">
        <v>79.131374046365046413578193480</v>
      </c>
      <c r="AI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ht="12" customHeight="1">
      <c r="B44" s="4"/>
      <c r="X44" s="27"/>
      <c r="AD44" s="28"/>
      <c r="AF44" s="43"/>
      <c r="AG44" s="43"/>
      <c r="AH44" s="43"/>
      <c r="AI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row>
    <row r="45" ht="18">
      <c r="B45" s="29"/>
      <c r="X45" s="27"/>
      <c r="AD45" s="28"/>
      <c r="AF45" s="43"/>
      <c r="AG45" s="43"/>
      <c r="AH45" s="43"/>
      <c r="AI45"/>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row>
    <row r="46" s="41" customFormat="1" ht="18">
      <c r="B46" s="418" t="s">
        <v>77</v>
      </c>
      <c r="C46" s="309" t="s">
        <v>145</v>
      </c>
      <c r="D46" s="310"/>
      <c r="E46" s="310"/>
      <c r="F46" s="310"/>
      <c r="G46" s="310"/>
      <c r="H46" s="310"/>
      <c r="I46" s="310"/>
      <c r="J46" s="310"/>
      <c r="K46" s="310"/>
      <c r="L46" s="310"/>
      <c r="M46" s="310"/>
      <c r="N46" s="310"/>
      <c r="O46" s="310"/>
      <c r="P46" s="310"/>
      <c r="Q46" s="310"/>
      <c r="R46" s="310"/>
      <c r="S46" s="311"/>
      <c r="T46" s="311"/>
      <c r="U46" s="311"/>
      <c r="V46" s="311"/>
      <c r="W46" s="311"/>
      <c r="X46" s="312"/>
      <c r="Y46" s="656" t="s">
        <v>148</v>
      </c>
      <c r="Z46" s="311"/>
      <c r="AA46" s="311"/>
      <c r="AB46" s="311"/>
      <c r="AC46" s="311"/>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c r="BK46" s="263"/>
    </row>
    <row r="47" s="42" customFormat="1">
      <c r="C47" s="322">
        <v>10</v>
      </c>
      <c r="D47" s="42">
        <v>11</v>
      </c>
      <c r="E47" s="42">
        <v>12</v>
      </c>
      <c r="F47" s="42">
        <v>13</v>
      </c>
      <c r="G47" s="42">
        <v>14</v>
      </c>
      <c r="H47" s="42">
        <v>15</v>
      </c>
      <c r="I47" s="42">
        <v>16</v>
      </c>
      <c r="J47" s="42">
        <v>17</v>
      </c>
      <c r="K47" s="42">
        <v>18</v>
      </c>
      <c r="L47" s="42">
        <v>19</v>
      </c>
      <c r="M47" s="42">
        <v>20</v>
      </c>
      <c r="N47" s="42">
        <v>21</v>
      </c>
      <c r="O47" s="42">
        <v>22</v>
      </c>
      <c r="P47" s="42">
        <v>23</v>
      </c>
      <c r="Q47" s="42">
        <v>24</v>
      </c>
      <c r="R47" s="42">
        <v>25</v>
      </c>
      <c r="S47" s="42">
        <v>26</v>
      </c>
      <c r="T47" s="42">
        <v>27</v>
      </c>
      <c r="U47" s="42">
        <v>28</v>
      </c>
      <c r="V47" s="42">
        <v>29</v>
      </c>
      <c r="W47" s="42">
        <v>30</v>
      </c>
      <c r="X47" s="323">
        <v>31</v>
      </c>
      <c r="Y47" s="657">
        <v>1</v>
      </c>
      <c r="Z47" s="42">
        <v>2</v>
      </c>
      <c r="AA47" s="42">
        <v>3</v>
      </c>
      <c r="AB47" s="42">
        <v>4</v>
      </c>
      <c r="AC47" s="42">
        <v>5</v>
      </c>
      <c r="AD47" s="337">
        <v>6</v>
      </c>
      <c r="AE47" s="25"/>
      <c r="AF47" s="324" t="s">
        <v>60</v>
      </c>
      <c r="AG47" s="325">
        <v>28</v>
      </c>
      <c r="AH47" s="326"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c r="BK47" s="264"/>
    </row>
    <row r="48" ht="14.25" customHeight="1">
      <c r="A48" s="1"/>
      <c r="B48" s="46" t="s">
        <v>26</v>
      </c>
      <c r="C48" s="444">
        <v>-18.276227726259655709554772580</v>
      </c>
      <c r="D48" s="445">
        <v>33.435995836757019835993570970</v>
      </c>
      <c r="E48" s="445">
        <v>8.185597807709428112003325110</v>
      </c>
      <c r="F48" s="445">
        <v>-13.142487708454188337062201200</v>
      </c>
      <c r="G48" s="445">
        <v>3.968485832581470859560519100</v>
      </c>
      <c r="H48" s="445">
        <v>-0.71469725794136440762490100</v>
      </c>
      <c r="I48" s="445">
        <v>7.6611032107959083833055434900</v>
      </c>
      <c r="J48" s="445">
        <v>-31.748637492969403812369405830</v>
      </c>
      <c r="K48" s="445">
        <v>-41.534323172036302304878423270</v>
      </c>
      <c r="L48" s="445">
        <v>2.4350618737374748383094141100</v>
      </c>
      <c r="M48" s="445">
        <v>-2.7344184345281626181457467400</v>
      </c>
      <c r="N48" s="445">
        <v>-8.433221555786297626124991490</v>
      </c>
      <c r="O48" s="445">
        <v>-43.736181198689360525557974680</v>
      </c>
      <c r="P48" s="445">
        <v>12.394720418333832504089131800</v>
      </c>
      <c r="Q48" s="445">
        <v>17.510371837747568001135119090</v>
      </c>
      <c r="R48" s="445">
        <v>-17.950305805358565903838432440</v>
      </c>
      <c r="S48" s="445">
        <v>78.301352703640229643747252290</v>
      </c>
      <c r="T48" s="445">
        <v>12.419273319939691133220392310</v>
      </c>
      <c r="U48" s="445">
        <v>-13.850920197560708006484171380</v>
      </c>
      <c r="V48" s="445">
        <v>21.875367052057680641334657380</v>
      </c>
      <c r="W48" s="445">
        <v>34.701564397411574802772258720</v>
      </c>
      <c r="X48" s="446">
        <v>19.906673216633076156964306160</v>
      </c>
      <c r="Y48" s="658">
        <v>16.342365023427598494709041290</v>
      </c>
      <c r="Z48" s="445">
        <v>11.921746508685100508270149260</v>
      </c>
      <c r="AA48" s="445">
        <v>18.367583030822600149031458120</v>
      </c>
      <c r="AB48" s="445">
        <v>-14.778294653493464312259724910</v>
      </c>
      <c r="AC48" s="445">
        <v>-8.133561690809784621820370470</v>
      </c>
      <c r="AD48" s="447">
        <v>-1.2670385947579844496510487900</v>
      </c>
      <c r="AE48" s="448"/>
      <c r="AF48" s="444">
        <v>8.392900978319960653805248240</v>
      </c>
      <c r="AG48" s="445">
        <v>5.6465118592171524615035675600</v>
      </c>
      <c r="AH48" s="449">
        <v>3.7723552545836132556917916100</v>
      </c>
      <c r="AI48"/>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4.25" customHeight="1">
      <c r="A49" s="24"/>
      <c r="B49" s="48" t="s">
        <v>147</v>
      </c>
      <c r="C49" s="329">
        <v>-15.720898851995716087646519170</v>
      </c>
      <c r="D49" s="330">
        <v>-0.4578008426218227532758783300</v>
      </c>
      <c r="E49" s="330">
        <v>-12.309440441829363026551029010</v>
      </c>
      <c r="F49" s="330">
        <v>-20.252678267936055207125392320</v>
      </c>
      <c r="G49" s="330">
        <v>-13.399332946140747309539342050</v>
      </c>
      <c r="H49" s="330">
        <v>-16.444584131560670388104399790</v>
      </c>
      <c r="I49" s="330">
        <v>-1.6819894487337358602636086100</v>
      </c>
      <c r="J49" s="330">
        <v>-37.731898618758456241854568690</v>
      </c>
      <c r="K49" s="330">
        <v>-48.985284228017399284316565220</v>
      </c>
      <c r="L49" s="330">
        <v>-9.215788408687556443481798770</v>
      </c>
      <c r="M49" s="330">
        <v>-9.753602910794842173658253640</v>
      </c>
      <c r="N49" s="330">
        <v>-21.967481546472602331305819630</v>
      </c>
      <c r="O49" s="330">
        <v>-33.996495448916248573122470090</v>
      </c>
      <c r="P49" s="330">
        <v>-4.8898664421299195944620287900</v>
      </c>
      <c r="Q49" s="330">
        <v>0.8466005351322422979261533600</v>
      </c>
      <c r="R49" s="330">
        <v>-16.234996469089944012714094060</v>
      </c>
      <c r="S49" s="330">
        <v>-8.186273783983263532521671190</v>
      </c>
      <c r="T49" s="330">
        <v>-6.1654704043434653319757384200</v>
      </c>
      <c r="U49" s="330">
        <v>-11.223040367285741541328378540</v>
      </c>
      <c r="V49" s="330">
        <v>2.8807624003699412311464043100</v>
      </c>
      <c r="W49" s="330">
        <v>20.652822578989701962411344020</v>
      </c>
      <c r="X49" s="331">
        <v>19.604926724925430763033268080</v>
      </c>
      <c r="Y49" s="661">
        <v>2.2600057094220930913958358200</v>
      </c>
      <c r="Z49" s="330">
        <v>-7.1008216495946425484874903600</v>
      </c>
      <c r="AA49" s="330">
        <v>-10.619936928371545291239073230</v>
      </c>
      <c r="AB49" s="330">
        <v>-23.278541422456198359932497210</v>
      </c>
      <c r="AC49" s="330">
        <v>-11.532350236424856730429205110</v>
      </c>
      <c r="AD49" s="338">
        <v>-7.3009000965422996493786681400</v>
      </c>
      <c r="AE49" s="88"/>
      <c r="AF49" s="329">
        <v>-3.3956567517035200586461449100</v>
      </c>
      <c r="AG49" s="330">
        <v>-9.067945988696321387617126330</v>
      </c>
      <c r="AH49" s="332">
        <v>-8.517747551049557209722313570</v>
      </c>
      <c r="AI49"/>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I50"/>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row>
    <row r="51" ht="18">
      <c r="B51" s="29"/>
      <c r="X51" s="27"/>
      <c r="AD51" s="28"/>
      <c r="AF51" s="43"/>
      <c r="AG51" s="43"/>
      <c r="AH51" s="43"/>
      <c r="AI51"/>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row>
    <row r="52" ht="18">
      <c r="B52" s="418" t="s">
        <v>55</v>
      </c>
      <c r="C52" s="309" t="s">
        <v>145</v>
      </c>
      <c r="D52" s="310"/>
      <c r="E52" s="310"/>
      <c r="F52" s="310"/>
      <c r="G52" s="310"/>
      <c r="H52" s="310"/>
      <c r="I52" s="310"/>
      <c r="J52" s="310"/>
      <c r="K52" s="310"/>
      <c r="L52" s="310"/>
      <c r="M52" s="310"/>
      <c r="N52" s="310"/>
      <c r="O52" s="310"/>
      <c r="P52" s="310"/>
      <c r="Q52" s="310"/>
      <c r="R52" s="310"/>
      <c r="S52" s="311"/>
      <c r="T52" s="311"/>
      <c r="U52" s="311"/>
      <c r="V52" s="311"/>
      <c r="W52" s="311"/>
      <c r="X52" s="312"/>
      <c r="Y52" s="656" t="s">
        <v>148</v>
      </c>
      <c r="Z52" s="311"/>
      <c r="AA52" s="311"/>
      <c r="AB52" s="311"/>
      <c r="AC52" s="311"/>
      <c r="AD52" s="336"/>
      <c r="AE52" s="25"/>
      <c r="AF52" s="316" t="s">
        <v>58</v>
      </c>
      <c r="AG52" s="317" t="s">
        <v>59</v>
      </c>
      <c r="AH52" s="318" t="s">
        <v>59</v>
      </c>
      <c r="AI52"/>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c r="B53" s="42"/>
      <c r="C53" s="322">
        <v>10</v>
      </c>
      <c r="D53" s="42">
        <v>11</v>
      </c>
      <c r="E53" s="42">
        <v>12</v>
      </c>
      <c r="F53" s="42">
        <v>13</v>
      </c>
      <c r="G53" s="42">
        <v>14</v>
      </c>
      <c r="H53" s="42">
        <v>15</v>
      </c>
      <c r="I53" s="42">
        <v>16</v>
      </c>
      <c r="J53" s="42">
        <v>17</v>
      </c>
      <c r="K53" s="42">
        <v>18</v>
      </c>
      <c r="L53" s="42">
        <v>19</v>
      </c>
      <c r="M53" s="42">
        <v>20</v>
      </c>
      <c r="N53" s="42">
        <v>21</v>
      </c>
      <c r="O53" s="42">
        <v>22</v>
      </c>
      <c r="P53" s="42">
        <v>23</v>
      </c>
      <c r="Q53" s="42">
        <v>24</v>
      </c>
      <c r="R53" s="42">
        <v>25</v>
      </c>
      <c r="S53" s="42">
        <v>26</v>
      </c>
      <c r="T53" s="42">
        <v>27</v>
      </c>
      <c r="U53" s="42">
        <v>28</v>
      </c>
      <c r="V53" s="42">
        <v>29</v>
      </c>
      <c r="W53" s="42">
        <v>30</v>
      </c>
      <c r="X53" s="323">
        <v>31</v>
      </c>
      <c r="Y53" s="657">
        <v>1</v>
      </c>
      <c r="Z53" s="42">
        <v>2</v>
      </c>
      <c r="AA53" s="42">
        <v>3</v>
      </c>
      <c r="AB53" s="42">
        <v>4</v>
      </c>
      <c r="AC53" s="42">
        <v>5</v>
      </c>
      <c r="AD53" s="337">
        <v>6</v>
      </c>
      <c r="AE53" s="25"/>
      <c r="AF53" s="324" t="s">
        <v>60</v>
      </c>
      <c r="AG53" s="325">
        <v>28</v>
      </c>
      <c r="AH53" s="326" t="s">
        <v>31</v>
      </c>
      <c r="AI53"/>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14.25" customHeight="1">
      <c r="B54" s="46" t="s">
        <v>56</v>
      </c>
      <c r="C54" s="455" t="s">
        <v>152</v>
      </c>
      <c r="D54" s="456" t="s">
        <v>152</v>
      </c>
      <c r="E54" s="456" t="s">
        <v>154</v>
      </c>
      <c r="F54" s="456" t="s">
        <v>152</v>
      </c>
      <c r="G54" s="456" t="s">
        <v>151</v>
      </c>
      <c r="H54" s="456" t="s">
        <v>152</v>
      </c>
      <c r="I54" s="456" t="s">
        <v>152</v>
      </c>
      <c r="J54" s="456" t="s">
        <v>151</v>
      </c>
      <c r="K54" s="456" t="s">
        <v>151</v>
      </c>
      <c r="L54" s="456" t="s">
        <v>151</v>
      </c>
      <c r="M54" s="456" t="s">
        <v>151</v>
      </c>
      <c r="N54" s="456" t="s">
        <v>154</v>
      </c>
      <c r="O54" s="456" t="s">
        <v>154</v>
      </c>
      <c r="P54" s="456" t="s">
        <v>154</v>
      </c>
      <c r="Q54" s="456" t="s">
        <v>154</v>
      </c>
      <c r="R54" s="456" t="s">
        <v>151</v>
      </c>
      <c r="S54" s="456" t="s">
        <v>152</v>
      </c>
      <c r="T54" s="456" t="s">
        <v>152</v>
      </c>
      <c r="U54" s="456" t="s">
        <v>151</v>
      </c>
      <c r="V54" s="456" t="s">
        <v>154</v>
      </c>
      <c r="W54" s="456" t="s">
        <v>155</v>
      </c>
      <c r="X54" s="457" t="s">
        <v>155</v>
      </c>
      <c r="Y54" s="662" t="s">
        <v>151</v>
      </c>
      <c r="Z54" s="456" t="s">
        <v>154</v>
      </c>
      <c r="AA54" s="456" t="s">
        <v>154</v>
      </c>
      <c r="AB54" s="456" t="s">
        <v>151</v>
      </c>
      <c r="AC54" s="456" t="s">
        <v>152</v>
      </c>
      <c r="AD54" s="458" t="s">
        <v>152</v>
      </c>
      <c r="AE54" s="459"/>
      <c r="AF54" s="455" t="s">
        <v>152</v>
      </c>
      <c r="AG54" s="456" t="s">
        <v>152</v>
      </c>
      <c r="AH54" s="460" t="s">
        <v>152</v>
      </c>
      <c r="AI5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14.25" customHeight="1" thickBot="1">
      <c r="B55" s="48" t="s">
        <v>78</v>
      </c>
      <c r="C55" s="333" t="s">
        <v>149</v>
      </c>
      <c r="D55" s="334" t="s">
        <v>154</v>
      </c>
      <c r="E55" s="334" t="s">
        <v>152</v>
      </c>
      <c r="F55" s="334" t="s">
        <v>150</v>
      </c>
      <c r="G55" s="334" t="s">
        <v>151</v>
      </c>
      <c r="H55" s="334" t="s">
        <v>150</v>
      </c>
      <c r="I55" s="334" t="s">
        <v>152</v>
      </c>
      <c r="J55" s="334" t="s">
        <v>149</v>
      </c>
      <c r="K55" s="334" t="s">
        <v>149</v>
      </c>
      <c r="L55" s="334" t="s">
        <v>151</v>
      </c>
      <c r="M55" s="334" t="s">
        <v>151</v>
      </c>
      <c r="N55" s="334" t="s">
        <v>153</v>
      </c>
      <c r="O55" s="334" t="s">
        <v>149</v>
      </c>
      <c r="P55" s="334" t="s">
        <v>154</v>
      </c>
      <c r="Q55" s="334" t="s">
        <v>155</v>
      </c>
      <c r="R55" s="334" t="s">
        <v>150</v>
      </c>
      <c r="S55" s="334" t="s">
        <v>151</v>
      </c>
      <c r="T55" s="334" t="s">
        <v>152</v>
      </c>
      <c r="U55" s="334" t="s">
        <v>150</v>
      </c>
      <c r="V55" s="334" t="s">
        <v>155</v>
      </c>
      <c r="W55" s="334" t="s">
        <v>154</v>
      </c>
      <c r="X55" s="60" t="s">
        <v>155</v>
      </c>
      <c r="Y55" s="663" t="s">
        <v>154</v>
      </c>
      <c r="Z55" s="61" t="s">
        <v>152</v>
      </c>
      <c r="AA55" s="61" t="s">
        <v>151</v>
      </c>
      <c r="AB55" s="61" t="s">
        <v>150</v>
      </c>
      <c r="AC55" s="61" t="s">
        <v>151</v>
      </c>
      <c r="AD55" s="62" t="s">
        <v>151</v>
      </c>
      <c r="AE55" s="59"/>
      <c r="AF55" s="333" t="s">
        <v>151</v>
      </c>
      <c r="AG55" s="334" t="s">
        <v>151</v>
      </c>
      <c r="AH55" s="335" t="s">
        <v>151</v>
      </c>
      <c r="AI55"/>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9.95" customHeight="1">
      <c r="AF56"/>
      <c r="AG56"/>
      <c r="AH56"/>
      <c r="AI56"/>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AF57"/>
      <c r="AG57"/>
      <c r="AH57"/>
      <c r="AI57"/>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I58"/>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ht="9.95" customHeight="1">
      <c r="AF59" s="80"/>
      <c r="AG59" s="242"/>
      <c r="AH59"/>
      <c r="AI59"/>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ht="9.95" customHeight="1">
      <c r="B60" s="235"/>
      <c r="AF60"/>
      <c r="AG60"/>
      <c r="AH60"/>
      <c r="AI60"/>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ht="9.95" customHeight="1">
      <c r="AF61"/>
      <c r="AG61"/>
      <c r="AH61"/>
      <c r="AI6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row>
    <row r="66">
      <c r="A66" s="244"/>
      <c r="B66" s="664"/>
      <c r="C66" s="664"/>
      <c r="D66" s="664"/>
      <c r="E66" s="664"/>
      <c r="F66" s="664"/>
      <c r="G66" s="664"/>
      <c r="H66" s="664"/>
      <c r="I66" s="664"/>
      <c r="J66" s="664"/>
      <c r="K66" s="664"/>
      <c r="L66" s="664"/>
      <c r="M66" s="664"/>
      <c r="N66" s="664"/>
      <c r="O66" s="664"/>
      <c r="P66" s="664"/>
      <c r="Q66" s="664"/>
      <c r="R66" s="664"/>
      <c r="S66" s="664"/>
      <c r="T66" s="664"/>
      <c r="U66" s="664"/>
      <c r="V66" s="664"/>
      <c r="W66" s="664"/>
      <c r="X66" s="664"/>
      <c r="Y66" s="664"/>
      <c r="Z66" s="664"/>
      <c r="AA66" s="664"/>
      <c r="AB66" s="664"/>
      <c r="AC66" s="664"/>
      <c r="AD66" s="664"/>
      <c r="AE66" s="664"/>
      <c r="AF66" s="664"/>
      <c r="AG66" s="664"/>
      <c r="AH66" s="66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row>
    <row r="67">
      <c r="A67" s="244"/>
      <c r="B67" s="664"/>
      <c r="C67" s="664"/>
      <c r="D67" s="664"/>
      <c r="E67" s="664"/>
      <c r="F67" s="664"/>
      <c r="G67" s="664"/>
      <c r="H67" s="664"/>
      <c r="I67" s="664"/>
      <c r="J67" s="664"/>
      <c r="K67" s="664"/>
      <c r="L67" s="664"/>
      <c r="M67" s="664"/>
      <c r="N67" s="664"/>
      <c r="O67" s="664"/>
      <c r="P67" s="664"/>
      <c r="Q67" s="664"/>
      <c r="R67" s="664"/>
      <c r="S67" s="664"/>
      <c r="T67" s="664"/>
      <c r="U67" s="664"/>
      <c r="V67" s="664"/>
      <c r="W67" s="664"/>
      <c r="X67" s="664"/>
      <c r="Y67" s="664"/>
      <c r="Z67" s="664"/>
      <c r="AA67" s="664"/>
      <c r="AB67" s="664"/>
      <c r="AC67" s="664"/>
      <c r="AD67" s="664"/>
      <c r="AE67" s="664"/>
      <c r="AF67" s="664"/>
      <c r="AG67" s="664"/>
      <c r="AH67" s="66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row>
    <row r="68" s="25" customFormat="1">
      <c r="A68" s="255"/>
      <c r="B68" s="664"/>
      <c r="C68" s="664"/>
      <c r="D68" s="664"/>
      <c r="E68" s="664"/>
      <c r="F68" s="664"/>
      <c r="G68" s="664"/>
      <c r="H68" s="664"/>
      <c r="I68" s="664"/>
      <c r="J68" s="664"/>
      <c r="K68" s="664"/>
      <c r="L68" s="664"/>
      <c r="M68" s="664"/>
      <c r="N68" s="664"/>
      <c r="O68" s="664"/>
      <c r="P68" s="664"/>
      <c r="Q68" s="664"/>
      <c r="R68" s="664"/>
      <c r="S68" s="664"/>
      <c r="T68" s="664"/>
      <c r="U68" s="664"/>
      <c r="V68" s="664"/>
      <c r="W68" s="664"/>
      <c r="X68" s="664"/>
      <c r="Y68" s="664"/>
      <c r="Z68" s="664"/>
      <c r="AA68" s="664"/>
      <c r="AB68" s="664"/>
      <c r="AC68" s="664"/>
      <c r="AD68" s="664"/>
      <c r="AE68" s="664"/>
      <c r="AF68" s="664"/>
      <c r="AG68" s="664"/>
      <c r="AH68" s="664"/>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c r="BK68" s="255"/>
    </row>
    <row r="69" s="25" customFormat="1" ht="10.5" customHeight="1">
      <c r="A69" s="255"/>
      <c r="B69" s="664"/>
      <c r="C69" s="664"/>
      <c r="D69" s="664"/>
      <c r="E69" s="664"/>
      <c r="F69" s="664"/>
      <c r="G69" s="664"/>
      <c r="H69" s="664"/>
      <c r="I69" s="664"/>
      <c r="J69" s="664"/>
      <c r="K69" s="664"/>
      <c r="L69" s="664"/>
      <c r="M69" s="664"/>
      <c r="N69" s="664"/>
      <c r="O69" s="664"/>
      <c r="P69" s="664"/>
      <c r="Q69" s="664"/>
      <c r="R69" s="664"/>
      <c r="S69" s="664"/>
      <c r="T69" s="664"/>
      <c r="U69" s="664"/>
      <c r="V69" s="664"/>
      <c r="W69" s="664"/>
      <c r="X69" s="664"/>
      <c r="Y69" s="664"/>
      <c r="Z69" s="664"/>
      <c r="AA69" s="664"/>
      <c r="AB69" s="664"/>
      <c r="AC69" s="664"/>
      <c r="AD69" s="664"/>
      <c r="AE69" s="664"/>
      <c r="AF69" s="664"/>
      <c r="AG69" s="664"/>
      <c r="AH69" s="664"/>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c r="BK69" s="255"/>
    </row>
    <row r="70" s="84" customFormat="1">
      <c r="A70" s="256"/>
      <c r="B70" s="664"/>
      <c r="C70" s="664"/>
      <c r="D70" s="664"/>
      <c r="E70" s="664"/>
      <c r="F70" s="664"/>
      <c r="G70" s="664"/>
      <c r="H70" s="664"/>
      <c r="I70" s="664"/>
      <c r="J70" s="664"/>
      <c r="K70" s="664"/>
      <c r="L70" s="664"/>
      <c r="M70" s="664"/>
      <c r="N70" s="664"/>
      <c r="O70" s="664"/>
      <c r="P70" s="664"/>
      <c r="Q70" s="664"/>
      <c r="R70" s="664"/>
      <c r="S70" s="664"/>
      <c r="T70" s="664"/>
      <c r="U70" s="664"/>
      <c r="V70" s="664"/>
      <c r="W70" s="664"/>
      <c r="X70" s="664"/>
      <c r="Y70" s="664"/>
      <c r="Z70" s="664"/>
      <c r="AA70" s="664"/>
      <c r="AB70" s="664"/>
      <c r="AC70" s="664"/>
      <c r="AD70" s="664"/>
      <c r="AE70" s="664"/>
      <c r="AF70" s="664"/>
      <c r="AG70" s="664"/>
      <c r="AH70" s="664"/>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6"/>
      <c r="B71" s="664">
        <v>1</v>
      </c>
      <c r="C71" s="664">
        <v>2</v>
      </c>
      <c r="D71" s="664">
        <v>3</v>
      </c>
      <c r="E71" s="664">
        <v>4</v>
      </c>
      <c r="F71" s="664">
        <v>5</v>
      </c>
      <c r="G71" s="664">
        <v>6</v>
      </c>
      <c r="H71" s="664">
        <v>7</v>
      </c>
      <c r="I71" s="664">
        <v>8</v>
      </c>
      <c r="J71" s="664">
        <v>9</v>
      </c>
      <c r="K71" s="664">
        <v>10</v>
      </c>
      <c r="L71" s="664">
        <v>11</v>
      </c>
      <c r="M71" s="664">
        <v>12</v>
      </c>
      <c r="N71" s="664"/>
      <c r="O71" s="664"/>
      <c r="P71" s="664"/>
      <c r="Q71" s="664"/>
      <c r="R71" s="664"/>
      <c r="S71" s="664"/>
      <c r="T71" s="664"/>
      <c r="U71" s="664"/>
      <c r="V71" s="664"/>
      <c r="W71" s="664"/>
      <c r="X71" s="664"/>
      <c r="Y71" s="664"/>
      <c r="Z71" s="664"/>
      <c r="AA71" s="664"/>
      <c r="AB71" s="664"/>
      <c r="AC71" s="664"/>
      <c r="AD71" s="664"/>
      <c r="AE71" s="664"/>
      <c r="AF71" s="664"/>
      <c r="AG71" s="664"/>
      <c r="AH71" s="664"/>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64" t="n">
        <v>45829</v>
      </c>
      <c r="C72" s="664">
        <v>45836</v>
      </c>
      <c r="D72" s="664">
        <v>45843</v>
      </c>
      <c r="E72" s="664">
        <v>45850</v>
      </c>
      <c r="F72" s="664">
        <v>45857</v>
      </c>
      <c r="G72" s="664">
        <v>45864</v>
      </c>
      <c r="H72" s="664">
        <v>45871</v>
      </c>
      <c r="I72" s="664">
        <v>45878</v>
      </c>
      <c r="J72" s="664">
        <v>45885</v>
      </c>
      <c r="K72" s="664">
        <v>45892</v>
      </c>
      <c r="L72" s="664">
        <v>45899</v>
      </c>
      <c r="M72" s="664">
        <v>45906</v>
      </c>
      <c r="N72" s="664"/>
      <c r="O72" s="664"/>
      <c r="P72" s="664"/>
      <c r="Q72" s="664"/>
      <c r="R72" s="664"/>
      <c r="S72" s="664"/>
      <c r="T72" s="664"/>
      <c r="U72" s="664"/>
      <c r="V72" s="664"/>
      <c r="W72" s="664"/>
      <c r="X72" s="664"/>
      <c r="Y72" s="664"/>
      <c r="Z72" s="664"/>
      <c r="AA72" s="664"/>
      <c r="AB72" s="664"/>
      <c r="AC72" s="664"/>
      <c r="AD72" s="664"/>
      <c r="AE72" s="664"/>
      <c r="AF72" s="664"/>
      <c r="AG72" s="664"/>
      <c r="AH72" s="664"/>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64">
        <v>102.18135593220338983050847458</v>
      </c>
      <c r="C73" s="664">
        <v>100.78517397881996974281391831</v>
      </c>
      <c r="D73" s="664">
        <v>95.51670951156812339331619537</v>
      </c>
      <c r="E73" s="664">
        <v>97.99803921568627450980392157</v>
      </c>
      <c r="F73" s="664">
        <v>98.87523629489603024574669187</v>
      </c>
      <c r="G73" s="664">
        <v>100.54068241469816272965879265</v>
      </c>
      <c r="H73" s="664">
        <v>103.33214920071047957371225577</v>
      </c>
      <c r="I73" s="664">
        <v>100.45261121856866537717601547</v>
      </c>
      <c r="J73" s="664">
        <v>94.59849906191369606003752345</v>
      </c>
      <c r="K73" s="664">
        <v>95.15555555555555555555555556</v>
      </c>
      <c r="L73" s="664">
        <v>114.8455114822546972860125261</v>
      </c>
      <c r="M73" s="664">
        <v>102.18227848101265822784810127</v>
      </c>
      <c r="N73" s="664"/>
      <c r="O73" s="664"/>
      <c r="P73" s="664"/>
      <c r="Q73" s="664"/>
      <c r="R73" s="664"/>
      <c r="S73" s="664"/>
      <c r="T73" s="664"/>
      <c r="U73" s="664"/>
      <c r="V73" s="664"/>
      <c r="W73" s="664"/>
      <c r="X73" s="664"/>
      <c r="Y73" s="664"/>
      <c r="Z73" s="664"/>
      <c r="AA73" s="664"/>
      <c r="AB73" s="664"/>
      <c r="AC73" s="664"/>
      <c r="AD73" s="664"/>
      <c r="AE73" s="664"/>
      <c r="AF73" s="664"/>
      <c r="AG73" s="664"/>
      <c r="AH73" s="664"/>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64">
        <v>109.82761430511543684925305568</v>
      </c>
      <c r="C74" s="664">
        <v>111.66318726825197282935950391</v>
      </c>
      <c r="D74" s="664">
        <v>97.19754901960784313725490197</v>
      </c>
      <c r="E74" s="664">
        <v>113.96708760484622553588070829</v>
      </c>
      <c r="F74" s="664">
        <v>104.45170591313448456305599163</v>
      </c>
      <c r="G74" s="664">
        <v>102.92512265512265512265512266</v>
      </c>
      <c r="H74" s="664">
        <v>99.45022408963585434173669467</v>
      </c>
      <c r="I74" s="664">
        <v>96.55597812879708383961117861</v>
      </c>
      <c r="J74" s="664">
        <v>92.11951357924604783137413863</v>
      </c>
      <c r="K74" s="664">
        <v>91.82399202481169694284448383</v>
      </c>
      <c r="L74" s="664">
        <v>94.99309450549450549450549451</v>
      </c>
      <c r="M74" s="664">
        <v>88.94108961303462321792260692</v>
      </c>
      <c r="N74" s="664"/>
      <c r="O74" s="664"/>
      <c r="P74" s="664"/>
      <c r="Q74" s="664"/>
      <c r="R74" s="664"/>
      <c r="S74" s="664"/>
      <c r="T74" s="664"/>
      <c r="U74" s="664"/>
      <c r="V74" s="664"/>
      <c r="W74" s="664"/>
      <c r="X74" s="664"/>
      <c r="Y74" s="664"/>
      <c r="Z74" s="664"/>
      <c r="AA74" s="664"/>
      <c r="AB74" s="664"/>
      <c r="AC74" s="664"/>
      <c r="AD74" s="664"/>
      <c r="AE74" s="664"/>
      <c r="AF74" s="664"/>
      <c r="AG74" s="664"/>
      <c r="AH74" s="664"/>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s="84" customFormat="1" ht="14.25">
      <c r="A75" s="260" t="s">
        <v>147</v>
      </c>
      <c r="B75" s="664">
        <v>132.60592160133444537114261885</v>
      </c>
      <c r="C75" s="664">
        <v>129.74813927624262126785867054</v>
      </c>
      <c r="D75" s="664">
        <v>120.9638714974853741147490506</v>
      </c>
      <c r="E75" s="664">
        <v>133.70874684608915054667788057</v>
      </c>
      <c r="F75" s="664">
        <v>130.91767260095527572731220148</v>
      </c>
      <c r="G75" s="664">
        <v>130.27224308041561163014057452</v>
      </c>
      <c r="H75" s="664">
        <v>126.10225398570643210555250137</v>
      </c>
      <c r="I75" s="664">
        <v>125.05979266938171047760088856</v>
      </c>
      <c r="J75" s="664">
        <v>130.46182641246626621398102202</v>
      </c>
      <c r="K75" s="664">
        <v>129.48550791739975923696638578</v>
      </c>
      <c r="L75" s="664">
        <v>131.8327326494778671102485907</v>
      </c>
      <c r="M75" s="664">
        <v>122.06941758005587792821835375</v>
      </c>
      <c r="N75" s="664"/>
      <c r="O75" s="664"/>
      <c r="P75" s="664"/>
      <c r="Q75" s="664"/>
      <c r="R75" s="664"/>
      <c r="S75" s="664"/>
      <c r="T75" s="664"/>
      <c r="U75" s="664"/>
      <c r="V75" s="664"/>
      <c r="W75" s="664"/>
      <c r="X75" s="664"/>
      <c r="Y75" s="664"/>
      <c r="Z75" s="664"/>
      <c r="AA75" s="664"/>
      <c r="AB75" s="664"/>
      <c r="AC75" s="664"/>
      <c r="AD75" s="664"/>
      <c r="AE75" s="664"/>
      <c r="AF75" s="664"/>
      <c r="AG75" s="664"/>
      <c r="AH75" s="664"/>
      <c r="AI75" s="257"/>
      <c r="AJ75" s="257"/>
      <c r="AK75" s="257"/>
      <c r="AL75" s="257"/>
      <c r="AM75" s="257"/>
      <c r="AN75" s="257"/>
      <c r="AO75" s="257"/>
      <c r="AP75" s="257"/>
      <c r="AQ75" s="257"/>
      <c r="AR75" s="257"/>
      <c r="AS75" s="257"/>
      <c r="AT75" s="257"/>
      <c r="AU75" s="257"/>
      <c r="AV75" s="257"/>
      <c r="AW75" s="257"/>
      <c r="AX75" s="257"/>
      <c r="AY75" s="257"/>
      <c r="AZ75" s="257"/>
      <c r="BA75" s="257"/>
      <c r="BB75" s="257"/>
      <c r="BC75" s="257"/>
      <c r="BD75" s="257"/>
      <c r="BE75" s="257"/>
      <c r="BF75" s="257"/>
      <c r="BG75" s="257"/>
      <c r="BH75" s="257"/>
      <c r="BI75" s="257"/>
      <c r="BJ75" s="257"/>
      <c r="BK75" s="257"/>
    </row>
    <row r="76" s="84" customFormat="1">
      <c r="A76" s="256"/>
      <c r="B76" s="664"/>
      <c r="C76" s="664"/>
      <c r="D76" s="664"/>
      <c r="E76" s="664"/>
      <c r="F76" s="664"/>
      <c r="G76" s="664"/>
      <c r="H76" s="664"/>
      <c r="I76" s="664"/>
      <c r="J76" s="664"/>
      <c r="K76" s="664"/>
      <c r="L76" s="664"/>
      <c r="M76" s="664"/>
      <c r="N76" s="664"/>
      <c r="O76" s="664"/>
      <c r="P76" s="664"/>
      <c r="Q76" s="664"/>
      <c r="R76" s="664"/>
      <c r="S76" s="664"/>
      <c r="T76" s="664"/>
      <c r="U76" s="664"/>
      <c r="V76" s="664"/>
      <c r="W76" s="664"/>
      <c r="X76" s="664"/>
      <c r="Y76" s="664"/>
      <c r="Z76" s="664"/>
      <c r="AA76" s="664"/>
      <c r="AB76" s="664"/>
      <c r="AC76" s="664"/>
      <c r="AD76" s="664"/>
      <c r="AE76" s="664"/>
      <c r="AF76" s="664"/>
      <c r="AG76" s="664"/>
      <c r="AH76" s="664"/>
      <c r="AI76" s="257"/>
      <c r="AJ76" s="257"/>
      <c r="AK76" s="257"/>
      <c r="AL76" s="257"/>
      <c r="AM76" s="257"/>
      <c r="AN76" s="257"/>
      <c r="AO76" s="257"/>
      <c r="AP76" s="257"/>
      <c r="AQ76" s="257"/>
      <c r="AR76" s="257"/>
      <c r="AS76" s="257"/>
      <c r="AT76" s="257"/>
      <c r="AU76" s="257"/>
      <c r="AV76" s="257"/>
      <c r="AW76" s="257"/>
      <c r="AX76" s="257"/>
      <c r="AY76" s="257"/>
      <c r="AZ76" s="257"/>
      <c r="BA76" s="257"/>
      <c r="BB76" s="257"/>
      <c r="BC76" s="257"/>
      <c r="BD76" s="257"/>
      <c r="BE76" s="257"/>
      <c r="BF76" s="257"/>
      <c r="BG76" s="257"/>
      <c r="BH76" s="257"/>
      <c r="BI76" s="257"/>
      <c r="BJ76" s="257"/>
      <c r="BK76" s="257"/>
    </row>
    <row r="77">
      <c r="A77" s="256"/>
      <c r="B77" s="664"/>
      <c r="C77" s="664"/>
      <c r="D77" s="664"/>
      <c r="E77" s="664"/>
      <c r="F77" s="664"/>
      <c r="G77" s="664"/>
      <c r="H77" s="664"/>
      <c r="I77" s="664"/>
      <c r="J77" s="664"/>
      <c r="K77" s="664"/>
      <c r="L77" s="664"/>
      <c r="M77" s="664"/>
      <c r="N77" s="664"/>
      <c r="O77" s="664"/>
      <c r="P77" s="664"/>
      <c r="Q77" s="664"/>
      <c r="R77" s="664"/>
      <c r="S77" s="664"/>
      <c r="T77" s="664"/>
      <c r="U77" s="664"/>
      <c r="V77" s="664"/>
      <c r="W77" s="664"/>
      <c r="X77" s="664"/>
      <c r="Y77" s="664"/>
      <c r="Z77" s="664"/>
      <c r="AA77" s="664"/>
      <c r="AB77" s="664"/>
      <c r="AC77" s="664"/>
      <c r="AD77" s="664"/>
      <c r="AE77" s="664"/>
      <c r="AF77" s="664"/>
      <c r="AG77" s="664"/>
      <c r="AH77" s="66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56"/>
      <c r="B78" s="664"/>
      <c r="C78" s="664"/>
      <c r="D78" s="664"/>
      <c r="E78" s="664"/>
      <c r="F78" s="664"/>
      <c r="G78" s="664"/>
      <c r="H78" s="664"/>
      <c r="I78" s="664"/>
      <c r="J78" s="664"/>
      <c r="K78" s="664"/>
      <c r="L78" s="664"/>
      <c r="M78" s="664"/>
      <c r="N78" s="664"/>
      <c r="O78" s="664"/>
      <c r="P78" s="664"/>
      <c r="Q78" s="664"/>
      <c r="R78" s="664"/>
      <c r="S78" s="664"/>
      <c r="T78" s="664"/>
      <c r="U78" s="664"/>
      <c r="V78" s="664"/>
      <c r="W78" s="664"/>
      <c r="X78" s="664"/>
      <c r="Y78" s="664"/>
      <c r="Z78" s="664"/>
      <c r="AA78" s="664"/>
      <c r="AB78" s="664"/>
      <c r="AC78" s="664"/>
      <c r="AD78" s="664"/>
      <c r="AE78" s="664"/>
      <c r="AF78" s="664"/>
      <c r="AG78" s="664"/>
      <c r="AH78" s="66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56"/>
      <c r="B79" s="664"/>
      <c r="C79" s="664"/>
      <c r="D79" s="664"/>
      <c r="E79" s="664"/>
      <c r="F79" s="664"/>
      <c r="G79" s="664"/>
      <c r="H79" s="664"/>
      <c r="I79" s="664"/>
      <c r="J79" s="664"/>
      <c r="K79" s="664"/>
      <c r="L79" s="664"/>
      <c r="M79" s="664"/>
      <c r="N79" s="664"/>
      <c r="O79" s="664"/>
      <c r="P79" s="664"/>
      <c r="Q79" s="664"/>
      <c r="R79" s="664"/>
      <c r="S79" s="664"/>
      <c r="T79" s="664"/>
      <c r="U79" s="664"/>
      <c r="V79" s="664"/>
      <c r="W79" s="664"/>
      <c r="X79" s="664"/>
      <c r="Y79" s="664"/>
      <c r="Z79" s="664"/>
      <c r="AA79" s="664"/>
      <c r="AB79" s="664"/>
      <c r="AC79" s="664"/>
      <c r="AD79" s="664"/>
      <c r="AE79" s="664"/>
      <c r="AF79" s="664"/>
      <c r="AG79" s="664"/>
      <c r="AH79" s="66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4"/>
      <c r="C80" s="664"/>
      <c r="D80" s="664"/>
      <c r="E80" s="664"/>
      <c r="F80" s="664"/>
      <c r="G80" s="664"/>
      <c r="H80" s="664"/>
      <c r="I80" s="664"/>
      <c r="J80" s="664"/>
      <c r="K80" s="664"/>
      <c r="L80" s="664"/>
      <c r="M80" s="664"/>
      <c r="N80" s="664"/>
      <c r="O80" s="664"/>
      <c r="P80" s="664"/>
      <c r="Q80" s="664"/>
      <c r="R80" s="664"/>
      <c r="S80" s="664"/>
      <c r="T80" s="664"/>
      <c r="U80" s="664"/>
      <c r="V80" s="664"/>
      <c r="W80" s="664"/>
      <c r="X80" s="664"/>
      <c r="Y80" s="664"/>
      <c r="Z80" s="664"/>
      <c r="AA80" s="664"/>
      <c r="AB80" s="664"/>
      <c r="AC80" s="664"/>
      <c r="AD80" s="664"/>
      <c r="AE80" s="664"/>
      <c r="AF80" s="664"/>
      <c r="AG80" s="664"/>
      <c r="AH80" s="66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4"/>
      <c r="C81" s="664"/>
      <c r="D81" s="664"/>
      <c r="E81" s="664"/>
      <c r="F81" s="664"/>
      <c r="G81" s="664"/>
      <c r="H81" s="664"/>
      <c r="I81" s="664"/>
      <c r="J81" s="664"/>
      <c r="K81" s="664"/>
      <c r="L81" s="664"/>
      <c r="M81" s="664"/>
      <c r="N81" s="664"/>
      <c r="O81" s="664"/>
      <c r="P81" s="664"/>
      <c r="Q81" s="664"/>
      <c r="R81" s="664"/>
      <c r="S81" s="664"/>
      <c r="T81" s="664"/>
      <c r="U81" s="664"/>
      <c r="V81" s="664"/>
      <c r="W81" s="664"/>
      <c r="X81" s="664"/>
      <c r="Y81" s="664"/>
      <c r="Z81" s="664"/>
      <c r="AA81" s="664"/>
      <c r="AB81" s="664"/>
      <c r="AC81" s="664"/>
      <c r="AD81" s="664"/>
      <c r="AE81" s="664"/>
      <c r="AF81" s="664"/>
      <c r="AG81" s="664"/>
      <c r="AH81" s="66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4"/>
      <c r="C82" s="664"/>
      <c r="D82" s="664"/>
      <c r="E82" s="664"/>
      <c r="F82" s="664"/>
      <c r="G82" s="664"/>
      <c r="H82" s="664"/>
      <c r="I82" s="664"/>
      <c r="J82" s="664"/>
      <c r="K82" s="664"/>
      <c r="L82" s="664"/>
      <c r="M82" s="664"/>
      <c r="N82" s="664"/>
      <c r="O82" s="664"/>
      <c r="P82" s="664"/>
      <c r="Q82" s="664"/>
      <c r="R82" s="664"/>
      <c r="S82" s="664"/>
      <c r="T82" s="664"/>
      <c r="U82" s="664"/>
      <c r="V82" s="664"/>
      <c r="W82" s="664"/>
      <c r="X82" s="664"/>
      <c r="Y82" s="664"/>
      <c r="Z82" s="664"/>
      <c r="AA82" s="664"/>
      <c r="AB82" s="664"/>
      <c r="AC82" s="664"/>
      <c r="AD82" s="664"/>
      <c r="AE82" s="664"/>
      <c r="AF82" s="664"/>
      <c r="AG82" s="664"/>
      <c r="AH82" s="66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4"/>
      <c r="C83" s="664"/>
      <c r="D83" s="664"/>
      <c r="E83" s="664"/>
      <c r="F83" s="664"/>
      <c r="G83" s="664"/>
      <c r="H83" s="664"/>
      <c r="I83" s="664"/>
      <c r="J83" s="664"/>
      <c r="K83" s="664"/>
      <c r="L83" s="664"/>
      <c r="M83" s="664"/>
      <c r="N83" s="664"/>
      <c r="O83" s="664"/>
      <c r="P83" s="664"/>
      <c r="Q83" s="664"/>
      <c r="R83" s="664"/>
      <c r="S83" s="664"/>
      <c r="T83" s="664"/>
      <c r="U83" s="664"/>
      <c r="V83" s="664"/>
      <c r="W83" s="664"/>
      <c r="X83" s="664"/>
      <c r="Y83" s="664"/>
      <c r="Z83" s="664"/>
      <c r="AA83" s="664"/>
      <c r="AB83" s="664"/>
      <c r="AC83" s="664"/>
      <c r="AD83" s="664"/>
      <c r="AE83" s="664"/>
      <c r="AF83" s="664"/>
      <c r="AG83" s="664"/>
      <c r="AH83" s="66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4"/>
      <c r="C84" s="664"/>
      <c r="D84" s="664"/>
      <c r="E84" s="664"/>
      <c r="F84" s="664"/>
      <c r="G84" s="664"/>
      <c r="H84" s="664"/>
      <c r="I84" s="664"/>
      <c r="J84" s="664"/>
      <c r="K84" s="664"/>
      <c r="L84" s="664"/>
      <c r="M84" s="664"/>
      <c r="N84" s="664"/>
      <c r="O84" s="664"/>
      <c r="P84" s="664"/>
      <c r="Q84" s="664"/>
      <c r="R84" s="664"/>
      <c r="S84" s="664"/>
      <c r="T84" s="664"/>
      <c r="U84" s="664"/>
      <c r="V84" s="664"/>
      <c r="W84" s="664"/>
      <c r="X84" s="664"/>
      <c r="Y84" s="664"/>
      <c r="Z84" s="664"/>
      <c r="AA84" s="664"/>
      <c r="AB84" s="664"/>
      <c r="AC84" s="664"/>
      <c r="AD84" s="664"/>
      <c r="AE84" s="664"/>
      <c r="AF84" s="664"/>
      <c r="AG84" s="664"/>
      <c r="AH84" s="66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4"/>
      <c r="C85" s="664"/>
      <c r="D85" s="664"/>
      <c r="E85" s="664"/>
      <c r="F85" s="664"/>
      <c r="G85" s="664"/>
      <c r="H85" s="664"/>
      <c r="I85" s="664"/>
      <c r="J85" s="664"/>
      <c r="K85" s="664"/>
      <c r="L85" s="664"/>
      <c r="M85" s="664"/>
      <c r="N85" s="664"/>
      <c r="O85" s="664"/>
      <c r="P85" s="664"/>
      <c r="Q85" s="664"/>
      <c r="R85" s="664"/>
      <c r="S85" s="664"/>
      <c r="T85" s="664"/>
      <c r="U85" s="664"/>
      <c r="V85" s="664"/>
      <c r="W85" s="664"/>
      <c r="X85" s="664"/>
      <c r="Y85" s="664"/>
      <c r="Z85" s="664"/>
      <c r="AA85" s="664"/>
      <c r="AB85" s="664"/>
      <c r="AC85" s="664"/>
      <c r="AD85" s="664"/>
      <c r="AE85" s="664"/>
      <c r="AF85" s="664"/>
      <c r="AG85" s="664"/>
      <c r="AH85" s="66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4"/>
      <c r="C86" s="664"/>
      <c r="D86" s="664"/>
      <c r="E86" s="664"/>
      <c r="F86" s="664"/>
      <c r="G86" s="664"/>
      <c r="H86" s="664"/>
      <c r="I86" s="664"/>
      <c r="J86" s="664"/>
      <c r="K86" s="664"/>
      <c r="L86" s="664"/>
      <c r="M86" s="664"/>
      <c r="N86" s="664"/>
      <c r="O86" s="664"/>
      <c r="P86" s="664"/>
      <c r="Q86" s="664"/>
      <c r="R86" s="664"/>
      <c r="S86" s="664"/>
      <c r="T86" s="664"/>
      <c r="U86" s="664"/>
      <c r="V86" s="664"/>
      <c r="W86" s="664"/>
      <c r="X86" s="664"/>
      <c r="Y86" s="664"/>
      <c r="Z86" s="664"/>
      <c r="AA86" s="664"/>
      <c r="AB86" s="664"/>
      <c r="AC86" s="664"/>
      <c r="AD86" s="664"/>
      <c r="AE86" s="664"/>
      <c r="AF86" s="664"/>
      <c r="AG86" s="664"/>
      <c r="AH86" s="66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4"/>
      <c r="C87" s="664"/>
      <c r="D87" s="664"/>
      <c r="E87" s="664"/>
      <c r="F87" s="664"/>
      <c r="G87" s="664"/>
      <c r="H87" s="664"/>
      <c r="I87" s="664"/>
      <c r="J87" s="664"/>
      <c r="K87" s="664"/>
      <c r="L87" s="664"/>
      <c r="M87" s="664"/>
      <c r="N87" s="664"/>
      <c r="O87" s="664"/>
      <c r="P87" s="664"/>
      <c r="Q87" s="664"/>
      <c r="R87" s="664"/>
      <c r="S87" s="664"/>
      <c r="T87" s="664"/>
      <c r="U87" s="664"/>
      <c r="V87" s="664"/>
      <c r="W87" s="664"/>
      <c r="X87" s="664"/>
      <c r="Y87" s="664"/>
      <c r="Z87" s="664"/>
      <c r="AA87" s="664"/>
      <c r="AB87" s="664"/>
      <c r="AC87" s="664"/>
      <c r="AD87" s="664"/>
      <c r="AE87" s="664"/>
      <c r="AF87" s="664"/>
      <c r="AG87" s="664"/>
      <c r="AH87" s="66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4"/>
      <c r="C88" s="664"/>
      <c r="D88" s="664"/>
      <c r="E88" s="664"/>
      <c r="F88" s="664"/>
      <c r="G88" s="664"/>
      <c r="H88" s="664"/>
      <c r="I88" s="664"/>
      <c r="J88" s="664"/>
      <c r="K88" s="664"/>
      <c r="L88" s="664"/>
      <c r="M88" s="664"/>
      <c r="N88" s="664"/>
      <c r="O88" s="664"/>
      <c r="P88" s="664"/>
      <c r="Q88" s="664"/>
      <c r="R88" s="664"/>
      <c r="S88" s="664"/>
      <c r="T88" s="664"/>
      <c r="U88" s="664"/>
      <c r="V88" s="664"/>
      <c r="W88" s="664"/>
      <c r="X88" s="664"/>
      <c r="Y88" s="664"/>
      <c r="Z88" s="664"/>
      <c r="AA88" s="664"/>
      <c r="AB88" s="664"/>
      <c r="AC88" s="664"/>
      <c r="AD88" s="664"/>
      <c r="AE88" s="664"/>
      <c r="AF88" s="664"/>
      <c r="AG88" s="664"/>
      <c r="AH88" s="66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4"/>
      <c r="C89" s="664"/>
      <c r="D89" s="664"/>
      <c r="E89" s="664"/>
      <c r="F89" s="664"/>
      <c r="G89" s="664"/>
      <c r="H89" s="664"/>
      <c r="I89" s="664"/>
      <c r="J89" s="664"/>
      <c r="K89" s="664"/>
      <c r="L89" s="664"/>
      <c r="M89" s="664"/>
      <c r="N89" s="664"/>
      <c r="O89" s="664"/>
      <c r="P89" s="664"/>
      <c r="Q89" s="664"/>
      <c r="R89" s="664"/>
      <c r="S89" s="664"/>
      <c r="T89" s="664"/>
      <c r="U89" s="664"/>
      <c r="V89" s="664"/>
      <c r="W89" s="664"/>
      <c r="X89" s="664"/>
      <c r="Y89" s="664"/>
      <c r="Z89" s="664"/>
      <c r="AA89" s="664"/>
      <c r="AB89" s="664"/>
      <c r="AC89" s="664"/>
      <c r="AD89" s="664"/>
      <c r="AE89" s="664"/>
      <c r="AF89" s="664"/>
      <c r="AG89" s="664"/>
      <c r="AH89" s="66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4"/>
      <c r="C90" s="664"/>
      <c r="D90" s="664"/>
      <c r="E90" s="664"/>
      <c r="F90" s="664"/>
      <c r="G90" s="664"/>
      <c r="H90" s="664"/>
      <c r="I90" s="664"/>
      <c r="J90" s="664"/>
      <c r="K90" s="664"/>
      <c r="L90" s="664"/>
      <c r="M90" s="664"/>
      <c r="N90" s="664"/>
      <c r="O90" s="664"/>
      <c r="P90" s="664"/>
      <c r="Q90" s="664"/>
      <c r="R90" s="664"/>
      <c r="S90" s="664"/>
      <c r="T90" s="664"/>
      <c r="U90" s="664"/>
      <c r="V90" s="664"/>
      <c r="W90" s="664"/>
      <c r="X90" s="664"/>
      <c r="Y90" s="664"/>
      <c r="Z90" s="664"/>
      <c r="AA90" s="664"/>
      <c r="AB90" s="664"/>
      <c r="AC90" s="664"/>
      <c r="AD90" s="664"/>
      <c r="AE90" s="664"/>
      <c r="AF90" s="664"/>
      <c r="AG90" s="664"/>
      <c r="AH90" s="66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4"/>
      <c r="C91" s="664"/>
      <c r="D91" s="664"/>
      <c r="E91" s="664"/>
      <c r="F91" s="664"/>
      <c r="G91" s="664"/>
      <c r="H91" s="664"/>
      <c r="I91" s="664"/>
      <c r="J91" s="664"/>
      <c r="K91" s="664"/>
      <c r="L91" s="664"/>
      <c r="M91" s="664"/>
      <c r="N91" s="664"/>
      <c r="O91" s="664"/>
      <c r="P91" s="664"/>
      <c r="Q91" s="664"/>
      <c r="R91" s="664"/>
      <c r="S91" s="664"/>
      <c r="T91" s="664"/>
      <c r="U91" s="664"/>
      <c r="V91" s="664"/>
      <c r="W91" s="664"/>
      <c r="X91" s="664"/>
      <c r="Y91" s="664"/>
      <c r="Z91" s="664"/>
      <c r="AA91" s="664"/>
      <c r="AB91" s="664"/>
      <c r="AC91" s="664"/>
      <c r="AD91" s="664"/>
      <c r="AE91" s="664"/>
      <c r="AF91" s="664"/>
      <c r="AG91" s="664"/>
      <c r="AH91" s="66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4"/>
      <c r="C92" s="664"/>
      <c r="D92" s="664"/>
      <c r="E92" s="664"/>
      <c r="F92" s="664"/>
      <c r="G92" s="664"/>
      <c r="H92" s="664"/>
      <c r="I92" s="664"/>
      <c r="J92" s="664"/>
      <c r="K92" s="664"/>
      <c r="L92" s="664"/>
      <c r="M92" s="664"/>
      <c r="N92" s="664"/>
      <c r="O92" s="664"/>
      <c r="P92" s="664"/>
      <c r="Q92" s="664"/>
      <c r="R92" s="664"/>
      <c r="S92" s="664"/>
      <c r="T92" s="664"/>
      <c r="U92" s="664"/>
      <c r="V92" s="664"/>
      <c r="W92" s="664"/>
      <c r="X92" s="664"/>
      <c r="Y92" s="664"/>
      <c r="Z92" s="664"/>
      <c r="AA92" s="664"/>
      <c r="AB92" s="664"/>
      <c r="AC92" s="664"/>
      <c r="AD92" s="664"/>
      <c r="AE92" s="664"/>
      <c r="AF92" s="664"/>
      <c r="AG92" s="664"/>
      <c r="AH92" s="66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4"/>
      <c r="C93" s="664"/>
      <c r="D93" s="664"/>
      <c r="E93" s="664"/>
      <c r="F93" s="664"/>
      <c r="G93" s="664"/>
      <c r="H93" s="664"/>
      <c r="I93" s="664"/>
      <c r="J93" s="664"/>
      <c r="K93" s="664"/>
      <c r="L93" s="664"/>
      <c r="M93" s="664"/>
      <c r="N93" s="664"/>
      <c r="O93" s="664"/>
      <c r="P93" s="664"/>
      <c r="Q93" s="664"/>
      <c r="R93" s="664"/>
      <c r="S93" s="664"/>
      <c r="T93" s="664"/>
      <c r="U93" s="664"/>
      <c r="V93" s="664"/>
      <c r="W93" s="664"/>
      <c r="X93" s="664"/>
      <c r="Y93" s="664"/>
      <c r="Z93" s="664"/>
      <c r="AA93" s="664"/>
      <c r="AB93" s="664"/>
      <c r="AC93" s="664"/>
      <c r="AD93" s="664"/>
      <c r="AE93" s="664"/>
      <c r="AF93" s="664"/>
      <c r="AG93" s="664"/>
      <c r="AH93" s="66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4"/>
      <c r="C94" s="664"/>
      <c r="D94" s="664"/>
      <c r="E94" s="664"/>
      <c r="F94" s="664"/>
      <c r="G94" s="664"/>
      <c r="H94" s="664"/>
      <c r="I94" s="664"/>
      <c r="J94" s="664"/>
      <c r="K94" s="664"/>
      <c r="L94" s="664"/>
      <c r="M94" s="664"/>
      <c r="N94" s="664"/>
      <c r="O94" s="664"/>
      <c r="P94" s="664"/>
      <c r="Q94" s="664"/>
      <c r="R94" s="664"/>
      <c r="S94" s="664"/>
      <c r="T94" s="664"/>
      <c r="U94" s="664"/>
      <c r="V94" s="664"/>
      <c r="W94" s="664"/>
      <c r="X94" s="664"/>
      <c r="Y94" s="664"/>
      <c r="Z94" s="664"/>
      <c r="AA94" s="664"/>
      <c r="AB94" s="664"/>
      <c r="AC94" s="664"/>
      <c r="AD94" s="664"/>
      <c r="AE94" s="664"/>
      <c r="AF94" s="664"/>
      <c r="AG94" s="664"/>
      <c r="AH94" s="66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4"/>
      <c r="C95" s="664"/>
      <c r="D95" s="664"/>
      <c r="E95" s="664"/>
      <c r="F95" s="664"/>
      <c r="G95" s="664"/>
      <c r="H95" s="664"/>
      <c r="I95" s="664"/>
      <c r="J95" s="664"/>
      <c r="K95" s="664"/>
      <c r="L95" s="664"/>
      <c r="M95" s="664"/>
      <c r="N95" s="664"/>
      <c r="O95" s="664"/>
      <c r="P95" s="664"/>
      <c r="Q95" s="664"/>
      <c r="R95" s="664"/>
      <c r="S95" s="664"/>
      <c r="T95" s="664"/>
      <c r="U95" s="664"/>
      <c r="V95" s="664"/>
      <c r="W95" s="664"/>
      <c r="X95" s="664"/>
      <c r="Y95" s="664"/>
      <c r="Z95" s="664"/>
      <c r="AA95" s="664"/>
      <c r="AB95" s="664"/>
      <c r="AC95" s="664"/>
      <c r="AD95" s="664"/>
      <c r="AE95" s="664"/>
      <c r="AF95" s="664"/>
      <c r="AG95" s="664"/>
      <c r="AH95" s="66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8:AH58"/>
  </mergeCells>
  <phoneticPr fontId="0" type="noConversion"/>
  <printOptions horizontalCentered="1" verticalCentered="1"/>
  <pageMargins left="0.25" right="0.25" top="0.25" bottom="0.25" header="0.19" footer="0.28"/>
  <pageSetup scale="55" orientation="landscape" r:id="rId1"/>
  <headerFooter alignWithMargins="0">
    <oddHeader/>
    <oddFooter/>
  </headerFooter>
  <drawing r:id="rId57"/>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J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4"/>
      <c r="B1" s="39" t="s">
        <v>129</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row>
    <row r="2" ht="17.1" customHeight="1">
      <c r="A2" s="5"/>
      <c r="B2" s="10" t="s">
        <v>141</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row>
    <row r="3" ht="17.1" customHeight="1">
      <c r="A3" s="5"/>
      <c r="B3" s="10" t="s">
        <v>142</v>
      </c>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row>
    <row r="4" ht="17.1" customHeight="1">
      <c r="A4" s="5"/>
      <c r="B4" s="4" t="s">
        <v>143</v>
      </c>
      <c r="R4" s="618" t="s">
        <v>156</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row>
    <row r="24" s="41" customFormat="1" ht="18">
      <c r="B24" s="417" t="s">
        <v>13</v>
      </c>
      <c r="C24" s="309" t="s">
        <v>145</v>
      </c>
      <c r="D24" s="310"/>
      <c r="E24" s="310"/>
      <c r="F24" s="310"/>
      <c r="G24" s="310"/>
      <c r="H24" s="310"/>
      <c r="I24" s="310"/>
      <c r="J24" s="310"/>
      <c r="K24" s="310"/>
      <c r="L24" s="310"/>
      <c r="M24" s="310"/>
      <c r="N24" s="310"/>
      <c r="O24" s="310"/>
      <c r="P24" s="310"/>
      <c r="Q24" s="310"/>
      <c r="R24" s="310"/>
      <c r="S24" s="311"/>
      <c r="T24" s="311"/>
      <c r="U24" s="311"/>
      <c r="V24" s="311"/>
      <c r="W24" s="311"/>
      <c r="X24" s="312"/>
      <c r="Y24" s="656" t="s">
        <v>148</v>
      </c>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row>
    <row r="25" s="42" customFormat="1">
      <c r="C25" s="313">
        <v>10</v>
      </c>
      <c r="D25" s="314">
        <v>11</v>
      </c>
      <c r="E25" s="314">
        <v>12</v>
      </c>
      <c r="F25" s="314">
        <v>13</v>
      </c>
      <c r="G25" s="314">
        <v>14</v>
      </c>
      <c r="H25" s="314">
        <v>15</v>
      </c>
      <c r="I25" s="314">
        <v>16</v>
      </c>
      <c r="J25" s="314">
        <v>17</v>
      </c>
      <c r="K25" s="314">
        <v>18</v>
      </c>
      <c r="L25" s="314">
        <v>19</v>
      </c>
      <c r="M25" s="314">
        <v>20</v>
      </c>
      <c r="N25" s="314">
        <v>21</v>
      </c>
      <c r="O25" s="314">
        <v>22</v>
      </c>
      <c r="P25" s="314">
        <v>23</v>
      </c>
      <c r="Q25" s="314">
        <v>24</v>
      </c>
      <c r="R25" s="314">
        <v>25</v>
      </c>
      <c r="S25" s="314">
        <v>26</v>
      </c>
      <c r="T25" s="314">
        <v>27</v>
      </c>
      <c r="U25" s="314">
        <v>28</v>
      </c>
      <c r="V25" s="314">
        <v>29</v>
      </c>
      <c r="W25" s="314">
        <v>30</v>
      </c>
      <c r="X25" s="315">
        <v>31</v>
      </c>
      <c r="Y25" s="674">
        <v>1</v>
      </c>
      <c r="Z25" s="314">
        <v>2</v>
      </c>
      <c r="AA25" s="314">
        <v>3</v>
      </c>
      <c r="AB25" s="314">
        <v>4</v>
      </c>
      <c r="AC25" s="314">
        <v>5</v>
      </c>
      <c r="AD25" s="373">
        <v>6</v>
      </c>
      <c r="AE25" s="25"/>
      <c r="AF25" s="319" t="s">
        <v>60</v>
      </c>
      <c r="AG25" s="320">
        <v>28</v>
      </c>
      <c r="AH25" s="321"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row>
    <row r="26" ht="14.25" customHeight="1">
      <c r="B26" s="46" t="s">
        <v>32</v>
      </c>
      <c r="C26" s="461">
        <v>21.403225806451612903225806452</v>
      </c>
      <c r="D26" s="462">
        <v>37.91935483870967741935483871</v>
      </c>
      <c r="E26" s="462">
        <v>40.650537634408602150537634409</v>
      </c>
      <c r="F26" s="462">
        <v>35.05376344086021505376344086</v>
      </c>
      <c r="G26" s="462">
        <v>37.752688172043010752688172043</v>
      </c>
      <c r="H26" s="462">
        <v>46.193548387096774193548387097</v>
      </c>
      <c r="I26" s="462">
        <v>52.10752688172043010752688172</v>
      </c>
      <c r="J26" s="462">
        <v>20.725806451612903225806451613</v>
      </c>
      <c r="K26" s="462">
        <v>27.075268817204301075268817204</v>
      </c>
      <c r="L26" s="462">
        <v>35.102150537634408602150537634</v>
      </c>
      <c r="M26" s="462">
        <v>32.215053763440860215053763441</v>
      </c>
      <c r="N26" s="462">
        <v>28.354838709677419354838709677</v>
      </c>
      <c r="O26" s="462">
        <v>39.91935483870967741935483871</v>
      </c>
      <c r="P26" s="462">
        <v>46.822580645161290322580645161</v>
      </c>
      <c r="Q26" s="462">
        <v>16.940860215053763440860215054</v>
      </c>
      <c r="R26" s="462">
        <v>26.440860215053763440860215054</v>
      </c>
      <c r="S26" s="462">
        <v>25.225806451612903225806451613</v>
      </c>
      <c r="T26" s="462">
        <v>28.741935483870967741935483871</v>
      </c>
      <c r="U26" s="462">
        <v>28.967741935483870967741935484</v>
      </c>
      <c r="V26" s="462">
        <v>70.005376344086021505376344086</v>
      </c>
      <c r="W26" s="462">
        <v>99.43548387096774193548387097</v>
      </c>
      <c r="X26" s="463">
        <v>77.381720430107526881720430108</v>
      </c>
      <c r="Y26" s="671">
        <v>11.763440860215053763440860215</v>
      </c>
      <c r="Z26" s="462">
        <v>22.725806451612903225806451613</v>
      </c>
      <c r="AA26" s="462">
        <v>24.44623655913978494623655914</v>
      </c>
      <c r="AB26" s="462">
        <v>15.467741935483870967741935484</v>
      </c>
      <c r="AC26" s="462">
        <v>30.021505376344086021505376344</v>
      </c>
      <c r="AD26" s="464">
        <v>35.193548387096774193548387097</v>
      </c>
      <c r="AE26" s="465"/>
      <c r="AF26" s="461">
        <v>31.000000000</v>
      </c>
      <c r="AG26" s="462">
        <v>36.216205837173579109062980031</v>
      </c>
      <c r="AH26" s="466">
        <v>39.859694762400277488727020465</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row>
    <row r="27" ht="14.25" customHeight="1">
      <c r="B27" s="47" t="s">
        <v>26</v>
      </c>
      <c r="C27" s="370">
        <v>48.449770114942528735632183908</v>
      </c>
      <c r="D27" s="85">
        <v>59.033659003831417624521072797</v>
      </c>
      <c r="E27" s="85">
        <v>69.826187739463601532567049808</v>
      </c>
      <c r="F27" s="85">
        <v>69.990153256704980842911877395</v>
      </c>
      <c r="G27" s="85">
        <v>58.67199233716475095785440613</v>
      </c>
      <c r="H27" s="85">
        <v>64.670900383141762452107279693</v>
      </c>
      <c r="I27" s="85">
        <v>64.719099616858237547892720307</v>
      </c>
      <c r="J27" s="85">
        <v>44.643965517241379310344827586</v>
      </c>
      <c r="K27" s="85">
        <v>56.331034482758620689655172414</v>
      </c>
      <c r="L27" s="85">
        <v>68.430747126436781609195402299</v>
      </c>
      <c r="M27" s="85">
        <v>68.201800766283524904214559387</v>
      </c>
      <c r="N27" s="85">
        <v>52.222892720306513409961685824</v>
      </c>
      <c r="O27" s="85">
        <v>55.020823754789272030651340996</v>
      </c>
      <c r="P27" s="85">
        <v>52.173160919540229885057471264</v>
      </c>
      <c r="Q27" s="85">
        <v>38.856743295019157088122605364</v>
      </c>
      <c r="R27" s="85">
        <v>53.375210727969348659003831418</v>
      </c>
      <c r="S27" s="85">
        <v>66.406091954022988505747126437</v>
      </c>
      <c r="T27" s="85">
        <v>57.109463601532567049808429119</v>
      </c>
      <c r="U27" s="85">
        <v>62.517758620689655172413793103</v>
      </c>
      <c r="V27" s="85">
        <v>62.238754789272030651340996169</v>
      </c>
      <c r="W27" s="85">
        <v>73.498448275862068965517241379</v>
      </c>
      <c r="X27" s="86">
        <v>56.849674329501915708812260536</v>
      </c>
      <c r="Y27" s="672">
        <v>34.779329501915708812260536398</v>
      </c>
      <c r="Z27" s="85">
        <v>36.048122605363984674329501916</v>
      </c>
      <c r="AA27" s="85">
        <v>42.207835249042145593869731801</v>
      </c>
      <c r="AB27" s="85">
        <v>53.511015325670498084291187739</v>
      </c>
      <c r="AC27" s="85">
        <v>54.553045977011494252873563218</v>
      </c>
      <c r="AD27" s="87">
        <v>56.68756704980842911877394636</v>
      </c>
      <c r="AE27" s="169"/>
      <c r="AF27" s="370">
        <v>47.805227148330596606458675424</v>
      </c>
      <c r="AG27" s="85">
        <v>56.465187465790914066776135742</v>
      </c>
      <c r="AH27" s="371">
        <v>55.423688666419478432826597454</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row>
    <row r="28" ht="14.25" customHeight="1">
      <c r="A28" s="24"/>
      <c r="B28" s="49" t="s">
        <v>147</v>
      </c>
      <c r="C28" s="467">
        <v>70.289795918367346938775510204</v>
      </c>
      <c r="D28" s="468">
        <v>108.70340136054421768707482993</v>
      </c>
      <c r="E28" s="468">
        <v>128.01768707482993197278911565</v>
      </c>
      <c r="F28" s="468">
        <v>122.07664399092970521541950113</v>
      </c>
      <c r="G28" s="468">
        <v>89.35419501133786848072562358</v>
      </c>
      <c r="H28" s="468">
        <v>81.76099773242630385487528345</v>
      </c>
      <c r="I28" s="468">
        <v>79.44126984126984126984126984</v>
      </c>
      <c r="J28" s="468">
        <v>57.915192743764172335600907029</v>
      </c>
      <c r="K28" s="468">
        <v>98.37052154195011337868480726</v>
      </c>
      <c r="L28" s="468">
        <v>120.38730158730158730158730159</v>
      </c>
      <c r="M28" s="468">
        <v>113.46757369614512471655328798</v>
      </c>
      <c r="N28" s="468">
        <v>80.8117913832199546485260771</v>
      </c>
      <c r="O28" s="468">
        <v>82.56235827664399092970521542</v>
      </c>
      <c r="P28" s="468">
        <v>80.64126984126984126984126984</v>
      </c>
      <c r="Q28" s="468">
        <v>59.757369614512471655328798186</v>
      </c>
      <c r="R28" s="468">
        <v>99.40725623582766439909297052</v>
      </c>
      <c r="S28" s="468">
        <v>115.25306122448979591836734694</v>
      </c>
      <c r="T28" s="468">
        <v>101.52879818594104308390022676</v>
      </c>
      <c r="U28" s="468">
        <v>77.970521541950113378684807256</v>
      </c>
      <c r="V28" s="468">
        <v>88.09705215419501133786848073</v>
      </c>
      <c r="W28" s="468">
        <v>104.95283446712018140589569161</v>
      </c>
      <c r="X28" s="469">
        <v>76.217687074829931972789115646</v>
      </c>
      <c r="Y28" s="673">
        <v>42.626757369614512471655328798</v>
      </c>
      <c r="Z28" s="468">
        <v>77.209977324263038548752834467</v>
      </c>
      <c r="AA28" s="468">
        <v>88.93015873015873015873015873</v>
      </c>
      <c r="AB28" s="468">
        <v>79.78775510204081632653061224</v>
      </c>
      <c r="AC28" s="468">
        <v>75.578684807256235827664399093</v>
      </c>
      <c r="AD28" s="470">
        <v>74.831746031746031746031746032</v>
      </c>
      <c r="AE28" s="465"/>
      <c r="AF28" s="467">
        <v>73.597538062844185293164885002</v>
      </c>
      <c r="AG28" s="468">
        <v>88.42677356656948493683187561</v>
      </c>
      <c r="AH28" s="471">
        <v>90.92995391705069124423963134</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row>
    <row r="29" ht="0" hidden="1" customHeight="1">
      <c r="A29" s="24"/>
      <c r="B29" s="53"/>
      <c r="C29" s="492"/>
      <c r="D29" s="492"/>
      <c r="E29" s="492"/>
      <c r="F29" s="492"/>
      <c r="G29" s="492"/>
      <c r="H29" s="492"/>
      <c r="I29" s="492"/>
      <c r="J29" s="492"/>
      <c r="K29" s="492"/>
      <c r="L29" s="492"/>
      <c r="M29" s="492"/>
      <c r="N29" s="492"/>
      <c r="O29" s="492"/>
      <c r="P29" s="492"/>
      <c r="Q29" s="492"/>
      <c r="R29" s="492"/>
      <c r="S29" s="492"/>
      <c r="T29" s="492"/>
      <c r="U29" s="492"/>
      <c r="V29" s="492"/>
      <c r="W29" s="492"/>
      <c r="X29" s="493"/>
      <c r="Y29" s="492"/>
      <c r="Z29" s="492"/>
      <c r="AA29" s="492"/>
      <c r="AB29" s="492"/>
      <c r="AC29" s="492"/>
      <c r="AD29" s="494"/>
      <c r="AE29" s="169"/>
      <c r="AF29" s="492"/>
      <c r="AG29" s="492"/>
      <c r="AH29" s="49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92"/>
      <c r="AG30" s="492"/>
      <c r="AH30" s="49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row>
    <row r="31" ht="12" customHeight="1">
      <c r="B31" s="4"/>
      <c r="X31" s="27"/>
      <c r="AD31" s="28"/>
      <c r="AF31" s="22"/>
      <c r="AG31" s="22"/>
      <c r="AH31" s="22"/>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row>
    <row r="32" ht="18">
      <c r="B32" s="29"/>
      <c r="X32" s="27"/>
      <c r="AD32" s="28"/>
      <c r="AF32" s="22"/>
      <c r="AG32" s="22"/>
      <c r="AH32" s="2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row>
    <row r="33" s="41" customFormat="1" ht="18">
      <c r="B33" s="417" t="s">
        <v>79</v>
      </c>
      <c r="C33" s="309" t="s">
        <v>145</v>
      </c>
      <c r="D33" s="310"/>
      <c r="E33" s="310"/>
      <c r="F33" s="310"/>
      <c r="G33" s="310"/>
      <c r="H33" s="310"/>
      <c r="I33" s="310"/>
      <c r="J33" s="310"/>
      <c r="K33" s="310"/>
      <c r="L33" s="310"/>
      <c r="M33" s="310"/>
      <c r="N33" s="310"/>
      <c r="O33" s="310"/>
      <c r="P33" s="310"/>
      <c r="Q33" s="310"/>
      <c r="R33" s="310"/>
      <c r="S33" s="311"/>
      <c r="T33" s="311"/>
      <c r="U33" s="311"/>
      <c r="V33" s="311"/>
      <c r="W33" s="311"/>
      <c r="X33" s="312"/>
      <c r="Y33" s="656" t="s">
        <v>148</v>
      </c>
      <c r="Z33" s="311"/>
      <c r="AA33" s="311"/>
      <c r="AB33" s="311"/>
      <c r="AC33" s="311"/>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row>
    <row r="34" s="42" customFormat="1">
      <c r="C34" s="313">
        <v>10</v>
      </c>
      <c r="D34" s="314">
        <v>11</v>
      </c>
      <c r="E34" s="314">
        <v>12</v>
      </c>
      <c r="F34" s="314">
        <v>13</v>
      </c>
      <c r="G34" s="314">
        <v>14</v>
      </c>
      <c r="H34" s="314">
        <v>15</v>
      </c>
      <c r="I34" s="314">
        <v>16</v>
      </c>
      <c r="J34" s="314">
        <v>17</v>
      </c>
      <c r="K34" s="314">
        <v>18</v>
      </c>
      <c r="L34" s="314">
        <v>19</v>
      </c>
      <c r="M34" s="314">
        <v>20</v>
      </c>
      <c r="N34" s="314">
        <v>21</v>
      </c>
      <c r="O34" s="314">
        <v>22</v>
      </c>
      <c r="P34" s="314">
        <v>23</v>
      </c>
      <c r="Q34" s="314">
        <v>24</v>
      </c>
      <c r="R34" s="314">
        <v>25</v>
      </c>
      <c r="S34" s="314">
        <v>26</v>
      </c>
      <c r="T34" s="314">
        <v>27</v>
      </c>
      <c r="U34" s="314">
        <v>28</v>
      </c>
      <c r="V34" s="314">
        <v>29</v>
      </c>
      <c r="W34" s="314">
        <v>30</v>
      </c>
      <c r="X34" s="315">
        <v>31</v>
      </c>
      <c r="Y34" s="674">
        <v>1</v>
      </c>
      <c r="Z34" s="314">
        <v>2</v>
      </c>
      <c r="AA34" s="314">
        <v>3</v>
      </c>
      <c r="AB34" s="314">
        <v>4</v>
      </c>
      <c r="AC34" s="314">
        <v>5</v>
      </c>
      <c r="AD34" s="373">
        <v>6</v>
      </c>
      <c r="AE34" s="25"/>
      <c r="AF34" s="319" t="s">
        <v>60</v>
      </c>
      <c r="AG34" s="320">
        <v>28</v>
      </c>
      <c r="AH34" s="321"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row>
    <row r="35" ht="14.25" customHeight="1">
      <c r="B35" s="46" t="s">
        <v>32</v>
      </c>
      <c r="C35" s="444">
        <v>12.267343485807558956828777600</v>
      </c>
      <c r="D35" s="445">
        <v>60.587431694032947385708752170</v>
      </c>
      <c r="E35" s="445">
        <v>-2.7899202880492628396342213100</v>
      </c>
      <c r="F35" s="445">
        <v>-30.319546863306422114792987480</v>
      </c>
      <c r="G35" s="445">
        <v>10.582677165472749953500033810</v>
      </c>
      <c r="H35" s="445">
        <v>32.225300092214011726599987060</v>
      </c>
      <c r="I35" s="445">
        <v>2.0855277016826850472989570300</v>
      </c>
      <c r="J35" s="445">
        <v>-43.771878646496842360735679910</v>
      </c>
      <c r="K35" s="445">
        <v>-45.843639100963457733268362730</v>
      </c>
      <c r="L35" s="445">
        <v>2.9973181889595527413251100800</v>
      </c>
      <c r="M35" s="445">
        <v>10.737386804513923173603474870</v>
      </c>
      <c r="N35" s="445">
        <v>-11.835506519611733897781577690</v>
      </c>
      <c r="O35" s="445">
        <v>-21.726755218216318785578747630</v>
      </c>
      <c r="P35" s="445">
        <v>-3.1041388518800233867675193400</v>
      </c>
      <c r="Q35" s="445">
        <v>-49.968243887002257215237914360</v>
      </c>
      <c r="R35" s="445">
        <v>-23.680943513296005580812514470</v>
      </c>
      <c r="S35" s="445">
        <v>-41.959426026722317692922972670</v>
      </c>
      <c r="T35" s="445">
        <v>-20.005985335967676140933369730</v>
      </c>
      <c r="U35" s="445">
        <v>-18.400726942298955020445252160</v>
      </c>
      <c r="V35" s="445">
        <v>34.154131465136730785569712440</v>
      </c>
      <c r="W35" s="445">
        <v>60.840073049729711407430380570</v>
      </c>
      <c r="X35" s="446">
        <v>84.92869073624372718626959318</v>
      </c>
      <c r="Y35" s="658">
        <v>-59.079857864284152073515191090</v>
      </c>
      <c r="Z35" s="445">
        <v>-40.363995485295341871168753150</v>
      </c>
      <c r="AA35" s="445">
        <v>-46.537330981760339752422836540</v>
      </c>
      <c r="AB35" s="445">
        <v>-71.893317702219194993464894250</v>
      </c>
      <c r="AC35" s="445">
        <v>-60.747926332046522833220157660</v>
      </c>
      <c r="AD35" s="447">
        <v>-56.925709021533844238183529890</v>
      </c>
      <c r="AE35" s="448"/>
      <c r="AF35" s="444">
        <v>-40.975695358440085841110796160</v>
      </c>
      <c r="AG35" s="445">
        <v>-15.599507774999263563018145910</v>
      </c>
      <c r="AH35" s="449">
        <v>8.876656260456819988133932520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row>
    <row r="36" ht="14.25" customHeight="1">
      <c r="B36" s="47" t="s">
        <v>26</v>
      </c>
      <c r="C36" s="327">
        <v>167.54180145567468984314813986</v>
      </c>
      <c r="D36" s="81">
        <v>24.724197260820781874179854930</v>
      </c>
      <c r="E36" s="81">
        <v>43.865030190676737985871214060</v>
      </c>
      <c r="F36" s="81">
        <v>44.764868619387905963582364060</v>
      </c>
      <c r="G36" s="81">
        <v>29.883131059608177655082390830</v>
      </c>
      <c r="H36" s="81">
        <v>22.434434624616838009182689450</v>
      </c>
      <c r="I36" s="81">
        <v>27.618245699953487429806567750</v>
      </c>
      <c r="J36" s="81">
        <v>114.03871482084822596538066242</v>
      </c>
      <c r="K36" s="81">
        <v>63.127995739315035240804294490</v>
      </c>
      <c r="L36" s="81">
        <v>33.088808958121056209039304580</v>
      </c>
      <c r="M36" s="81">
        <v>42.421766987658382543764254410</v>
      </c>
      <c r="N36" s="81">
        <v>38.158869239628650754872352710</v>
      </c>
      <c r="O36" s="81">
        <v>131.91561175991863915315378929</v>
      </c>
      <c r="P36" s="81">
        <v>50.495510729143408446321469250</v>
      </c>
      <c r="Q36" s="81">
        <v>88.03358110052716480525747006</v>
      </c>
      <c r="R36" s="81">
        <v>85.28918079192133170985366872</v>
      </c>
      <c r="S36" s="81">
        <v>-8.398008030741520891359001050</v>
      </c>
      <c r="T36" s="81">
        <v>65.551959447310146969781604970</v>
      </c>
      <c r="U36" s="81">
        <v>137.62546883559837834599147681</v>
      </c>
      <c r="V36" s="81">
        <v>117.34723504468302080488016087</v>
      </c>
      <c r="W36" s="81">
        <v>145.90826845304811296568577975</v>
      </c>
      <c r="X36" s="82">
        <v>184.23149199900002122977553053</v>
      </c>
      <c r="Y36" s="659">
        <v>97.05558642976763974731217178</v>
      </c>
      <c r="Z36" s="81">
        <v>57.314575311053777262584254250</v>
      </c>
      <c r="AA36" s="81">
        <v>23.621700871543845247425712490</v>
      </c>
      <c r="AB36" s="81">
        <v>54.881560262960858296909919450</v>
      </c>
      <c r="AC36" s="81">
        <v>44.29960444726914042597960600</v>
      </c>
      <c r="AD36" s="83">
        <v>44.001703246052812162672828420</v>
      </c>
      <c r="AE36" s="88"/>
      <c r="AF36" s="327">
        <v>62.107321024044472807818311800</v>
      </c>
      <c r="AG36" s="81">
        <v>56.592867136279527292831373330</v>
      </c>
      <c r="AH36" s="328">
        <v>43.773324148158906195585419650</v>
      </c>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row>
    <row r="37" ht="14.25" customHeight="1">
      <c r="A37" s="24"/>
      <c r="B37" s="49" t="s">
        <v>147</v>
      </c>
      <c r="C37" s="450">
        <v>36.522911051250818946304057230</v>
      </c>
      <c r="D37" s="451">
        <v>28.264115201301903129813995820</v>
      </c>
      <c r="E37" s="451">
        <v>26.286332950063448822607398390</v>
      </c>
      <c r="F37" s="451">
        <v>27.692811263592703973064575730</v>
      </c>
      <c r="G37" s="451">
        <v>23.340135969289408401462665510</v>
      </c>
      <c r="H37" s="451">
        <v>19.566125705478727602777860900</v>
      </c>
      <c r="I37" s="451">
        <v>3.8112565708602677640403243100</v>
      </c>
      <c r="J37" s="451">
        <v>11.661682667854020131192073950</v>
      </c>
      <c r="K37" s="451">
        <v>8.818040435484718090205616440</v>
      </c>
      <c r="L37" s="451">
        <v>10.917789616616201676847389590</v>
      </c>
      <c r="M37" s="451">
        <v>16.957741211635382453243771940</v>
      </c>
      <c r="N37" s="451">
        <v>19.303954257500555893599488890</v>
      </c>
      <c r="O37" s="451">
        <v>41.483772693304332484759606840</v>
      </c>
      <c r="P37" s="451">
        <v>27.764724479647209298414948270</v>
      </c>
      <c r="Q37" s="451">
        <v>39.433862434001867724867864300</v>
      </c>
      <c r="R37" s="451">
        <v>31.239147876195873305684128800</v>
      </c>
      <c r="S37" s="451">
        <v>16.262249183406124123213872400</v>
      </c>
      <c r="T37" s="451">
        <v>22.117005318366278126510953230</v>
      </c>
      <c r="U37" s="451">
        <v>34.914033256627170701241795630</v>
      </c>
      <c r="V37" s="451">
        <v>51.820242282020432475867400680</v>
      </c>
      <c r="W37" s="451">
        <v>53.598688489727731917291869720</v>
      </c>
      <c r="X37" s="452">
        <v>51.652694935048391310713390970</v>
      </c>
      <c r="Y37" s="660">
        <v>10.792588052338613931772750450</v>
      </c>
      <c r="Z37" s="451">
        <v>20.380413646743295159571344490</v>
      </c>
      <c r="AA37" s="451">
        <v>12.245704014974238085067162590</v>
      </c>
      <c r="AB37" s="451">
        <v>10.224104552829978756881426390</v>
      </c>
      <c r="AC37" s="451">
        <v>0.7399034015539489412208209500</v>
      </c>
      <c r="AD37" s="453">
        <v>6.8401968402435360870675760100</v>
      </c>
      <c r="AE37" s="448"/>
      <c r="AF37" s="450">
        <v>14.599629965126023390468332150</v>
      </c>
      <c r="AG37" s="451">
        <v>22.440805550549980220556729440</v>
      </c>
      <c r="AH37" s="454">
        <v>20.450923771008658601515092730</v>
      </c>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row>
    <row r="39" ht="18">
      <c r="B39" s="29"/>
      <c r="X39" s="27"/>
      <c r="AD39" s="28"/>
      <c r="AF39" s="43"/>
      <c r="AG39" s="43"/>
      <c r="AH39" s="43"/>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row>
    <row r="40" s="41" customFormat="1" ht="18">
      <c r="B40" s="417" t="s">
        <v>93</v>
      </c>
      <c r="C40" s="309" t="s">
        <v>145</v>
      </c>
      <c r="D40" s="310"/>
      <c r="E40" s="310"/>
      <c r="F40" s="310"/>
      <c r="G40" s="310"/>
      <c r="H40" s="310"/>
      <c r="I40" s="310"/>
      <c r="J40" s="310"/>
      <c r="K40" s="310"/>
      <c r="L40" s="310"/>
      <c r="M40" s="310"/>
      <c r="N40" s="310"/>
      <c r="O40" s="310"/>
      <c r="P40" s="310"/>
      <c r="Q40" s="310"/>
      <c r="R40" s="310"/>
      <c r="S40" s="311"/>
      <c r="T40" s="311"/>
      <c r="U40" s="311"/>
      <c r="V40" s="311"/>
      <c r="W40" s="311"/>
      <c r="X40" s="312"/>
      <c r="Y40" s="656" t="s">
        <v>148</v>
      </c>
      <c r="Z40" s="311"/>
      <c r="AA40" s="311"/>
      <c r="AB40" s="311"/>
      <c r="AC40" s="311"/>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row>
    <row r="41" s="42" customFormat="1">
      <c r="C41" s="313">
        <v>10</v>
      </c>
      <c r="D41" s="314">
        <v>11</v>
      </c>
      <c r="E41" s="314">
        <v>12</v>
      </c>
      <c r="F41" s="314">
        <v>13</v>
      </c>
      <c r="G41" s="314">
        <v>14</v>
      </c>
      <c r="H41" s="314">
        <v>15</v>
      </c>
      <c r="I41" s="314">
        <v>16</v>
      </c>
      <c r="J41" s="314">
        <v>17</v>
      </c>
      <c r="K41" s="314">
        <v>18</v>
      </c>
      <c r="L41" s="314">
        <v>19</v>
      </c>
      <c r="M41" s="314">
        <v>20</v>
      </c>
      <c r="N41" s="314">
        <v>21</v>
      </c>
      <c r="O41" s="314">
        <v>22</v>
      </c>
      <c r="P41" s="314">
        <v>23</v>
      </c>
      <c r="Q41" s="314">
        <v>24</v>
      </c>
      <c r="R41" s="314">
        <v>25</v>
      </c>
      <c r="S41" s="314">
        <v>26</v>
      </c>
      <c r="T41" s="314">
        <v>27</v>
      </c>
      <c r="U41" s="314">
        <v>28</v>
      </c>
      <c r="V41" s="314">
        <v>29</v>
      </c>
      <c r="W41" s="314">
        <v>30</v>
      </c>
      <c r="X41" s="315">
        <v>31</v>
      </c>
      <c r="Y41" s="674">
        <v>1</v>
      </c>
      <c r="Z41" s="314">
        <v>2</v>
      </c>
      <c r="AA41" s="314">
        <v>3</v>
      </c>
      <c r="AB41" s="314">
        <v>4</v>
      </c>
      <c r="AC41" s="314">
        <v>5</v>
      </c>
      <c r="AD41" s="373">
        <v>6</v>
      </c>
      <c r="AE41" s="25"/>
      <c r="AF41" s="319" t="s">
        <v>60</v>
      </c>
      <c r="AG41" s="320">
        <v>28</v>
      </c>
      <c r="AH41" s="321"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row>
    <row r="42" ht="14.25" customHeight="1">
      <c r="A42" s="1"/>
      <c r="B42" s="46" t="s">
        <v>26</v>
      </c>
      <c r="C42" s="444">
        <v>44.176114263686406796668229890</v>
      </c>
      <c r="D42" s="445">
        <v>64.233448304921784339621928070</v>
      </c>
      <c r="E42" s="445">
        <v>58.216750692538503898566590900</v>
      </c>
      <c r="F42" s="445">
        <v>50.083850098591685962850492690</v>
      </c>
      <c r="G42" s="445">
        <v>64.345331849429199125219598120</v>
      </c>
      <c r="H42" s="445">
        <v>71.428645825948969373146013780</v>
      </c>
      <c r="I42" s="445">
        <v>80.51336806316395493371816523</v>
      </c>
      <c r="J42" s="445">
        <v>46.424653839560607055397055170</v>
      </c>
      <c r="K42" s="445">
        <v>48.064568786627568337252458870</v>
      </c>
      <c r="L42" s="445">
        <v>51.295875044000940902389021610</v>
      </c>
      <c r="M42" s="445">
        <v>47.234902013553610146935196560</v>
      </c>
      <c r="N42" s="445">
        <v>54.295802535379989473766878900</v>
      </c>
      <c r="O42" s="445">
        <v>72.553175533340002009247487160</v>
      </c>
      <c r="P42" s="445">
        <v>89.74457330159786912348847294</v>
      </c>
      <c r="Q42" s="445">
        <v>43.598250338271853981581126880</v>
      </c>
      <c r="R42" s="445">
        <v>49.537715831786314630810528970</v>
      </c>
      <c r="S42" s="445">
        <v>37.987187183198507344895051180</v>
      </c>
      <c r="T42" s="445">
        <v>50.327798006346623735125196510</v>
      </c>
      <c r="U42" s="445">
        <v>46.335221502794695708530141500</v>
      </c>
      <c r="V42" s="445">
        <v>112.47875472618107112431773570</v>
      </c>
      <c r="W42" s="445">
        <v>135.28922882521922042041492064</v>
      </c>
      <c r="X42" s="446">
        <v>136.11638297451634459801664765</v>
      </c>
      <c r="Y42" s="658">
        <v>33.823081205669635524552413060</v>
      </c>
      <c r="Z42" s="445">
        <v>63.042968146720026262570384720</v>
      </c>
      <c r="AA42" s="445">
        <v>57.918716785455070487395133220</v>
      </c>
      <c r="AB42" s="445">
        <v>28.905715657492116476000524610</v>
      </c>
      <c r="AC42" s="445">
        <v>55.031767408553855132988839930</v>
      </c>
      <c r="AD42" s="447">
        <v>62.083363634532522984363027350</v>
      </c>
      <c r="AE42" s="448"/>
      <c r="AF42" s="444">
        <v>64.846465228232661810247156730</v>
      </c>
      <c r="AG42" s="445">
        <v>64.138998669063335092764264060</v>
      </c>
      <c r="AH42" s="449">
        <v>71.918155794933183210926504110</v>
      </c>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row>
    <row r="43" ht="14.25" customHeight="1">
      <c r="A43" s="24"/>
      <c r="B43" s="48" t="s">
        <v>147</v>
      </c>
      <c r="C43" s="329">
        <v>30.449975742280989276063759950</v>
      </c>
      <c r="D43" s="330">
        <v>34.883319531976106714987669980</v>
      </c>
      <c r="E43" s="330">
        <v>31.753844771978051955506782080</v>
      </c>
      <c r="F43" s="330">
        <v>28.714553656531743645007008490</v>
      </c>
      <c r="G43" s="330">
        <v>42.250605209155196758309595660</v>
      </c>
      <c r="H43" s="330">
        <v>56.498268940266778394390790190</v>
      </c>
      <c r="I43" s="330">
        <v>65.592515056488587735536290470</v>
      </c>
      <c r="J43" s="330">
        <v>35.786475827332310358409460450</v>
      </c>
      <c r="K43" s="330">
        <v>27.523762599595775024369055210</v>
      </c>
      <c r="L43" s="330">
        <v>29.157685299707253040725483600</v>
      </c>
      <c r="M43" s="330">
        <v>28.391418547225114004879389510</v>
      </c>
      <c r="N43" s="330">
        <v>35.087501742440175193998556890</v>
      </c>
      <c r="O43" s="330">
        <v>48.350550628619466489309080050</v>
      </c>
      <c r="P43" s="330">
        <v>58.062801760571177409045149850</v>
      </c>
      <c r="Q43" s="330">
        <v>28.349407486207524360911836420</v>
      </c>
      <c r="R43" s="330">
        <v>26.598521291377814750053384310</v>
      </c>
      <c r="S43" s="330">
        <v>21.887320114192775816551778960</v>
      </c>
      <c r="T43" s="330">
        <v>28.309145776791591428946017270</v>
      </c>
      <c r="U43" s="330">
        <v>37.152171567660938255138310720</v>
      </c>
      <c r="V43" s="330">
        <v>79.46392601372478115636915018</v>
      </c>
      <c r="W43" s="330">
        <v>94.74301897214428751547376413</v>
      </c>
      <c r="X43" s="331">
        <v>101.52724833300851169706850768</v>
      </c>
      <c r="Y43" s="661">
        <v>27.596377454233364955711604660</v>
      </c>
      <c r="Z43" s="330">
        <v>29.433769104942473973898487910</v>
      </c>
      <c r="AA43" s="330">
        <v>27.489253261433829490381357700</v>
      </c>
      <c r="AB43" s="330">
        <v>19.386109955982642715839842740</v>
      </c>
      <c r="AC43" s="330">
        <v>39.722185498317068465483842800</v>
      </c>
      <c r="AD43" s="338">
        <v>47.030238172163173491866220920</v>
      </c>
      <c r="AE43" s="88"/>
      <c r="AF43" s="329">
        <v>42.120974173820907186923114580</v>
      </c>
      <c r="AG43" s="330">
        <v>40.956154314390743133558689780</v>
      </c>
      <c r="AH43" s="332">
        <v>43.835604270447550681624715200</v>
      </c>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row>
    <row r="44" ht="12" customHeight="1">
      <c r="B44" s="4"/>
      <c r="X44" s="27"/>
      <c r="AD44" s="28"/>
      <c r="AF44" s="43"/>
      <c r="AG44" s="43"/>
      <c r="AH44" s="43"/>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row>
    <row r="45" ht="18">
      <c r="B45" s="29"/>
      <c r="X45" s="27"/>
      <c r="AD45" s="28"/>
      <c r="AF45" s="43"/>
      <c r="AG45" s="43"/>
      <c r="AH45" s="43"/>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row>
    <row r="46" s="41" customFormat="1" ht="18">
      <c r="B46" s="417" t="s">
        <v>77</v>
      </c>
      <c r="C46" s="309" t="s">
        <v>145</v>
      </c>
      <c r="D46" s="310"/>
      <c r="E46" s="310"/>
      <c r="F46" s="310"/>
      <c r="G46" s="310"/>
      <c r="H46" s="310"/>
      <c r="I46" s="310"/>
      <c r="J46" s="310"/>
      <c r="K46" s="310"/>
      <c r="L46" s="310"/>
      <c r="M46" s="310"/>
      <c r="N46" s="310"/>
      <c r="O46" s="310"/>
      <c r="P46" s="310"/>
      <c r="Q46" s="310"/>
      <c r="R46" s="310"/>
      <c r="S46" s="311"/>
      <c r="T46" s="311"/>
      <c r="U46" s="311"/>
      <c r="V46" s="311"/>
      <c r="W46" s="311"/>
      <c r="X46" s="312"/>
      <c r="Y46" s="656" t="s">
        <v>148</v>
      </c>
      <c r="Z46" s="311"/>
      <c r="AA46" s="311"/>
      <c r="AB46" s="311"/>
      <c r="AC46" s="311"/>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row>
    <row r="47" s="42" customFormat="1">
      <c r="C47" s="313">
        <v>10</v>
      </c>
      <c r="D47" s="314">
        <v>11</v>
      </c>
      <c r="E47" s="314">
        <v>12</v>
      </c>
      <c r="F47" s="314">
        <v>13</v>
      </c>
      <c r="G47" s="314">
        <v>14</v>
      </c>
      <c r="H47" s="314">
        <v>15</v>
      </c>
      <c r="I47" s="314">
        <v>16</v>
      </c>
      <c r="J47" s="314">
        <v>17</v>
      </c>
      <c r="K47" s="314">
        <v>18</v>
      </c>
      <c r="L47" s="314">
        <v>19</v>
      </c>
      <c r="M47" s="314">
        <v>20</v>
      </c>
      <c r="N47" s="314">
        <v>21</v>
      </c>
      <c r="O47" s="314">
        <v>22</v>
      </c>
      <c r="P47" s="314">
        <v>23</v>
      </c>
      <c r="Q47" s="314">
        <v>24</v>
      </c>
      <c r="R47" s="314">
        <v>25</v>
      </c>
      <c r="S47" s="314">
        <v>26</v>
      </c>
      <c r="T47" s="314">
        <v>27</v>
      </c>
      <c r="U47" s="314">
        <v>28</v>
      </c>
      <c r="V47" s="314">
        <v>29</v>
      </c>
      <c r="W47" s="314">
        <v>30</v>
      </c>
      <c r="X47" s="315">
        <v>31</v>
      </c>
      <c r="Y47" s="674">
        <v>1</v>
      </c>
      <c r="Z47" s="314">
        <v>2</v>
      </c>
      <c r="AA47" s="314">
        <v>3</v>
      </c>
      <c r="AB47" s="314">
        <v>4</v>
      </c>
      <c r="AC47" s="314">
        <v>5</v>
      </c>
      <c r="AD47" s="373">
        <v>6</v>
      </c>
      <c r="AE47" s="25"/>
      <c r="AF47" s="319" t="s">
        <v>60</v>
      </c>
      <c r="AG47" s="320">
        <v>28</v>
      </c>
      <c r="AH47" s="321"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row>
    <row r="48" ht="14.25" customHeight="1">
      <c r="A48" s="1"/>
      <c r="B48" s="46" t="s">
        <v>26</v>
      </c>
      <c r="C48" s="444">
        <v>-58.037456997424772007534240710</v>
      </c>
      <c r="D48" s="445">
        <v>28.754031070842670158955660440</v>
      </c>
      <c r="E48" s="445">
        <v>-32.429667179626596661744146900</v>
      </c>
      <c r="F48" s="445">
        <v>-51.866461938440989565240702770</v>
      </c>
      <c r="G48" s="445">
        <v>-14.859861890375507143532935780</v>
      </c>
      <c r="H48" s="445">
        <v>7.996823359268373945140989110</v>
      </c>
      <c r="I48" s="445">
        <v>-20.007106239639896493376578220</v>
      </c>
      <c r="J48" s="445">
        <v>-73.729929465946737902764805040</v>
      </c>
      <c r="K48" s="445">
        <v>-66.801307983013581845767418300</v>
      </c>
      <c r="L48" s="445">
        <v>-22.610083450832513783042569010</v>
      </c>
      <c r="M48" s="445">
        <v>-22.246866369701932626808603210</v>
      </c>
      <c r="N48" s="445">
        <v>-36.186150070825908577050756450</v>
      </c>
      <c r="O48" s="445">
        <v>-66.249255844489009786557537310</v>
      </c>
      <c r="P48" s="445">
        <v>-35.615447478257058730065770950</v>
      </c>
      <c r="Q48" s="445">
        <v>-73.392116546292296833842700680</v>
      </c>
      <c r="R48" s="445">
        <v>-58.810840352118451790171515860</v>
      </c>
      <c r="S48" s="445">
        <v>-36.638305864811848880522660930</v>
      </c>
      <c r="T48" s="445">
        <v>-51.680418080722488342645814550</v>
      </c>
      <c r="U48" s="445">
        <v>-65.660552525143965014447456650</v>
      </c>
      <c r="V48" s="445">
        <v>-38.276587030243639377774517190</v>
      </c>
      <c r="W48" s="445">
        <v>-34.593466880324739868362700480</v>
      </c>
      <c r="X48" s="446">
        <v>-34.937297258782471416292058470</v>
      </c>
      <c r="Y48" s="658">
        <v>-79.23421361597273429462664827</v>
      </c>
      <c r="Z48" s="445">
        <v>-62.091240181202225671996130120</v>
      </c>
      <c r="AA48" s="445">
        <v>-56.753006437080339593314227020</v>
      </c>
      <c r="AB48" s="445">
        <v>-81.85278980270827521196276576</v>
      </c>
      <c r="AC48" s="445">
        <v>-72.798211181314220172734397330</v>
      </c>
      <c r="AD48" s="447">
        <v>-70.087651737776090599848813510</v>
      </c>
      <c r="AE48" s="448"/>
      <c r="AF48" s="444">
        <v>-63.589365200317998534740298080</v>
      </c>
      <c r="AG48" s="445">
        <v>-46.101956130840524298918332310</v>
      </c>
      <c r="AH48" s="449">
        <v>-24.272004625587871753555284920</v>
      </c>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row>
    <row r="49" ht="14.25" customHeight="1">
      <c r="A49" s="24"/>
      <c r="B49" s="48" t="s">
        <v>147</v>
      </c>
      <c r="C49" s="329">
        <v>-17.766664495251567382938552030</v>
      </c>
      <c r="D49" s="330">
        <v>25.200592107915127617996327970</v>
      </c>
      <c r="E49" s="330">
        <v>-23.024069635177720257039572840</v>
      </c>
      <c r="F49" s="330">
        <v>-45.431185634379449354535534430</v>
      </c>
      <c r="G49" s="330">
        <v>-10.343315015447613961031532850</v>
      </c>
      <c r="H49" s="330">
        <v>10.587592691717329716836749500</v>
      </c>
      <c r="I49" s="330">
        <v>-1.6623716215745784308553568900</v>
      </c>
      <c r="J49" s="330">
        <v>-49.644210968248462854158416770</v>
      </c>
      <c r="K49" s="330">
        <v>-50.232185139296683466558105250</v>
      </c>
      <c r="L49" s="330">
        <v>-7.1408486006546250864139128700</v>
      </c>
      <c r="M49" s="330">
        <v>-5.3184631836451683901055960500</v>
      </c>
      <c r="N49" s="330">
        <v>-26.100946084139640222791510070</v>
      </c>
      <c r="O49" s="330">
        <v>-44.676874745546807489129868720</v>
      </c>
      <c r="P49" s="330">
        <v>-24.160709035438540760372424860</v>
      </c>
      <c r="Q49" s="330">
        <v>-64.117930006623316556155719830</v>
      </c>
      <c r="R49" s="330">
        <v>-41.847339211114811890295510150</v>
      </c>
      <c r="S49" s="330">
        <v>-50.077884798401236780570088410</v>
      </c>
      <c r="T49" s="330">
        <v>-34.493959743368411067122092080</v>
      </c>
      <c r="U49" s="330">
        <v>-39.517579388886395924227294070</v>
      </c>
      <c r="V49" s="330">
        <v>-11.63620249276623822284983600</v>
      </c>
      <c r="W49" s="330">
        <v>4.7144833275509975079849668500</v>
      </c>
      <c r="X49" s="331">
        <v>21.942238359525291584133662870</v>
      </c>
      <c r="Y49" s="661">
        <v>-63.065993082085831968058715280</v>
      </c>
      <c r="Z49" s="330">
        <v>-50.460375813622537626762486020</v>
      </c>
      <c r="AA49" s="330">
        <v>-52.36996418937794362416313500</v>
      </c>
      <c r="AB49" s="330">
        <v>-74.500421290061405251197777800</v>
      </c>
      <c r="AC49" s="330">
        <v>-61.036220660781591200193939340</v>
      </c>
      <c r="AD49" s="338">
        <v>-59.683441015255242540392566270</v>
      </c>
      <c r="AE49" s="88"/>
      <c r="AF49" s="329">
        <v>-48.495204862720989435044270490</v>
      </c>
      <c r="AG49" s="330">
        <v>-31.068329838648981108612737410</v>
      </c>
      <c r="AH49" s="332">
        <v>-9.609114773200913441182531430</v>
      </c>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row>
    <row r="51" ht="18">
      <c r="B51" s="29"/>
      <c r="X51" s="27"/>
      <c r="AD51" s="28"/>
      <c r="AF51" s="43"/>
      <c r="AG51" s="43"/>
      <c r="AH51" s="43"/>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row>
    <row r="52" ht="18">
      <c r="B52" s="417" t="s">
        <v>55</v>
      </c>
      <c r="C52" s="309" t="s">
        <v>145</v>
      </c>
      <c r="D52" s="310"/>
      <c r="E52" s="310"/>
      <c r="F52" s="310"/>
      <c r="G52" s="310"/>
      <c r="H52" s="310"/>
      <c r="I52" s="310"/>
      <c r="J52" s="310"/>
      <c r="K52" s="310"/>
      <c r="L52" s="310"/>
      <c r="M52" s="310"/>
      <c r="N52" s="310"/>
      <c r="O52" s="310"/>
      <c r="P52" s="310"/>
      <c r="Q52" s="310"/>
      <c r="R52" s="310"/>
      <c r="S52" s="311"/>
      <c r="T52" s="311"/>
      <c r="U52" s="311"/>
      <c r="V52" s="311"/>
      <c r="W52" s="311"/>
      <c r="X52" s="312"/>
      <c r="Y52" s="656" t="s">
        <v>148</v>
      </c>
      <c r="Z52" s="311"/>
      <c r="AA52" s="311"/>
      <c r="AB52" s="311"/>
      <c r="AC52" s="311"/>
      <c r="AD52" s="336"/>
      <c r="AE52" s="25"/>
      <c r="AF52" s="316" t="s">
        <v>58</v>
      </c>
      <c r="AG52" s="317" t="s">
        <v>59</v>
      </c>
      <c r="AH52" s="318" t="s">
        <v>59</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row>
    <row r="53">
      <c r="B53" s="42"/>
      <c r="C53" s="313">
        <v>10</v>
      </c>
      <c r="D53" s="314">
        <v>11</v>
      </c>
      <c r="E53" s="314">
        <v>12</v>
      </c>
      <c r="F53" s="314">
        <v>13</v>
      </c>
      <c r="G53" s="314">
        <v>14</v>
      </c>
      <c r="H53" s="314">
        <v>15</v>
      </c>
      <c r="I53" s="314">
        <v>16</v>
      </c>
      <c r="J53" s="314">
        <v>17</v>
      </c>
      <c r="K53" s="314">
        <v>18</v>
      </c>
      <c r="L53" s="314">
        <v>19</v>
      </c>
      <c r="M53" s="314">
        <v>20</v>
      </c>
      <c r="N53" s="314">
        <v>21</v>
      </c>
      <c r="O53" s="314">
        <v>22</v>
      </c>
      <c r="P53" s="314">
        <v>23</v>
      </c>
      <c r="Q53" s="314">
        <v>24</v>
      </c>
      <c r="R53" s="314">
        <v>25</v>
      </c>
      <c r="S53" s="314">
        <v>26</v>
      </c>
      <c r="T53" s="314">
        <v>27</v>
      </c>
      <c r="U53" s="314">
        <v>28</v>
      </c>
      <c r="V53" s="314">
        <v>29</v>
      </c>
      <c r="W53" s="314">
        <v>30</v>
      </c>
      <c r="X53" s="315">
        <v>31</v>
      </c>
      <c r="Y53" s="674">
        <v>1</v>
      </c>
      <c r="Z53" s="314">
        <v>2</v>
      </c>
      <c r="AA53" s="314">
        <v>3</v>
      </c>
      <c r="AB53" s="314">
        <v>4</v>
      </c>
      <c r="AC53" s="314">
        <v>5</v>
      </c>
      <c r="AD53" s="373">
        <v>6</v>
      </c>
      <c r="AE53" s="25"/>
      <c r="AF53" s="319" t="s">
        <v>60</v>
      </c>
      <c r="AG53" s="320">
        <v>28</v>
      </c>
      <c r="AH53" s="321" t="s">
        <v>31</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row>
    <row r="54" ht="14.25" customHeight="1">
      <c r="B54" s="46" t="s">
        <v>56</v>
      </c>
      <c r="C54" s="444" t="s">
        <v>149</v>
      </c>
      <c r="D54" s="445" t="s">
        <v>150</v>
      </c>
      <c r="E54" s="445" t="s">
        <v>151</v>
      </c>
      <c r="F54" s="445" t="s">
        <v>149</v>
      </c>
      <c r="G54" s="445" t="s">
        <v>150</v>
      </c>
      <c r="H54" s="445" t="s">
        <v>150</v>
      </c>
      <c r="I54" s="445" t="s">
        <v>152</v>
      </c>
      <c r="J54" s="445" t="s">
        <v>150</v>
      </c>
      <c r="K54" s="445" t="s">
        <v>149</v>
      </c>
      <c r="L54" s="445" t="s">
        <v>149</v>
      </c>
      <c r="M54" s="445" t="s">
        <v>150</v>
      </c>
      <c r="N54" s="445" t="s">
        <v>151</v>
      </c>
      <c r="O54" s="445" t="s">
        <v>151</v>
      </c>
      <c r="P54" s="445" t="s">
        <v>152</v>
      </c>
      <c r="Q54" s="445" t="s">
        <v>149</v>
      </c>
      <c r="R54" s="445" t="s">
        <v>149</v>
      </c>
      <c r="S54" s="445" t="s">
        <v>149</v>
      </c>
      <c r="T54" s="445" t="s">
        <v>149</v>
      </c>
      <c r="U54" s="445" t="s">
        <v>150</v>
      </c>
      <c r="V54" s="445" t="s">
        <v>152</v>
      </c>
      <c r="W54" s="445" t="s">
        <v>154</v>
      </c>
      <c r="X54" s="446" t="s">
        <v>155</v>
      </c>
      <c r="Y54" s="658" t="s">
        <v>149</v>
      </c>
      <c r="Z54" s="445" t="s">
        <v>150</v>
      </c>
      <c r="AA54" s="445" t="s">
        <v>149</v>
      </c>
      <c r="AB54" s="445" t="s">
        <v>149</v>
      </c>
      <c r="AC54" s="445" t="s">
        <v>149</v>
      </c>
      <c r="AD54" s="447" t="s">
        <v>150</v>
      </c>
      <c r="AE54" s="448"/>
      <c r="AF54" s="444" t="s">
        <v>150</v>
      </c>
      <c r="AG54" s="445" t="s">
        <v>150</v>
      </c>
      <c r="AH54" s="449" t="s">
        <v>150</v>
      </c>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row>
    <row r="55" ht="14.25" customHeight="1" thickBot="1">
      <c r="B55" s="48" t="s">
        <v>79</v>
      </c>
      <c r="C55" s="329" t="s">
        <v>149</v>
      </c>
      <c r="D55" s="330" t="s">
        <v>151</v>
      </c>
      <c r="E55" s="330" t="s">
        <v>149</v>
      </c>
      <c r="F55" s="330" t="s">
        <v>149</v>
      </c>
      <c r="G55" s="330" t="s">
        <v>150</v>
      </c>
      <c r="H55" s="330" t="s">
        <v>152</v>
      </c>
      <c r="I55" s="330" t="s">
        <v>150</v>
      </c>
      <c r="J55" s="330" t="s">
        <v>149</v>
      </c>
      <c r="K55" s="330" t="s">
        <v>149</v>
      </c>
      <c r="L55" s="330" t="s">
        <v>149</v>
      </c>
      <c r="M55" s="330" t="s">
        <v>150</v>
      </c>
      <c r="N55" s="330" t="s">
        <v>153</v>
      </c>
      <c r="O55" s="330" t="s">
        <v>149</v>
      </c>
      <c r="P55" s="330" t="s">
        <v>149</v>
      </c>
      <c r="Q55" s="330" t="s">
        <v>149</v>
      </c>
      <c r="R55" s="330" t="s">
        <v>149</v>
      </c>
      <c r="S55" s="330" t="s">
        <v>150</v>
      </c>
      <c r="T55" s="330" t="s">
        <v>149</v>
      </c>
      <c r="U55" s="330" t="s">
        <v>149</v>
      </c>
      <c r="V55" s="330" t="s">
        <v>149</v>
      </c>
      <c r="W55" s="330" t="s">
        <v>150</v>
      </c>
      <c r="X55" s="89" t="s">
        <v>151</v>
      </c>
      <c r="Y55" s="681" t="s">
        <v>149</v>
      </c>
      <c r="Z55" s="90" t="s">
        <v>149</v>
      </c>
      <c r="AA55" s="90" t="s">
        <v>149</v>
      </c>
      <c r="AB55" s="90" t="s">
        <v>149</v>
      </c>
      <c r="AC55" s="90" t="s">
        <v>149</v>
      </c>
      <c r="AD55" s="91" t="s">
        <v>149</v>
      </c>
      <c r="AE55" s="88"/>
      <c r="AF55" s="329" t="s">
        <v>149</v>
      </c>
      <c r="AG55" s="330" t="s">
        <v>149</v>
      </c>
      <c r="AH55" s="332" t="s">
        <v>149</v>
      </c>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row>
    <row r="56" ht="9.95" customHeight="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row>
    <row r="57" ht="9.95" customHeight="1">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row>
    <row r="59" ht="9.95" customHeight="1">
      <c r="AF59" s="80"/>
      <c r="AG59" s="242"/>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row>
    <row r="60" ht="9.95" customHeight="1">
      <c r="B60" s="235"/>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row>
    <row r="61" ht="9.95" customHeight="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row>
    <row r="65">
      <c r="A65" s="664"/>
      <c r="B65" s="664"/>
      <c r="C65" s="664"/>
      <c r="D65" s="664"/>
      <c r="E65" s="664"/>
      <c r="F65" s="664"/>
      <c r="G65" s="664"/>
      <c r="H65" s="664"/>
      <c r="I65" s="664"/>
      <c r="J65" s="664"/>
      <c r="K65" s="664"/>
      <c r="L65" s="664"/>
      <c r="M65" s="664"/>
      <c r="N65" s="664"/>
      <c r="O65" s="664"/>
      <c r="P65" s="664"/>
      <c r="Q65" s="664"/>
      <c r="R65" s="664"/>
      <c r="S65" s="664"/>
      <c r="T65" s="664"/>
      <c r="U65" s="664"/>
      <c r="V65" s="664"/>
      <c r="W65" s="664"/>
      <c r="X65" s="664"/>
      <c r="Y65" s="664"/>
      <c r="Z65" s="664"/>
      <c r="AA65" s="664"/>
      <c r="AB65" s="664"/>
      <c r="AC65" s="664"/>
      <c r="AD65" s="664"/>
      <c r="AE65" s="664"/>
      <c r="AF65" s="664"/>
      <c r="AG65" s="66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row>
    <row r="66">
      <c r="A66" s="664"/>
      <c r="B66" s="664"/>
      <c r="C66" s="664"/>
      <c r="D66" s="664"/>
      <c r="E66" s="664"/>
      <c r="F66" s="664"/>
      <c r="G66" s="664"/>
      <c r="H66" s="664"/>
      <c r="I66" s="664"/>
      <c r="J66" s="664"/>
      <c r="K66" s="664"/>
      <c r="L66" s="664"/>
      <c r="M66" s="664"/>
      <c r="N66" s="664"/>
      <c r="O66" s="664"/>
      <c r="P66" s="664"/>
      <c r="Q66" s="664"/>
      <c r="R66" s="664"/>
      <c r="S66" s="664"/>
      <c r="T66" s="664"/>
      <c r="U66" s="664"/>
      <c r="V66" s="664"/>
      <c r="W66" s="664"/>
      <c r="X66" s="664"/>
      <c r="Y66" s="664"/>
      <c r="Z66" s="664"/>
      <c r="AA66" s="664"/>
      <c r="AB66" s="664"/>
      <c r="AC66" s="664"/>
      <c r="AD66" s="664"/>
      <c r="AE66" s="664"/>
      <c r="AF66" s="664"/>
      <c r="AG66" s="66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row>
    <row r="67">
      <c r="A67" s="664"/>
      <c r="B67" s="664"/>
      <c r="C67" s="664"/>
      <c r="D67" s="664"/>
      <c r="E67" s="664"/>
      <c r="F67" s="664"/>
      <c r="G67" s="664"/>
      <c r="H67" s="664"/>
      <c r="I67" s="664"/>
      <c r="J67" s="664"/>
      <c r="K67" s="664"/>
      <c r="L67" s="664"/>
      <c r="M67" s="664"/>
      <c r="N67" s="664"/>
      <c r="O67" s="664"/>
      <c r="P67" s="664"/>
      <c r="Q67" s="664"/>
      <c r="R67" s="664"/>
      <c r="S67" s="664"/>
      <c r="T67" s="664"/>
      <c r="U67" s="664"/>
      <c r="V67" s="664"/>
      <c r="W67" s="664"/>
      <c r="X67" s="664"/>
      <c r="Y67" s="664"/>
      <c r="Z67" s="664"/>
      <c r="AA67" s="664"/>
      <c r="AB67" s="664"/>
      <c r="AC67" s="664"/>
      <c r="AD67" s="664"/>
      <c r="AE67" s="664"/>
      <c r="AF67" s="664"/>
      <c r="AG67" s="66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row>
    <row r="68" s="25" customFormat="1">
      <c r="A68" s="664"/>
      <c r="B68" s="664"/>
      <c r="C68" s="664"/>
      <c r="D68" s="664"/>
      <c r="E68" s="664"/>
      <c r="F68" s="664"/>
      <c r="G68" s="664"/>
      <c r="H68" s="664"/>
      <c r="I68" s="664"/>
      <c r="J68" s="664"/>
      <c r="K68" s="664"/>
      <c r="L68" s="664"/>
      <c r="M68" s="664"/>
      <c r="N68" s="664"/>
      <c r="O68" s="664"/>
      <c r="P68" s="664"/>
      <c r="Q68" s="664"/>
      <c r="R68" s="664"/>
      <c r="S68" s="664"/>
      <c r="T68" s="664"/>
      <c r="U68" s="664"/>
      <c r="V68" s="664"/>
      <c r="W68" s="664"/>
      <c r="X68" s="664"/>
      <c r="Y68" s="664"/>
      <c r="Z68" s="664"/>
      <c r="AA68" s="664"/>
      <c r="AB68" s="664"/>
      <c r="AC68" s="664"/>
      <c r="AD68" s="664"/>
      <c r="AE68" s="664"/>
      <c r="AF68" s="664"/>
      <c r="AG68" s="664"/>
      <c r="AH68" s="255"/>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row>
    <row r="69" s="25" customFormat="1" ht="10.5" customHeight="1">
      <c r="A69" s="664"/>
      <c r="B69" s="664"/>
      <c r="C69" s="664"/>
      <c r="D69" s="664"/>
      <c r="E69" s="664"/>
      <c r="F69" s="664"/>
      <c r="G69" s="664"/>
      <c r="H69" s="664"/>
      <c r="I69" s="664"/>
      <c r="J69" s="664"/>
      <c r="K69" s="664"/>
      <c r="L69" s="664"/>
      <c r="M69" s="664"/>
      <c r="N69" s="664"/>
      <c r="O69" s="664"/>
      <c r="P69" s="664"/>
      <c r="Q69" s="664"/>
      <c r="R69" s="664"/>
      <c r="S69" s="664"/>
      <c r="T69" s="664"/>
      <c r="U69" s="664"/>
      <c r="V69" s="664"/>
      <c r="W69" s="664"/>
      <c r="X69" s="664"/>
      <c r="Y69" s="664"/>
      <c r="Z69" s="664"/>
      <c r="AA69" s="664"/>
      <c r="AB69" s="664"/>
      <c r="AC69" s="664"/>
      <c r="AD69" s="664"/>
      <c r="AE69" s="664"/>
      <c r="AF69" s="664"/>
      <c r="AG69" s="664"/>
      <c r="AH69" s="255"/>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row>
    <row r="70" s="25" customFormat="1">
      <c r="A70" s="664"/>
      <c r="B70" s="664"/>
      <c r="C70" s="664"/>
      <c r="D70" s="664"/>
      <c r="E70" s="664"/>
      <c r="F70" s="664"/>
      <c r="G70" s="664"/>
      <c r="H70" s="664"/>
      <c r="I70" s="664"/>
      <c r="J70" s="664"/>
      <c r="K70" s="664"/>
      <c r="L70" s="664"/>
      <c r="M70" s="664"/>
      <c r="N70" s="664"/>
      <c r="O70" s="664"/>
      <c r="P70" s="664"/>
      <c r="Q70" s="664"/>
      <c r="R70" s="664"/>
      <c r="S70" s="664"/>
      <c r="T70" s="664"/>
      <c r="U70" s="664"/>
      <c r="V70" s="664"/>
      <c r="W70" s="664"/>
      <c r="X70" s="664"/>
      <c r="Y70" s="664"/>
      <c r="Z70" s="664"/>
      <c r="AA70" s="664"/>
      <c r="AB70" s="664"/>
      <c r="AC70" s="664"/>
      <c r="AD70" s="664"/>
      <c r="AE70" s="664"/>
      <c r="AF70" s="664"/>
      <c r="AG70" s="664"/>
      <c r="AH70" s="255"/>
      <c r="AI70" s="255"/>
      <c r="AJ70" s="255"/>
      <c r="AK70" s="255"/>
      <c r="AL70" s="255"/>
      <c r="AM70" s="255"/>
      <c r="AN70" s="255"/>
      <c r="AO70" s="255"/>
      <c r="AP70" s="255"/>
      <c r="AQ70" s="255"/>
      <c r="AR70" s="255"/>
      <c r="AS70" s="255"/>
      <c r="AT70" s="255"/>
      <c r="AU70" s="255"/>
      <c r="AV70" s="255"/>
      <c r="AW70" s="255"/>
      <c r="AX70" s="255"/>
      <c r="AY70" s="255"/>
      <c r="AZ70" s="255"/>
      <c r="BA70" s="255"/>
      <c r="BB70" s="255"/>
      <c r="BC70" s="255"/>
      <c r="BD70" s="255"/>
      <c r="BE70" s="255"/>
      <c r="BF70" s="255"/>
      <c r="BG70" s="255"/>
      <c r="BH70" s="255"/>
      <c r="BI70" s="255"/>
      <c r="BJ70" s="255"/>
    </row>
    <row r="71" s="25" customFormat="1">
      <c r="A71" s="664"/>
      <c r="B71" s="664">
        <v>1</v>
      </c>
      <c r="C71" s="664">
        <v>2</v>
      </c>
      <c r="D71" s="664">
        <v>3</v>
      </c>
      <c r="E71" s="664">
        <v>4</v>
      </c>
      <c r="F71" s="664">
        <v>5</v>
      </c>
      <c r="G71" s="664">
        <v>6</v>
      </c>
      <c r="H71" s="664">
        <v>7</v>
      </c>
      <c r="I71" s="664">
        <v>8</v>
      </c>
      <c r="J71" s="664">
        <v>9</v>
      </c>
      <c r="K71" s="664">
        <v>10</v>
      </c>
      <c r="L71" s="664">
        <v>11</v>
      </c>
      <c r="M71" s="664">
        <v>12</v>
      </c>
      <c r="N71" s="664"/>
      <c r="O71" s="664"/>
      <c r="P71" s="664"/>
      <c r="Q71" s="664"/>
      <c r="R71" s="664"/>
      <c r="S71" s="664"/>
      <c r="T71" s="664"/>
      <c r="U71" s="664"/>
      <c r="V71" s="664"/>
      <c r="W71" s="664"/>
      <c r="X71" s="664"/>
      <c r="Y71" s="664"/>
      <c r="Z71" s="664"/>
      <c r="AA71" s="664"/>
      <c r="AB71" s="664"/>
      <c r="AC71" s="664"/>
      <c r="AD71" s="664"/>
      <c r="AE71" s="664"/>
      <c r="AF71" s="664"/>
      <c r="AG71" s="664"/>
      <c r="AH71" s="255"/>
      <c r="AI71" s="255"/>
      <c r="AJ71" s="255"/>
      <c r="AK71" s="255"/>
      <c r="AL71" s="255"/>
      <c r="AM71" s="255"/>
      <c r="AN71" s="255"/>
      <c r="AO71" s="255"/>
      <c r="AP71" s="255"/>
      <c r="AQ71" s="255"/>
      <c r="AR71" s="255"/>
      <c r="AS71" s="255"/>
      <c r="AT71" s="255"/>
      <c r="AU71" s="255"/>
      <c r="AV71" s="255"/>
      <c r="AW71" s="255"/>
      <c r="AX71" s="255"/>
      <c r="AY71" s="255"/>
      <c r="AZ71" s="255"/>
      <c r="BA71" s="255"/>
      <c r="BB71" s="255"/>
      <c r="BC71" s="255"/>
      <c r="BD71" s="255"/>
      <c r="BE71" s="255"/>
      <c r="BF71" s="255"/>
      <c r="BG71" s="255"/>
      <c r="BH71" s="255"/>
      <c r="BI71" s="255"/>
      <c r="BJ71" s="255"/>
    </row>
    <row r="72" s="25" customFormat="1">
      <c r="A72" s="664"/>
      <c r="B72" s="664" t="n">
        <v>45829</v>
      </c>
      <c r="C72" s="664">
        <v>45836</v>
      </c>
      <c r="D72" s="664">
        <v>45843</v>
      </c>
      <c r="E72" s="664">
        <v>45850</v>
      </c>
      <c r="F72" s="664">
        <v>45857</v>
      </c>
      <c r="G72" s="664">
        <v>45864</v>
      </c>
      <c r="H72" s="664">
        <v>45871</v>
      </c>
      <c r="I72" s="664">
        <v>45878</v>
      </c>
      <c r="J72" s="664">
        <v>45885</v>
      </c>
      <c r="K72" s="664">
        <v>45892</v>
      </c>
      <c r="L72" s="664">
        <v>45899</v>
      </c>
      <c r="M72" s="664">
        <v>45906</v>
      </c>
      <c r="N72" s="664"/>
      <c r="O72" s="664"/>
      <c r="P72" s="664"/>
      <c r="Q72" s="664"/>
      <c r="R72" s="664"/>
      <c r="S72" s="664"/>
      <c r="T72" s="664"/>
      <c r="U72" s="664"/>
      <c r="V72" s="664"/>
      <c r="W72" s="664"/>
      <c r="X72" s="664"/>
      <c r="Y72" s="664"/>
      <c r="Z72" s="664"/>
      <c r="AA72" s="664"/>
      <c r="AB72" s="664"/>
      <c r="AC72" s="664"/>
      <c r="AD72" s="664"/>
      <c r="AE72" s="664"/>
      <c r="AF72" s="664"/>
      <c r="AG72" s="664"/>
      <c r="AH72" s="255"/>
      <c r="AI72" s="255"/>
      <c r="AJ72" s="255"/>
      <c r="AK72" s="255"/>
      <c r="AL72" s="255"/>
      <c r="AM72" s="255"/>
      <c r="AN72" s="255"/>
      <c r="AO72" s="255"/>
      <c r="AP72" s="255"/>
      <c r="AQ72" s="255"/>
      <c r="AR72" s="255"/>
      <c r="AS72" s="255"/>
      <c r="AT72" s="255"/>
      <c r="AU72" s="255"/>
      <c r="AV72" s="255"/>
      <c r="AW72" s="255"/>
      <c r="AX72" s="255"/>
      <c r="AY72" s="255"/>
      <c r="AZ72" s="255"/>
      <c r="BA72" s="255"/>
      <c r="BB72" s="255"/>
      <c r="BC72" s="255"/>
      <c r="BD72" s="255"/>
      <c r="BE72" s="255"/>
      <c r="BF72" s="255"/>
      <c r="BG72" s="255"/>
      <c r="BH72" s="255"/>
      <c r="BI72" s="255"/>
      <c r="BJ72" s="255"/>
    </row>
    <row r="73" s="25" customFormat="1" ht="14.25">
      <c r="A73" s="664" t="s">
        <v>32</v>
      </c>
      <c r="B73" s="664">
        <v>46.303379416282642089093701997</v>
      </c>
      <c r="C73" s="664">
        <v>51.166666666666666666666666667</v>
      </c>
      <c r="D73" s="664">
        <v>28.537634408602150537634408602</v>
      </c>
      <c r="E73" s="664">
        <v>38.386328725038402457757296467</v>
      </c>
      <c r="F73" s="664">
        <v>40.172811059907834101382488479</v>
      </c>
      <c r="G73" s="664">
        <v>29.420890937019969278033794163</v>
      </c>
      <c r="H73" s="664">
        <v>44.682027649769585253456221198</v>
      </c>
      <c r="I73" s="664">
        <v>39.88786482334869431643625192</v>
      </c>
      <c r="J73" s="664">
        <v>38.725806451612903225806451613</v>
      </c>
      <c r="K73" s="664">
        <v>32.88786482334869431643625192</v>
      </c>
      <c r="L73" s="664">
        <v>42.25115207373271889400921659</v>
      </c>
      <c r="M73" s="664">
        <v>31.000000000</v>
      </c>
      <c r="N73" s="664"/>
      <c r="O73" s="664"/>
      <c r="P73" s="664"/>
      <c r="Q73" s="664"/>
      <c r="R73" s="664"/>
      <c r="S73" s="664"/>
      <c r="T73" s="664"/>
      <c r="U73" s="664"/>
      <c r="V73" s="664"/>
      <c r="W73" s="664"/>
      <c r="X73" s="664"/>
      <c r="Y73" s="664"/>
      <c r="Z73" s="664"/>
      <c r="AA73" s="664"/>
      <c r="AB73" s="664"/>
      <c r="AC73" s="664"/>
      <c r="AD73" s="664"/>
      <c r="AE73" s="664"/>
      <c r="AF73" s="664"/>
      <c r="AG73" s="664"/>
      <c r="AH73" s="255"/>
      <c r="AI73" s="255"/>
      <c r="AJ73" s="255"/>
      <c r="AK73" s="255"/>
      <c r="AL73" s="255"/>
      <c r="AM73" s="255"/>
      <c r="AN73" s="255"/>
      <c r="AO73" s="255"/>
      <c r="AP73" s="255"/>
      <c r="AQ73" s="255"/>
      <c r="AR73" s="255"/>
      <c r="AS73" s="255"/>
      <c r="AT73" s="255"/>
      <c r="AU73" s="255"/>
      <c r="AV73" s="255"/>
      <c r="AW73" s="255"/>
      <c r="AX73" s="255"/>
      <c r="AY73" s="255"/>
      <c r="AZ73" s="255"/>
      <c r="BA73" s="255"/>
      <c r="BB73" s="255"/>
      <c r="BC73" s="255"/>
      <c r="BD73" s="255"/>
      <c r="BE73" s="255"/>
      <c r="BF73" s="255"/>
      <c r="BG73" s="255"/>
      <c r="BH73" s="255"/>
      <c r="BI73" s="255"/>
      <c r="BJ73" s="255"/>
    </row>
    <row r="74" s="25" customFormat="1" ht="14.25">
      <c r="A74" s="664" t="s">
        <v>26</v>
      </c>
      <c r="B74" s="664">
        <v>66.395511767925561029009304871</v>
      </c>
      <c r="C74" s="664">
        <v>64.283579456303594234628717386</v>
      </c>
      <c r="D74" s="664">
        <v>43.411713191023535851122058019</v>
      </c>
      <c r="E74" s="664">
        <v>66.933051450465243568691844554</v>
      </c>
      <c r="F74" s="664">
        <v>54.62704159824849480021893815</v>
      </c>
      <c r="G74" s="664">
        <v>58.560845648604269293924466338</v>
      </c>
      <c r="H74" s="664">
        <v>48.582006020799124247400109469</v>
      </c>
      <c r="I74" s="664">
        <v>43.495112205801860974274767378</v>
      </c>
      <c r="J74" s="664">
        <v>62.194537493158182813355227148</v>
      </c>
      <c r="K74" s="664">
        <v>56.71777504105090311986863711</v>
      </c>
      <c r="L74" s="664">
        <v>59.143210180623973727422003284</v>
      </c>
      <c r="M74" s="664">
        <v>47.805227148330596606458675424</v>
      </c>
      <c r="N74" s="664"/>
      <c r="O74" s="664"/>
      <c r="P74" s="664"/>
      <c r="Q74" s="664"/>
      <c r="R74" s="664"/>
      <c r="S74" s="664"/>
      <c r="T74" s="664"/>
      <c r="U74" s="664"/>
      <c r="V74" s="664"/>
      <c r="W74" s="664"/>
      <c r="X74" s="664"/>
      <c r="Y74" s="664"/>
      <c r="Z74" s="664"/>
      <c r="AA74" s="664"/>
      <c r="AB74" s="664"/>
      <c r="AC74" s="664"/>
      <c r="AD74" s="664"/>
      <c r="AE74" s="664"/>
      <c r="AF74" s="664"/>
      <c r="AG74" s="664"/>
      <c r="AH74" s="255"/>
      <c r="AI74" s="255"/>
      <c r="AJ74" s="255"/>
      <c r="AK74" s="255"/>
      <c r="AL74" s="255"/>
      <c r="AM74" s="255"/>
      <c r="AN74" s="255"/>
      <c r="AO74" s="255"/>
      <c r="AP74" s="255"/>
      <c r="AQ74" s="255"/>
      <c r="AR74" s="255"/>
      <c r="AS74" s="255"/>
      <c r="AT74" s="255"/>
      <c r="AU74" s="255"/>
      <c r="AV74" s="255"/>
      <c r="AW74" s="255"/>
      <c r="AX74" s="255"/>
      <c r="AY74" s="255"/>
      <c r="AZ74" s="255"/>
      <c r="BA74" s="255"/>
      <c r="BB74" s="255"/>
      <c r="BC74" s="255"/>
      <c r="BD74" s="255"/>
      <c r="BE74" s="255"/>
      <c r="BF74" s="255"/>
      <c r="BG74" s="255"/>
      <c r="BH74" s="255"/>
      <c r="BI74" s="255"/>
      <c r="BJ74" s="255"/>
    </row>
    <row r="75" s="25" customFormat="1" ht="14.25">
      <c r="A75" s="664" t="s">
        <v>147</v>
      </c>
      <c r="B75" s="664">
        <v>103.00907029478458049886621315</v>
      </c>
      <c r="C75" s="664">
        <v>98.25889212827988338192419825</v>
      </c>
      <c r="D75" s="664">
        <v>76.355749919015225137674117266</v>
      </c>
      <c r="E75" s="664">
        <v>102.99948169744088111435050211</v>
      </c>
      <c r="F75" s="664">
        <v>97.66873987690314220926465824</v>
      </c>
      <c r="G75" s="664">
        <v>96.66394557823129251700680272</v>
      </c>
      <c r="H75" s="664">
        <v>89.16618075801749271137026239</v>
      </c>
      <c r="I75" s="664">
        <v>87.53780369290573372206025267</v>
      </c>
      <c r="J75" s="664">
        <v>97.09199870424360220278587626</v>
      </c>
      <c r="K75" s="664">
        <v>90.59371558147068351149983803</v>
      </c>
      <c r="L75" s="664">
        <v>92.42384191771946873987690314</v>
      </c>
      <c r="M75" s="664">
        <v>73.597538062844185293164885002</v>
      </c>
      <c r="N75" s="664"/>
      <c r="O75" s="664"/>
      <c r="P75" s="664"/>
      <c r="Q75" s="664"/>
      <c r="R75" s="664"/>
      <c r="S75" s="664"/>
      <c r="T75" s="664"/>
      <c r="U75" s="664"/>
      <c r="V75" s="664"/>
      <c r="W75" s="664"/>
      <c r="X75" s="664"/>
      <c r="Y75" s="664"/>
      <c r="Z75" s="664"/>
      <c r="AA75" s="664"/>
      <c r="AB75" s="664"/>
      <c r="AC75" s="664"/>
      <c r="AD75" s="664"/>
      <c r="AE75" s="664"/>
      <c r="AF75" s="664"/>
      <c r="AG75" s="664"/>
      <c r="AH75" s="255"/>
      <c r="AI75" s="255"/>
      <c r="AJ75" s="255"/>
      <c r="AK75" s="255"/>
      <c r="AL75" s="255"/>
      <c r="AM75" s="255"/>
      <c r="AN75" s="255"/>
      <c r="AO75" s="255"/>
      <c r="AP75" s="255"/>
      <c r="AQ75" s="255"/>
      <c r="AR75" s="255"/>
      <c r="AS75" s="255"/>
      <c r="AT75" s="255"/>
      <c r="AU75" s="255"/>
      <c r="AV75" s="255"/>
      <c r="AW75" s="255"/>
      <c r="AX75" s="255"/>
      <c r="AY75" s="255"/>
      <c r="AZ75" s="255"/>
      <c r="BA75" s="255"/>
      <c r="BB75" s="255"/>
      <c r="BC75" s="255"/>
      <c r="BD75" s="255"/>
      <c r="BE75" s="255"/>
      <c r="BF75" s="255"/>
      <c r="BG75" s="255"/>
      <c r="BH75" s="255"/>
      <c r="BI75" s="255"/>
      <c r="BJ75" s="255"/>
    </row>
    <row r="76" s="25" customFormat="1">
      <c r="A76" s="664"/>
      <c r="B76" s="664"/>
      <c r="C76" s="664"/>
      <c r="D76" s="664"/>
      <c r="E76" s="664"/>
      <c r="F76" s="664"/>
      <c r="G76" s="664"/>
      <c r="H76" s="664"/>
      <c r="I76" s="664"/>
      <c r="J76" s="664"/>
      <c r="K76" s="664"/>
      <c r="L76" s="664"/>
      <c r="M76" s="664"/>
      <c r="N76" s="664"/>
      <c r="O76" s="664"/>
      <c r="P76" s="664"/>
      <c r="Q76" s="664"/>
      <c r="R76" s="664"/>
      <c r="S76" s="664"/>
      <c r="T76" s="664"/>
      <c r="U76" s="664"/>
      <c r="V76" s="664"/>
      <c r="W76" s="664"/>
      <c r="X76" s="664"/>
      <c r="Y76" s="664"/>
      <c r="Z76" s="664"/>
      <c r="AA76" s="664"/>
      <c r="AB76" s="664"/>
      <c r="AC76" s="664"/>
      <c r="AD76" s="664"/>
      <c r="AE76" s="664"/>
      <c r="AF76" s="664"/>
      <c r="AG76" s="664"/>
      <c r="AH76" s="255"/>
      <c r="AI76" s="255"/>
      <c r="AJ76" s="255"/>
      <c r="AK76" s="255"/>
      <c r="AL76" s="255"/>
      <c r="AM76" s="255"/>
      <c r="AN76" s="255"/>
      <c r="AO76" s="255"/>
      <c r="AP76" s="255"/>
      <c r="AQ76" s="255"/>
      <c r="AR76" s="255"/>
      <c r="AS76" s="255"/>
      <c r="AT76" s="255"/>
      <c r="AU76" s="255"/>
      <c r="AV76" s="255"/>
      <c r="AW76" s="255"/>
      <c r="AX76" s="255"/>
      <c r="AY76" s="255"/>
      <c r="AZ76" s="255"/>
      <c r="BA76" s="255"/>
      <c r="BB76" s="255"/>
      <c r="BC76" s="255"/>
      <c r="BD76" s="255"/>
      <c r="BE76" s="255"/>
      <c r="BF76" s="255"/>
      <c r="BG76" s="255"/>
      <c r="BH76" s="255"/>
      <c r="BI76" s="255"/>
      <c r="BJ76" s="255"/>
    </row>
    <row r="77" s="25" customFormat="1">
      <c r="A77" s="664"/>
      <c r="B77" s="664"/>
      <c r="C77" s="664"/>
      <c r="D77" s="664"/>
      <c r="E77" s="664"/>
      <c r="F77" s="664"/>
      <c r="G77" s="664"/>
      <c r="H77" s="664"/>
      <c r="I77" s="664"/>
      <c r="J77" s="664"/>
      <c r="K77" s="664"/>
      <c r="L77" s="664"/>
      <c r="M77" s="664"/>
      <c r="N77" s="664"/>
      <c r="O77" s="664"/>
      <c r="P77" s="664"/>
      <c r="Q77" s="664"/>
      <c r="R77" s="664"/>
      <c r="S77" s="664"/>
      <c r="T77" s="664"/>
      <c r="U77" s="664"/>
      <c r="V77" s="664"/>
      <c r="W77" s="664"/>
      <c r="X77" s="664"/>
      <c r="Y77" s="664"/>
      <c r="Z77" s="664"/>
      <c r="AA77" s="664"/>
      <c r="AB77" s="664"/>
      <c r="AC77" s="664"/>
      <c r="AD77" s="664"/>
      <c r="AE77" s="664"/>
      <c r="AF77" s="664"/>
      <c r="AG77" s="664"/>
      <c r="AH77" s="255"/>
      <c r="AI77" s="255"/>
      <c r="AJ77" s="255"/>
      <c r="AK77" s="255"/>
      <c r="AL77" s="255"/>
      <c r="AM77" s="255"/>
      <c r="AN77" s="255"/>
      <c r="AO77" s="255"/>
      <c r="AP77" s="255"/>
      <c r="AQ77" s="255"/>
      <c r="AR77" s="255"/>
      <c r="AS77" s="255"/>
      <c r="AT77" s="255"/>
      <c r="AU77" s="255"/>
      <c r="AV77" s="255"/>
      <c r="AW77" s="255"/>
      <c r="AX77" s="255"/>
      <c r="AY77" s="255"/>
      <c r="AZ77" s="255"/>
      <c r="BA77" s="255"/>
      <c r="BB77" s="255"/>
      <c r="BC77" s="255"/>
      <c r="BD77" s="255"/>
      <c r="BE77" s="255"/>
      <c r="BF77" s="255"/>
      <c r="BG77" s="255"/>
      <c r="BH77" s="255"/>
      <c r="BI77" s="255"/>
      <c r="BJ77" s="255"/>
    </row>
    <row r="78">
      <c r="A78" s="664"/>
      <c r="B78" s="664"/>
      <c r="C78" s="664"/>
      <c r="D78" s="664"/>
      <c r="E78" s="664"/>
      <c r="F78" s="664"/>
      <c r="G78" s="664"/>
      <c r="H78" s="664"/>
      <c r="I78" s="664"/>
      <c r="J78" s="664"/>
      <c r="K78" s="664"/>
      <c r="L78" s="664"/>
      <c r="M78" s="664"/>
      <c r="N78" s="664"/>
      <c r="O78" s="664"/>
      <c r="P78" s="664"/>
      <c r="Q78" s="664"/>
      <c r="R78" s="664"/>
      <c r="S78" s="664"/>
      <c r="T78" s="664"/>
      <c r="U78" s="664"/>
      <c r="V78" s="664"/>
      <c r="W78" s="664"/>
      <c r="X78" s="664"/>
      <c r="Y78" s="664"/>
      <c r="Z78" s="664"/>
      <c r="AA78" s="664"/>
      <c r="AB78" s="664"/>
      <c r="AC78" s="664"/>
      <c r="AD78" s="664"/>
      <c r="AE78" s="664"/>
      <c r="AF78" s="664"/>
      <c r="AG78" s="66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row>
    <row r="79">
      <c r="A79" s="664"/>
      <c r="B79" s="664"/>
      <c r="C79" s="664"/>
      <c r="D79" s="664"/>
      <c r="E79" s="664"/>
      <c r="F79" s="664"/>
      <c r="G79" s="664"/>
      <c r="H79" s="664"/>
      <c r="I79" s="664"/>
      <c r="J79" s="664"/>
      <c r="K79" s="664"/>
      <c r="L79" s="664"/>
      <c r="M79" s="664"/>
      <c r="N79" s="664"/>
      <c r="O79" s="664"/>
      <c r="P79" s="664"/>
      <c r="Q79" s="664"/>
      <c r="R79" s="664"/>
      <c r="S79" s="664"/>
      <c r="T79" s="664"/>
      <c r="U79" s="664"/>
      <c r="V79" s="664"/>
      <c r="W79" s="664"/>
      <c r="X79" s="664"/>
      <c r="Y79" s="664"/>
      <c r="Z79" s="664"/>
      <c r="AA79" s="664"/>
      <c r="AB79" s="664"/>
      <c r="AC79" s="664"/>
      <c r="AD79" s="664"/>
      <c r="AE79" s="664"/>
      <c r="AF79" s="664"/>
      <c r="AG79" s="66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row>
    <row r="80">
      <c r="A80" s="664"/>
      <c r="B80" s="664"/>
      <c r="C80" s="664"/>
      <c r="D80" s="664"/>
      <c r="E80" s="664"/>
      <c r="F80" s="664"/>
      <c r="G80" s="664"/>
      <c r="H80" s="664"/>
      <c r="I80" s="664"/>
      <c r="J80" s="664"/>
      <c r="K80" s="664"/>
      <c r="L80" s="664"/>
      <c r="M80" s="664"/>
      <c r="N80" s="664"/>
      <c r="O80" s="664"/>
      <c r="P80" s="664"/>
      <c r="Q80" s="664"/>
      <c r="R80" s="664"/>
      <c r="S80" s="664"/>
      <c r="T80" s="664"/>
      <c r="U80" s="664"/>
      <c r="V80" s="664"/>
      <c r="W80" s="664"/>
      <c r="X80" s="664"/>
      <c r="Y80" s="664"/>
      <c r="Z80" s="664"/>
      <c r="AA80" s="664"/>
      <c r="AB80" s="664"/>
      <c r="AC80" s="664"/>
      <c r="AD80" s="664"/>
      <c r="AE80" s="664"/>
      <c r="AF80" s="664"/>
      <c r="AG80" s="66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row>
    <row r="81">
      <c r="A81" s="664"/>
      <c r="B81" s="664"/>
      <c r="C81" s="664"/>
      <c r="D81" s="664"/>
      <c r="E81" s="664"/>
      <c r="F81" s="664"/>
      <c r="G81" s="664"/>
      <c r="H81" s="664"/>
      <c r="I81" s="664"/>
      <c r="J81" s="664"/>
      <c r="K81" s="664"/>
      <c r="L81" s="664"/>
      <c r="M81" s="664"/>
      <c r="N81" s="664"/>
      <c r="O81" s="664"/>
      <c r="P81" s="664"/>
      <c r="Q81" s="664"/>
      <c r="R81" s="664"/>
      <c r="S81" s="664"/>
      <c r="T81" s="664"/>
      <c r="U81" s="664"/>
      <c r="V81" s="664"/>
      <c r="W81" s="664"/>
      <c r="X81" s="664"/>
      <c r="Y81" s="664"/>
      <c r="Z81" s="664"/>
      <c r="AA81" s="664"/>
      <c r="AB81" s="664"/>
      <c r="AC81" s="664"/>
      <c r="AD81" s="664"/>
      <c r="AE81" s="664"/>
      <c r="AF81" s="664"/>
      <c r="AG81" s="66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row>
    <row r="82">
      <c r="A82" s="664"/>
      <c r="B82" s="664"/>
      <c r="C82" s="664"/>
      <c r="D82" s="664"/>
      <c r="E82" s="664"/>
      <c r="F82" s="664"/>
      <c r="G82" s="664"/>
      <c r="H82" s="664"/>
      <c r="I82" s="664"/>
      <c r="J82" s="664"/>
      <c r="K82" s="664"/>
      <c r="L82" s="664"/>
      <c r="M82" s="664"/>
      <c r="N82" s="664"/>
      <c r="O82" s="664"/>
      <c r="P82" s="664"/>
      <c r="Q82" s="664"/>
      <c r="R82" s="664"/>
      <c r="S82" s="664"/>
      <c r="T82" s="664"/>
      <c r="U82" s="664"/>
      <c r="V82" s="664"/>
      <c r="W82" s="664"/>
      <c r="X82" s="664"/>
      <c r="Y82" s="664"/>
      <c r="Z82" s="664"/>
      <c r="AA82" s="664"/>
      <c r="AB82" s="664"/>
      <c r="AC82" s="664"/>
      <c r="AD82" s="664"/>
      <c r="AE82" s="664"/>
      <c r="AF82" s="664"/>
      <c r="AG82" s="66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row>
    <row r="83">
      <c r="A83" s="664"/>
      <c r="B83" s="664"/>
      <c r="C83" s="664"/>
      <c r="D83" s="664"/>
      <c r="E83" s="664"/>
      <c r="F83" s="664"/>
      <c r="G83" s="664"/>
      <c r="H83" s="664"/>
      <c r="I83" s="664"/>
      <c r="J83" s="664"/>
      <c r="K83" s="664"/>
      <c r="L83" s="664"/>
      <c r="M83" s="664"/>
      <c r="N83" s="664"/>
      <c r="O83" s="664"/>
      <c r="P83" s="664"/>
      <c r="Q83" s="664"/>
      <c r="R83" s="664"/>
      <c r="S83" s="664"/>
      <c r="T83" s="664"/>
      <c r="U83" s="664"/>
      <c r="V83" s="664"/>
      <c r="W83" s="664"/>
      <c r="X83" s="664"/>
      <c r="Y83" s="664"/>
      <c r="Z83" s="664"/>
      <c r="AA83" s="664"/>
      <c r="AB83" s="664"/>
      <c r="AC83" s="664"/>
      <c r="AD83" s="664"/>
      <c r="AE83" s="664"/>
      <c r="AF83" s="664"/>
      <c r="AG83" s="66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row>
    <row r="84">
      <c r="A84" s="664"/>
      <c r="B84" s="664"/>
      <c r="C84" s="664"/>
      <c r="D84" s="664"/>
      <c r="E84" s="664"/>
      <c r="F84" s="664"/>
      <c r="G84" s="664"/>
      <c r="H84" s="664"/>
      <c r="I84" s="664"/>
      <c r="J84" s="664"/>
      <c r="K84" s="664"/>
      <c r="L84" s="664"/>
      <c r="M84" s="664"/>
      <c r="N84" s="664"/>
      <c r="O84" s="664"/>
      <c r="P84" s="664"/>
      <c r="Q84" s="664"/>
      <c r="R84" s="664"/>
      <c r="S84" s="664"/>
      <c r="T84" s="664"/>
      <c r="U84" s="664"/>
      <c r="V84" s="664"/>
      <c r="W84" s="664"/>
      <c r="X84" s="664"/>
      <c r="Y84" s="664"/>
      <c r="Z84" s="664"/>
      <c r="AA84" s="664"/>
      <c r="AB84" s="664"/>
      <c r="AC84" s="664"/>
      <c r="AD84" s="664"/>
      <c r="AE84" s="664"/>
      <c r="AF84" s="664"/>
      <c r="AG84" s="66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row>
    <row r="85">
      <c r="A85" s="664"/>
      <c r="B85" s="664"/>
      <c r="C85" s="664"/>
      <c r="D85" s="664"/>
      <c r="E85" s="664"/>
      <c r="F85" s="664"/>
      <c r="G85" s="664"/>
      <c r="H85" s="664"/>
      <c r="I85" s="664"/>
      <c r="J85" s="664"/>
      <c r="K85" s="664"/>
      <c r="L85" s="664"/>
      <c r="M85" s="664"/>
      <c r="N85" s="664"/>
      <c r="O85" s="664"/>
      <c r="P85" s="664"/>
      <c r="Q85" s="664"/>
      <c r="R85" s="664"/>
      <c r="S85" s="664"/>
      <c r="T85" s="664"/>
      <c r="U85" s="664"/>
      <c r="V85" s="664"/>
      <c r="W85" s="664"/>
      <c r="X85" s="664"/>
      <c r="Y85" s="664"/>
      <c r="Z85" s="664"/>
      <c r="AA85" s="664"/>
      <c r="AB85" s="664"/>
      <c r="AC85" s="664"/>
      <c r="AD85" s="664"/>
      <c r="AE85" s="664"/>
      <c r="AF85" s="664"/>
      <c r="AG85" s="66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row>
    <row r="86">
      <c r="A86" s="664"/>
      <c r="B86" s="664"/>
      <c r="C86" s="664"/>
      <c r="D86" s="664"/>
      <c r="E86" s="664"/>
      <c r="F86" s="664"/>
      <c r="G86" s="664"/>
      <c r="H86" s="664"/>
      <c r="I86" s="664"/>
      <c r="J86" s="664"/>
      <c r="K86" s="664"/>
      <c r="L86" s="664"/>
      <c r="M86" s="664"/>
      <c r="N86" s="664"/>
      <c r="O86" s="664"/>
      <c r="P86" s="664"/>
      <c r="Q86" s="664"/>
      <c r="R86" s="664"/>
      <c r="S86" s="664"/>
      <c r="T86" s="664"/>
      <c r="U86" s="664"/>
      <c r="V86" s="664"/>
      <c r="W86" s="664"/>
      <c r="X86" s="664"/>
      <c r="Y86" s="664"/>
      <c r="Z86" s="664"/>
      <c r="AA86" s="664"/>
      <c r="AB86" s="664"/>
      <c r="AC86" s="664"/>
      <c r="AD86" s="664"/>
      <c r="AE86" s="664"/>
      <c r="AF86" s="664"/>
      <c r="AG86" s="66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row>
    <row r="87">
      <c r="A87" s="664"/>
      <c r="B87" s="664"/>
      <c r="C87" s="664"/>
      <c r="D87" s="664"/>
      <c r="E87" s="664"/>
      <c r="F87" s="664"/>
      <c r="G87" s="664"/>
      <c r="H87" s="664"/>
      <c r="I87" s="664"/>
      <c r="J87" s="664"/>
      <c r="K87" s="664"/>
      <c r="L87" s="664"/>
      <c r="M87" s="664"/>
      <c r="N87" s="664"/>
      <c r="O87" s="664"/>
      <c r="P87" s="664"/>
      <c r="Q87" s="664"/>
      <c r="R87" s="664"/>
      <c r="S87" s="664"/>
      <c r="T87" s="664"/>
      <c r="U87" s="664"/>
      <c r="V87" s="664"/>
      <c r="W87" s="664"/>
      <c r="X87" s="664"/>
      <c r="Y87" s="664"/>
      <c r="Z87" s="664"/>
      <c r="AA87" s="664"/>
      <c r="AB87" s="664"/>
      <c r="AC87" s="664"/>
      <c r="AD87" s="664"/>
      <c r="AE87" s="664"/>
      <c r="AF87" s="664"/>
      <c r="AG87" s="66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row>
    <row r="88">
      <c r="A88" s="664"/>
      <c r="B88" s="664"/>
      <c r="C88" s="664"/>
      <c r="D88" s="664"/>
      <c r="E88" s="664"/>
      <c r="F88" s="664"/>
      <c r="G88" s="664"/>
      <c r="H88" s="664"/>
      <c r="I88" s="664"/>
      <c r="J88" s="664"/>
      <c r="K88" s="664"/>
      <c r="L88" s="664"/>
      <c r="M88" s="664"/>
      <c r="N88" s="664"/>
      <c r="O88" s="664"/>
      <c r="P88" s="664"/>
      <c r="Q88" s="664"/>
      <c r="R88" s="664"/>
      <c r="S88" s="664"/>
      <c r="T88" s="664"/>
      <c r="U88" s="664"/>
      <c r="V88" s="664"/>
      <c r="W88" s="664"/>
      <c r="X88" s="664"/>
      <c r="Y88" s="664"/>
      <c r="Z88" s="664"/>
      <c r="AA88" s="664"/>
      <c r="AB88" s="664"/>
      <c r="AC88" s="664"/>
      <c r="AD88" s="664"/>
      <c r="AE88" s="664"/>
      <c r="AF88" s="664"/>
      <c r="AG88" s="66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row>
    <row r="89">
      <c r="A89" s="664"/>
      <c r="B89" s="664"/>
      <c r="C89" s="664"/>
      <c r="D89" s="664"/>
      <c r="E89" s="664"/>
      <c r="F89" s="664"/>
      <c r="G89" s="664"/>
      <c r="H89" s="664"/>
      <c r="I89" s="664"/>
      <c r="J89" s="664"/>
      <c r="K89" s="664"/>
      <c r="L89" s="664"/>
      <c r="M89" s="664"/>
      <c r="N89" s="664"/>
      <c r="O89" s="664"/>
      <c r="P89" s="664"/>
      <c r="Q89" s="664"/>
      <c r="R89" s="664"/>
      <c r="S89" s="664"/>
      <c r="T89" s="664"/>
      <c r="U89" s="664"/>
      <c r="V89" s="664"/>
      <c r="W89" s="664"/>
      <c r="X89" s="664"/>
      <c r="Y89" s="664"/>
      <c r="Z89" s="664"/>
      <c r="AA89" s="664"/>
      <c r="AB89" s="664"/>
      <c r="AC89" s="664"/>
      <c r="AD89" s="664"/>
      <c r="AE89" s="664"/>
      <c r="AF89" s="664"/>
      <c r="AG89" s="66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row>
    <row r="90">
      <c r="A90" s="664"/>
      <c r="B90" s="664"/>
      <c r="C90" s="664"/>
      <c r="D90" s="664"/>
      <c r="E90" s="664"/>
      <c r="F90" s="664"/>
      <c r="G90" s="664"/>
      <c r="H90" s="664"/>
      <c r="I90" s="664"/>
      <c r="J90" s="664"/>
      <c r="K90" s="664"/>
      <c r="L90" s="664"/>
      <c r="M90" s="664"/>
      <c r="N90" s="664"/>
      <c r="O90" s="664"/>
      <c r="P90" s="664"/>
      <c r="Q90" s="664"/>
      <c r="R90" s="664"/>
      <c r="S90" s="664"/>
      <c r="T90" s="664"/>
      <c r="U90" s="664"/>
      <c r="V90" s="664"/>
      <c r="W90" s="664"/>
      <c r="X90" s="664"/>
      <c r="Y90" s="664"/>
      <c r="Z90" s="664"/>
      <c r="AA90" s="664"/>
      <c r="AB90" s="664"/>
      <c r="AC90" s="664"/>
      <c r="AD90" s="664"/>
      <c r="AE90" s="664"/>
      <c r="AF90" s="664"/>
      <c r="AG90" s="66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row>
    <row r="91">
      <c r="A91" s="664"/>
      <c r="B91" s="664"/>
      <c r="C91" s="664"/>
      <c r="D91" s="664"/>
      <c r="E91" s="664"/>
      <c r="F91" s="664"/>
      <c r="G91" s="664"/>
      <c r="H91" s="664"/>
      <c r="I91" s="664"/>
      <c r="J91" s="664"/>
      <c r="K91" s="664"/>
      <c r="L91" s="664"/>
      <c r="M91" s="664"/>
      <c r="N91" s="664"/>
      <c r="O91" s="664"/>
      <c r="P91" s="664"/>
      <c r="Q91" s="664"/>
      <c r="R91" s="664"/>
      <c r="S91" s="664"/>
      <c r="T91" s="664"/>
      <c r="U91" s="664"/>
      <c r="V91" s="664"/>
      <c r="W91" s="664"/>
      <c r="X91" s="664"/>
      <c r="Y91" s="664"/>
      <c r="Z91" s="664"/>
      <c r="AA91" s="664"/>
      <c r="AB91" s="664"/>
      <c r="AC91" s="664"/>
      <c r="AD91" s="664"/>
      <c r="AE91" s="664"/>
      <c r="AF91" s="664"/>
      <c r="AG91" s="66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row>
    <row r="92">
      <c r="A92" s="664"/>
      <c r="B92" s="664"/>
      <c r="C92" s="664"/>
      <c r="D92" s="664"/>
      <c r="E92" s="664"/>
      <c r="F92" s="664"/>
      <c r="G92" s="664"/>
      <c r="H92" s="664"/>
      <c r="I92" s="664"/>
      <c r="J92" s="664"/>
      <c r="K92" s="664"/>
      <c r="L92" s="664"/>
      <c r="M92" s="664"/>
      <c r="N92" s="664"/>
      <c r="O92" s="664"/>
      <c r="P92" s="664"/>
      <c r="Q92" s="664"/>
      <c r="R92" s="664"/>
      <c r="S92" s="664"/>
      <c r="T92" s="664"/>
      <c r="U92" s="664"/>
      <c r="V92" s="664"/>
      <c r="W92" s="664"/>
      <c r="X92" s="664"/>
      <c r="Y92" s="664"/>
      <c r="Z92" s="664"/>
      <c r="AA92" s="664"/>
      <c r="AB92" s="664"/>
      <c r="AC92" s="664"/>
      <c r="AD92" s="664"/>
      <c r="AE92" s="664"/>
      <c r="AF92" s="664"/>
      <c r="AG92" s="66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row>
    <row r="93">
      <c r="A93" s="664"/>
      <c r="B93" s="664"/>
      <c r="C93" s="664"/>
      <c r="D93" s="664"/>
      <c r="E93" s="664"/>
      <c r="F93" s="664"/>
      <c r="G93" s="664"/>
      <c r="H93" s="664"/>
      <c r="I93" s="664"/>
      <c r="J93" s="664"/>
      <c r="K93" s="664"/>
      <c r="L93" s="664"/>
      <c r="M93" s="664"/>
      <c r="N93" s="664"/>
      <c r="O93" s="664"/>
      <c r="P93" s="664"/>
      <c r="Q93" s="664"/>
      <c r="R93" s="664"/>
      <c r="S93" s="664"/>
      <c r="T93" s="664"/>
      <c r="U93" s="664"/>
      <c r="V93" s="664"/>
      <c r="W93" s="664"/>
      <c r="X93" s="664"/>
      <c r="Y93" s="664"/>
      <c r="Z93" s="664"/>
      <c r="AA93" s="664"/>
      <c r="AB93" s="664"/>
      <c r="AC93" s="664"/>
      <c r="AD93" s="664"/>
      <c r="AE93" s="664"/>
      <c r="AF93" s="664"/>
      <c r="AG93" s="66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row>
    <row r="94">
      <c r="A94" s="664"/>
      <c r="B94" s="664"/>
      <c r="C94" s="664"/>
      <c r="D94" s="664"/>
      <c r="E94" s="664"/>
      <c r="F94" s="664"/>
      <c r="G94" s="664"/>
      <c r="H94" s="664"/>
      <c r="I94" s="664"/>
      <c r="J94" s="664"/>
      <c r="K94" s="664"/>
      <c r="L94" s="664"/>
      <c r="M94" s="664"/>
      <c r="N94" s="664"/>
      <c r="O94" s="664"/>
      <c r="P94" s="664"/>
      <c r="Q94" s="664"/>
      <c r="R94" s="664"/>
      <c r="S94" s="664"/>
      <c r="T94" s="664"/>
      <c r="U94" s="664"/>
      <c r="V94" s="664"/>
      <c r="W94" s="664"/>
      <c r="X94" s="664"/>
      <c r="Y94" s="664"/>
      <c r="Z94" s="664"/>
      <c r="AA94" s="664"/>
      <c r="AB94" s="664"/>
      <c r="AC94" s="664"/>
      <c r="AD94" s="664"/>
      <c r="AE94" s="664"/>
      <c r="AF94" s="664"/>
      <c r="AG94" s="66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row>
  </sheetData>
  <mergeCells count="3">
    <mergeCell ref="X22:AD22"/>
    <mergeCell ref="R4:AG4"/>
    <mergeCell ref="B58:AH58"/>
  </mergeCells>
  <phoneticPr fontId="0" type="noConversion"/>
  <printOptions horizontalCentered="1" verticalCentered="1"/>
  <pageMargins left="0.25" right="0.25" top="0.25" bottom="0.25" header="0.23" footer="0.28"/>
  <pageSetup scale="55" orientation="landscape" r:id="rId1"/>
  <headerFooter alignWithMargins="0">
    <oddHeader/>
    <oddFooter/>
  </headerFooter>
  <drawing r:id="rId59"/>
</worksheet>
</file>

<file path=xl/worksheets/sheet1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2:M16"/>
  <sheetViews>
    <sheetView showGridLines="0" zoomScaleNormal="100" workbookViewId="0"/>
  </sheetViews>
  <sheetFormatPr defaultRowHeight="15"/>
  <cols>
    <col min="1" max="1" width="4.28515625" style="433" customWidth="1"/>
    <col min="2" max="2" width="3.42578125" style="433" customWidth="1"/>
    <col min="3" max="3" width="6.85546875" style="433" customWidth="1"/>
    <col min="4" max="4" width="9.140625" style="433"/>
    <col min="5" max="5" width="39" style="433" customWidth="1"/>
    <col min="6" max="6" width="32.28515625" style="433" customWidth="1"/>
    <col min="7" max="9" width="9.140625" style="433"/>
    <col min="10" max="10" width="12" style="433" customWidth="1"/>
    <col min="11" max="11" width="9.140625" style="433"/>
    <col min="12" max="12" width="18.28515625" style="433" customWidth="1"/>
    <col min="13" max="16384" width="9.140625" style="433"/>
  </cols>
  <sheetData>
    <row r="2" ht="84" customHeight="1">
      <c r="B2" s="434"/>
      <c r="C2" s="435"/>
      <c r="K2" s="436"/>
      <c r="M2" s="436"/>
    </row>
    <row r="3" ht="15" customHeight="1">
      <c r="B3" s="434"/>
    </row>
    <row r="4">
      <c r="A4" s="437" t="s">
        <v>102</v>
      </c>
      <c r="B4" s="438"/>
      <c r="C4" s="438"/>
      <c r="D4" s="438"/>
      <c r="E4" s="438"/>
      <c r="F4" s="438"/>
      <c r="G4" s="438"/>
      <c r="H4" s="438"/>
      <c r="I4" s="438"/>
      <c r="J4" s="438"/>
      <c r="K4" s="438"/>
    </row>
    <row r="5">
      <c r="A5" s="22" t="s">
        <v>109</v>
      </c>
      <c r="B5" s="22"/>
      <c r="C5" s="22"/>
      <c r="D5" s="22"/>
      <c r="E5" s="22"/>
      <c r="F5" s="22"/>
      <c r="G5" s="438"/>
      <c r="H5" s="438"/>
      <c r="I5" s="438"/>
      <c r="J5" s="438"/>
      <c r="K5" s="438"/>
    </row>
    <row r="6">
      <c r="A6" s="438"/>
      <c r="B6" s="438"/>
      <c r="C6" s="438"/>
      <c r="D6" s="438"/>
      <c r="E6" s="438"/>
      <c r="F6" s="438"/>
      <c r="G6" s="438"/>
      <c r="H6" s="438"/>
      <c r="I6" s="438"/>
      <c r="J6" s="438"/>
      <c r="K6" s="438"/>
    </row>
    <row r="7">
      <c r="A7" s="438"/>
      <c r="B7" s="438"/>
      <c r="C7" s="438"/>
      <c r="D7" s="438"/>
      <c r="E7" s="438"/>
      <c r="F7" s="438"/>
      <c r="G7" s="438"/>
      <c r="H7" s="438"/>
      <c r="I7" s="438"/>
      <c r="J7" s="438"/>
      <c r="K7" s="438"/>
    </row>
    <row r="8">
      <c r="A8" s="437" t="s">
        <v>103</v>
      </c>
      <c r="B8" s="438"/>
      <c r="C8" s="438"/>
      <c r="D8" s="438"/>
      <c r="E8" s="438"/>
      <c r="F8" s="438"/>
      <c r="G8" s="438"/>
      <c r="H8" s="438"/>
      <c r="I8" s="438"/>
      <c r="J8" s="438"/>
      <c r="K8" s="438"/>
    </row>
    <row r="9">
      <c r="A9" s="22" t="s">
        <v>110</v>
      </c>
      <c r="B9" s="22"/>
      <c r="C9" s="22"/>
      <c r="D9" s="22"/>
      <c r="E9" s="22"/>
      <c r="F9" s="22"/>
      <c r="G9" s="438"/>
      <c r="H9" s="438"/>
      <c r="I9" s="438"/>
      <c r="J9" s="438"/>
      <c r="K9" s="438"/>
    </row>
    <row r="10">
      <c r="A10" s="22"/>
      <c r="B10" s="22"/>
      <c r="C10" s="22"/>
      <c r="D10" s="22"/>
      <c r="E10" s="22"/>
      <c r="F10" s="22"/>
      <c r="G10" s="438"/>
      <c r="H10" s="438"/>
      <c r="I10" s="438"/>
      <c r="J10" s="438"/>
      <c r="K10" s="438"/>
    </row>
    <row r="11">
      <c r="A11" s="438"/>
      <c r="B11" s="438"/>
      <c r="C11" s="438"/>
      <c r="D11" s="438"/>
      <c r="E11" s="438"/>
      <c r="F11" s="438"/>
      <c r="G11" s="438"/>
      <c r="H11" s="438"/>
      <c r="I11" s="438"/>
      <c r="J11" s="438"/>
      <c r="K11" s="438"/>
    </row>
    <row r="12">
      <c r="A12" s="22" t="s">
        <v>111</v>
      </c>
      <c r="B12" s="22"/>
      <c r="C12" s="22"/>
      <c r="D12" s="22"/>
      <c r="E12" s="22"/>
      <c r="F12" s="438"/>
      <c r="G12" s="438"/>
      <c r="H12" s="438"/>
      <c r="I12" s="438"/>
      <c r="J12" s="438"/>
      <c r="K12" s="438"/>
    </row>
    <row r="13">
      <c r="A13" s="438"/>
      <c r="B13" s="438"/>
      <c r="C13" s="438"/>
      <c r="D13" s="438"/>
      <c r="E13" s="438"/>
      <c r="F13" s="438"/>
      <c r="G13" s="438"/>
      <c r="H13" s="438"/>
      <c r="I13" s="438"/>
      <c r="J13" s="438"/>
      <c r="K13" s="438"/>
    </row>
    <row r="14" ht="16.5" customHeight="1">
      <c r="A14" s="647" t="s">
        <v>104</v>
      </c>
      <c r="B14" s="647"/>
      <c r="C14" s="647"/>
      <c r="D14" s="647"/>
      <c r="E14" s="647"/>
      <c r="F14" s="647"/>
      <c r="G14" s="647"/>
      <c r="H14" s="647"/>
      <c r="I14" s="647"/>
      <c r="J14" s="439"/>
      <c r="K14" s="438"/>
    </row>
    <row r="15" ht="15" customHeight="1">
      <c r="A15" s="647" t="s">
        <v>105</v>
      </c>
      <c r="B15" s="647"/>
      <c r="C15" s="647"/>
      <c r="D15" s="647"/>
      <c r="E15" s="647"/>
      <c r="F15" s="647"/>
      <c r="G15" s="647"/>
      <c r="H15" s="647"/>
      <c r="I15" s="647"/>
      <c r="J15" s="439"/>
      <c r="K15" s="439"/>
      <c r="L15" s="439"/>
    </row>
    <row r="16">
      <c r="C16" s="440"/>
      <c r="D16" s="440"/>
      <c r="E16" s="440"/>
      <c r="F16" s="440"/>
      <c r="G16" s="440"/>
      <c r="H16" s="440"/>
      <c r="I16" s="440"/>
      <c r="J16" s="440"/>
      <c r="K16" s="440"/>
      <c r="L16" s="440"/>
    </row>
  </sheetData>
  <mergeCells count="2">
    <mergeCell ref="A15:I15"/>
    <mergeCell ref="A14:I14"/>
  </mergeCells>
  <hyperlinks>
    <hyperlink ref="A5:F5" r:id="rId63" display="For all STR definitions, please click here or visit www.str.com/data-insights/resources/glossary"/>
    <hyperlink ref="A14:I14" r:id="rId64" display="For the latest in industry news, visit HotelNewsNow.com."/>
    <hyperlink ref="A15:I15" r:id="rId65" display="To learn more about the Hotel Data Conference, visit HotelDataConference.com."/>
    <hyperlink ref="A9:F9" r:id="rId66" display="For all STR FAQs, please click here or visit www.str.com/data-insights/resources/FAQ"/>
    <hyperlink ref="A12:E12" r:id="rId67" display="For additional support, please contact your regional office."/>
  </hyperlinks>
  <pageMargins left="0.7" right="0.7" top="0.75" bottom="0.75" header="0.3" footer="0.3"/>
  <pageSetup orientation="landscape" r:id="rId6"/>
  <headerFooter>
    <oddHeader/>
    <oddFooter/>
  </headerFooter>
  <drawing r:id="rId7"/>
</worksheet>
</file>

<file path=xl/worksheets/sheet1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86"/>
  <sheetViews>
    <sheetView showGridLines="0" zoomScaleNormal="100" workbookViewId="0"/>
  </sheetViews>
  <sheetFormatPr defaultRowHeight="12.75"/>
  <cols>
    <col min="1" max="1" width="2" customWidth="1"/>
    <col min="2" max="2" width="16.5703125" customWidth="1"/>
    <col min="3" max="3" width="2.7109375" customWidth="1"/>
    <col min="4" max="4" width="14.42578125" customWidth="1"/>
    <col min="5" max="5" width="8.7109375" customWidth="1"/>
    <col min="6" max="6" width="5.7109375" customWidth="1"/>
    <col min="7" max="7" width="4.7109375" customWidth="1"/>
    <col min="8" max="8" width="8.7109375" customWidth="1"/>
    <col min="9" max="9" width="5.7109375" customWidth="1"/>
    <col min="10" max="10" width="4.7109375" customWidth="1"/>
    <col min="11" max="11" width="8.7109375" customWidth="1"/>
    <col min="12" max="12" width="5.7109375" customWidth="1"/>
    <col min="13" max="13" width="4.7109375" customWidth="1"/>
    <col min="14" max="14" width="8.7109375" customWidth="1"/>
    <col min="15" max="15" width="5.7109375" customWidth="1"/>
    <col min="16" max="16" width="4.7109375" customWidth="1"/>
    <col min="17" max="17" width="8.7109375" customWidth="1"/>
    <col min="18" max="18" width="5.7109375" customWidth="1"/>
    <col min="19" max="19" width="4.7109375" customWidth="1"/>
    <col min="20" max="20" width="8.7109375" customWidth="1"/>
    <col min="21" max="21" width="5.7109375" customWidth="1"/>
    <col min="22" max="22" width="4.7109375" customWidth="1"/>
    <col min="23" max="23" width="8.7109375" customWidth="1"/>
    <col min="24" max="24" width="5.7109375" customWidth="1"/>
    <col min="25" max="25" width="4.7109375" customWidth="1"/>
    <col min="26" max="26" width="8.7109375" customWidth="1"/>
    <col min="27" max="29" width="5.7109375" customWidth="1"/>
  </cols>
  <sheetData>
    <row r="1" ht="48" customHeight="1">
      <c r="A1" s="72"/>
      <c r="B1" s="20" t="s">
        <v>115</v>
      </c>
      <c r="C1" s="11"/>
      <c r="D1" s="11"/>
      <c r="E1" s="11"/>
      <c r="F1" s="11"/>
      <c r="G1" s="11"/>
      <c r="H1" s="11"/>
      <c r="I1" s="11"/>
      <c r="J1" s="11"/>
      <c r="K1" s="1"/>
      <c r="L1" s="1"/>
      <c r="M1" s="1"/>
      <c r="N1" s="1"/>
      <c r="O1" s="1"/>
      <c r="P1" s="1"/>
      <c r="Q1" s="1"/>
      <c r="R1" s="1"/>
      <c r="S1" s="1"/>
      <c r="T1" s="1"/>
      <c r="U1" s="1"/>
      <c r="V1" s="1"/>
      <c r="W1" s="1"/>
      <c r="X1" s="1"/>
      <c r="Y1" s="1"/>
      <c r="Z1" s="1"/>
      <c r="AA1" s="1"/>
      <c r="AB1" s="175"/>
      <c r="AC1" s="1"/>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8" customHeight="1">
      <c r="B2" s="10" t="s">
        <v>141</v>
      </c>
      <c r="C2" s="12"/>
      <c r="D2" s="1"/>
      <c r="E2" s="1"/>
      <c r="F2" s="1"/>
      <c r="G2" s="1"/>
      <c r="H2" s="1"/>
      <c r="I2" s="1"/>
      <c r="J2" s="1"/>
      <c r="K2" s="1"/>
      <c r="L2" s="1"/>
      <c r="M2" s="1"/>
      <c r="N2" s="1"/>
      <c r="O2" s="1"/>
      <c r="P2" s="1"/>
      <c r="Q2" s="1"/>
      <c r="R2" s="1"/>
      <c r="S2" s="1"/>
      <c r="T2" s="1"/>
      <c r="U2" s="1"/>
      <c r="V2" s="80"/>
      <c r="W2" s="1"/>
      <c r="X2" s="1"/>
      <c r="Y2" s="80"/>
      <c r="Z2" s="234"/>
      <c r="AA2" s="1"/>
      <c r="AB2" s="175"/>
      <c r="AC2" s="1"/>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5" customHeight="1">
      <c r="A3" s="1"/>
      <c r="B3" s="432" t="s">
        <v>142</v>
      </c>
      <c r="C3" s="12"/>
      <c r="D3" s="1"/>
      <c r="E3" s="1"/>
      <c r="F3" s="1"/>
      <c r="G3" s="1"/>
      <c r="H3" s="1"/>
      <c r="I3" s="1"/>
      <c r="J3" s="1"/>
      <c r="K3" s="1"/>
      <c r="L3" s="1"/>
      <c r="M3" s="1"/>
      <c r="N3" s="1"/>
      <c r="O3" s="1"/>
      <c r="P3" s="1"/>
      <c r="Q3" s="1"/>
      <c r="R3" s="1"/>
      <c r="S3" s="1"/>
      <c r="T3" s="1"/>
      <c r="U3" s="1"/>
      <c r="V3" s="1"/>
      <c r="W3" s="1"/>
      <c r="X3" s="1"/>
      <c r="Y3" s="1"/>
      <c r="Z3" s="1"/>
      <c r="AA3" s="1"/>
      <c r="AB3" s="175"/>
      <c r="AC3" s="1"/>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5" customHeight="1">
      <c r="B4" s="175" t="s">
        <v>143</v>
      </c>
      <c r="C4" s="12"/>
      <c r="D4" s="1"/>
      <c r="E4" s="1"/>
      <c r="F4" s="1"/>
      <c r="G4" s="1"/>
      <c r="H4" s="1"/>
      <c r="I4" s="1"/>
      <c r="J4" s="1"/>
      <c r="K4" s="1"/>
      <c r="L4" s="1"/>
      <c r="M4" s="1"/>
      <c r="N4" s="1"/>
      <c r="O4" s="1"/>
      <c r="P4" s="1"/>
      <c r="Q4" s="1"/>
      <c r="R4" s="1"/>
      <c r="S4" s="1"/>
      <c r="T4" s="1"/>
      <c r="U4" s="1"/>
      <c r="V4" s="1"/>
      <c r="W4" s="1"/>
      <c r="X4" s="1"/>
      <c r="Y4" s="1"/>
      <c r="Z4" s="1"/>
      <c r="AA4" s="1"/>
      <c r="AB4" s="175"/>
      <c r="AC4" s="1"/>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30.75" customHeight="1">
      <c r="A5" s="13"/>
      <c r="B5" s="12"/>
      <c r="C5" s="12"/>
      <c r="D5" s="1"/>
      <c r="E5" s="1"/>
      <c r="F5" s="1"/>
      <c r="G5" s="1"/>
      <c r="H5" s="1"/>
      <c r="I5" s="1"/>
      <c r="J5" s="1"/>
      <c r="K5" s="1"/>
      <c r="L5" s="1"/>
      <c r="M5" s="1"/>
      <c r="N5" s="1"/>
      <c r="O5" s="1"/>
      <c r="P5" s="1"/>
      <c r="Q5" s="1"/>
      <c r="R5" s="1"/>
      <c r="S5" s="1"/>
      <c r="T5" s="1"/>
      <c r="U5" s="1"/>
      <c r="V5" s="1"/>
      <c r="W5" s="1"/>
      <c r="X5" s="1"/>
      <c r="Y5" s="1"/>
      <c r="Z5" s="1"/>
      <c r="AA5" s="1"/>
      <c r="AB5" s="175"/>
      <c r="AC5" s="1"/>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s="6" customFormat="1" ht="18" customHeight="1">
      <c r="A6" s="78"/>
      <c r="B6" s="607" t="s">
        <v>144</v>
      </c>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78"/>
      <c r="AD6" s="245"/>
      <c r="AE6" s="245"/>
      <c r="AF6" s="245"/>
      <c r="AG6" s="245"/>
      <c r="AH6" s="245"/>
      <c r="AI6" s="245"/>
      <c r="AJ6" s="245"/>
      <c r="AK6" s="245"/>
      <c r="AL6" s="245"/>
      <c r="AM6" s="245"/>
      <c r="AN6" s="245"/>
      <c r="AO6" s="245"/>
      <c r="AP6" s="245"/>
      <c r="AQ6" s="245"/>
      <c r="AR6" s="245"/>
      <c r="AS6" s="245"/>
      <c r="AT6" s="245"/>
      <c r="AU6" s="245"/>
      <c r="AV6" s="245"/>
      <c r="AW6" s="245"/>
      <c r="AX6" s="245"/>
      <c r="AY6" s="245"/>
      <c r="AZ6" s="245"/>
      <c r="BA6" s="245"/>
      <c r="BB6" s="245"/>
      <c r="BC6" s="245"/>
      <c r="BD6" s="245"/>
      <c r="BE6" s="245"/>
      <c r="BF6" s="245"/>
      <c r="BG6" s="245"/>
    </row>
    <row r="7" ht="21" customHeight="1">
      <c r="A7" s="13"/>
      <c r="B7" s="12"/>
      <c r="C7" s="12"/>
      <c r="D7" s="1"/>
      <c r="E7" s="1"/>
      <c r="F7" s="1"/>
      <c r="G7" s="1"/>
      <c r="H7" s="1"/>
      <c r="I7" s="1"/>
      <c r="J7" s="1"/>
      <c r="K7" s="1"/>
      <c r="L7" s="1"/>
      <c r="M7" s="1"/>
      <c r="N7" s="1"/>
      <c r="O7" s="1"/>
      <c r="P7" s="1"/>
      <c r="Q7" s="1"/>
      <c r="R7" s="1"/>
      <c r="S7" s="1"/>
      <c r="T7" s="1"/>
      <c r="U7" s="1"/>
      <c r="V7" s="1"/>
      <c r="W7" s="1"/>
      <c r="X7" s="1"/>
      <c r="Y7" s="1"/>
      <c r="Z7" s="1"/>
      <c r="AA7" s="1"/>
      <c r="AB7" s="1"/>
      <c r="AC7" s="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8" customHeight="1">
      <c r="A8" s="1"/>
      <c r="B8" s="1"/>
      <c r="C8" s="3"/>
      <c r="D8" s="3"/>
      <c r="E8" s="648" t="s">
        <v>40</v>
      </c>
      <c r="F8" s="648"/>
      <c r="G8" s="64"/>
      <c r="H8" s="648" t="s">
        <v>39</v>
      </c>
      <c r="I8" s="648"/>
      <c r="J8" s="1"/>
      <c r="K8" s="648" t="s">
        <v>41</v>
      </c>
      <c r="L8" s="648"/>
      <c r="M8" s="64"/>
      <c r="N8" s="648" t="s">
        <v>42</v>
      </c>
      <c r="O8" s="648"/>
      <c r="P8" s="64"/>
      <c r="Q8" s="648" t="s">
        <v>43</v>
      </c>
      <c r="R8" s="648"/>
      <c r="S8" s="64"/>
      <c r="T8" s="648" t="s">
        <v>44</v>
      </c>
      <c r="U8" s="648"/>
      <c r="V8" s="64"/>
      <c r="W8" s="648" t="s">
        <v>45</v>
      </c>
      <c r="X8" s="648"/>
      <c r="Y8" s="64"/>
      <c r="Z8" s="648" t="s">
        <v>23</v>
      </c>
      <c r="AA8" s="648"/>
      <c r="AB8" s="1"/>
      <c r="AC8" s="1"/>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18" customHeight="1">
      <c r="A9" s="1"/>
      <c r="B9" s="1"/>
      <c r="C9" s="1"/>
      <c r="D9" s="1"/>
      <c r="E9" s="649" t="s">
        <v>57</v>
      </c>
      <c r="F9" s="649"/>
      <c r="G9" s="65"/>
      <c r="H9" s="649" t="s">
        <v>57</v>
      </c>
      <c r="I9" s="649"/>
      <c r="J9" s="3"/>
      <c r="K9" s="649" t="s">
        <v>57</v>
      </c>
      <c r="L9" s="649"/>
      <c r="M9" s="79"/>
      <c r="N9" s="649" t="s">
        <v>57</v>
      </c>
      <c r="O9" s="649"/>
      <c r="P9" s="65"/>
      <c r="Q9" s="649" t="s">
        <v>57</v>
      </c>
      <c r="R9" s="649"/>
      <c r="S9" s="65"/>
      <c r="T9" s="649" t="s">
        <v>57</v>
      </c>
      <c r="U9" s="649"/>
      <c r="V9" s="65"/>
      <c r="W9" s="649" t="s">
        <v>57</v>
      </c>
      <c r="X9" s="649"/>
      <c r="Y9" s="1"/>
      <c r="Z9" s="649" t="s">
        <v>57</v>
      </c>
      <c r="AA9" s="649"/>
      <c r="AB9" s="1"/>
      <c r="AC9" s="1"/>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8" customHeight="1">
      <c r="A10" s="1"/>
      <c r="B10" s="650" t="s">
        <v>28</v>
      </c>
      <c r="C10" s="1"/>
      <c r="D10" s="17" t="s">
        <v>32</v>
      </c>
      <c r="E10" s="67">
        <v>0.6666666666666666666666666667</v>
      </c>
      <c r="F10" s="73">
        <v>45.882352941121550173010401310</v>
      </c>
      <c r="G10" s="66"/>
      <c r="H10" s="67">
        <v>0.1290322580645161290322580645</v>
      </c>
      <c r="I10" s="73">
        <v>-60.655737704880623488309558630</v>
      </c>
      <c r="J10" s="66"/>
      <c r="K10" s="67">
        <v>0.2365591397849462365591397849</v>
      </c>
      <c r="L10" s="73">
        <v>-39.726027397326327641208409520</v>
      </c>
      <c r="M10" s="67"/>
      <c r="N10" s="67">
        <v>0.2634408602150537634408602151</v>
      </c>
      <c r="O10" s="73">
        <v>-41.666666666691666666666655940</v>
      </c>
      <c r="P10" s="66"/>
      <c r="Q10" s="67">
        <v>0.1935483870967741935483870968</v>
      </c>
      <c r="R10" s="73">
        <v>-63.999999999989919999999997170</v>
      </c>
      <c r="S10" s="66"/>
      <c r="T10" s="67">
        <v>0.3118279569892473118279569892</v>
      </c>
      <c r="U10" s="73">
        <v>-54.687500000016284179687494150</v>
      </c>
      <c r="V10" s="66"/>
      <c r="W10" s="67">
        <v>0.3225806451612903225806451613</v>
      </c>
      <c r="X10" s="73">
        <v>-52.755905511829623659247311170</v>
      </c>
      <c r="Y10" s="177"/>
      <c r="Z10" s="67">
        <v>0.3033794162826420890937019969</v>
      </c>
      <c r="AA10" s="73">
        <v>-39.969604863219330013580805690</v>
      </c>
      <c r="AB10" s="1"/>
      <c r="AC10" s="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8" customHeight="1">
      <c r="A11" s="1"/>
      <c r="B11" s="650"/>
      <c r="C11" s="15"/>
      <c r="D11" s="187" t="s">
        <v>26</v>
      </c>
      <c r="E11" s="180">
        <v>0.6283524904214559386973180077</v>
      </c>
      <c r="F11" s="81">
        <v>168.85245901614662725073927524</v>
      </c>
      <c r="G11" s="181"/>
      <c r="H11" s="180">
        <v>0.3927203065134099616858237548</v>
      </c>
      <c r="I11" s="81">
        <v>120.43010752716614637530387030</v>
      </c>
      <c r="J11" s="181"/>
      <c r="K11" s="180">
        <v>0.4329501915708812260536398467</v>
      </c>
      <c r="L11" s="81">
        <v>77.952755905576266352532728390</v>
      </c>
      <c r="M11" s="180"/>
      <c r="N11" s="180">
        <v>0.538314176245210727969348659</v>
      </c>
      <c r="O11" s="81">
        <v>59.659090909021965392562013240</v>
      </c>
      <c r="P11" s="181"/>
      <c r="Q11" s="180">
        <v>0.5862068965517241379310344828</v>
      </c>
      <c r="R11" s="81">
        <v>69.060773480739574494063097500</v>
      </c>
      <c r="S11" s="182"/>
      <c r="T11" s="180">
        <v>0.5804597701149425287356321839</v>
      </c>
      <c r="U11" s="81">
        <v>53.030303030136088154270154570</v>
      </c>
      <c r="V11" s="181"/>
      <c r="W11" s="180">
        <v>0.6034482758620689655172413793</v>
      </c>
      <c r="X11" s="81">
        <v>55.940594059256175865111407430</v>
      </c>
      <c r="Y11" s="183"/>
      <c r="Z11" s="180">
        <v>0.5374931581828133552271483306</v>
      </c>
      <c r="AA11" s="81">
        <v>78.707916287477208579890248390</v>
      </c>
      <c r="AB11" s="1"/>
      <c r="AC11" s="1"/>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8" customHeight="1">
      <c r="A12" s="1"/>
      <c r="B12" s="57"/>
      <c r="C12" s="15"/>
      <c r="D12" s="406" t="s">
        <v>91</v>
      </c>
      <c r="E12" s="68">
        <v>106.09756097568674152290308978</v>
      </c>
      <c r="F12" s="73">
        <v>-45.738880918120115270716793580</v>
      </c>
      <c r="G12" s="68"/>
      <c r="H12" s="68">
        <v>32.856018882803771334267273040</v>
      </c>
      <c r="I12" s="73">
        <v>-82.15113954418300648201333201</v>
      </c>
      <c r="J12" s="68"/>
      <c r="K12" s="68">
        <v>54.638880959162858131715171130</v>
      </c>
      <c r="L12" s="73">
        <v>-66.129227785206868060078767200</v>
      </c>
      <c r="M12" s="68"/>
      <c r="N12" s="68">
        <v>48.938124210787151762548362330</v>
      </c>
      <c r="O12" s="73">
        <v>-63.463819691556117036809939910</v>
      </c>
      <c r="P12" s="68"/>
      <c r="Q12" s="68">
        <v>33.017077798845942627525400780</v>
      </c>
      <c r="R12" s="73">
        <v>-78.705882352962079260231460550</v>
      </c>
      <c r="S12" s="68"/>
      <c r="T12" s="68">
        <v>53.720855956558079378682039910</v>
      </c>
      <c r="U12" s="73">
        <v>-70.389851485124995242117785780</v>
      </c>
      <c r="V12" s="68"/>
      <c r="W12" s="68">
        <v>53.456221198162791310072416760</v>
      </c>
      <c r="X12" s="73">
        <v>-69.703787026587636712976104480</v>
      </c>
      <c r="Y12" s="174"/>
      <c r="Z12" s="68">
        <v>56.443400564989269325689097240</v>
      </c>
      <c r="AA12" s="73">
        <v>-66.408653637815271126523502340</v>
      </c>
      <c r="AB12" s="1"/>
      <c r="AC12" s="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21" customHeight="1">
      <c r="A13" s="1"/>
      <c r="B13" s="16"/>
      <c r="C13" s="16"/>
      <c r="D13" s="1"/>
      <c r="E13" s="3"/>
      <c r="F13" s="66"/>
      <c r="G13" s="66"/>
      <c r="H13" s="66"/>
      <c r="I13" s="66"/>
      <c r="J13" s="66"/>
      <c r="K13" s="66"/>
      <c r="L13" s="66"/>
      <c r="M13" s="66"/>
      <c r="N13" s="66"/>
      <c r="O13" s="66"/>
      <c r="P13" s="66"/>
      <c r="Q13" s="66"/>
      <c r="R13" s="66"/>
      <c r="S13" s="66"/>
      <c r="T13" s="66"/>
      <c r="U13" s="66"/>
      <c r="V13" s="66"/>
      <c r="W13" s="66"/>
      <c r="X13" s="66"/>
      <c r="Y13" s="66"/>
      <c r="Z13" s="66"/>
      <c r="AA13" s="175"/>
      <c r="AB13" s="1"/>
      <c r="AC13" s="1"/>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8" customHeight="1">
      <c r="A14" s="1"/>
      <c r="B14" s="650" t="s">
        <v>12</v>
      </c>
      <c r="C14" s="1"/>
      <c r="D14" s="17" t="s">
        <v>32</v>
      </c>
      <c r="E14" s="237">
        <v>116.07258064516129032258064516</v>
      </c>
      <c r="F14" s="73">
        <v>26.765634778795310960146511960</v>
      </c>
      <c r="G14" s="70"/>
      <c r="H14" s="237">
        <v>91.16666666666666666666666667</v>
      </c>
      <c r="I14" s="73">
        <v>4.0053612617881190506928433900</v>
      </c>
      <c r="J14" s="70"/>
      <c r="K14" s="237">
        <v>96.06818181818181818181818182</v>
      </c>
      <c r="L14" s="73">
        <v>-1.0584470552440112770261767300</v>
      </c>
      <c r="M14" s="70"/>
      <c r="N14" s="237">
        <v>92.79591836734693877551020408</v>
      </c>
      <c r="O14" s="73">
        <v>-8.349710254472159234063995970</v>
      </c>
      <c r="P14" s="70"/>
      <c r="Q14" s="237">
        <v>79.91666666666666666666666667</v>
      </c>
      <c r="R14" s="73">
        <v>-21.925882506187312752377230690</v>
      </c>
      <c r="S14" s="70"/>
      <c r="T14" s="237">
        <v>96.27586206896551724137931034</v>
      </c>
      <c r="U14" s="73">
        <v>-13.374733974219132525681486550</v>
      </c>
      <c r="V14" s="70"/>
      <c r="W14" s="237">
        <v>109.100000000</v>
      </c>
      <c r="X14" s="73">
        <v>-8.826084095518775730079639570</v>
      </c>
      <c r="Y14" s="178"/>
      <c r="Z14" s="237">
        <v>102.18227848101265822784810127</v>
      </c>
      <c r="AA14" s="73">
        <v>-1.6759684705375266114938568400</v>
      </c>
      <c r="AB14" s="1"/>
      <c r="AC14" s="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8" customHeight="1">
      <c r="A15" s="1"/>
      <c r="B15" s="650"/>
      <c r="C15" s="15"/>
      <c r="D15" s="187" t="s">
        <v>26</v>
      </c>
      <c r="E15" s="238">
        <v>90.47417682926829268292682926</v>
      </c>
      <c r="F15" s="81">
        <v>5.7202500730114314314526665900</v>
      </c>
      <c r="G15" s="184"/>
      <c r="H15" s="238">
        <v>88.56004878048780487804878048</v>
      </c>
      <c r="I15" s="81">
        <v>-10.604051034382041024484392750</v>
      </c>
      <c r="J15" s="184"/>
      <c r="K15" s="238">
        <v>83.26159292035398230088495576</v>
      </c>
      <c r="L15" s="81">
        <v>-11.597561661449047997574045810</v>
      </c>
      <c r="M15" s="184"/>
      <c r="N15" s="238">
        <v>78.407437722419928825622775801</v>
      </c>
      <c r="O15" s="81">
        <v>-22.571461375805860679659840470</v>
      </c>
      <c r="P15" s="184"/>
      <c r="Q15" s="238">
        <v>91.2834967320261437908496732</v>
      </c>
      <c r="R15" s="81">
        <v>-8.387050955608018203366020720</v>
      </c>
      <c r="S15" s="184"/>
      <c r="T15" s="238">
        <v>93.98247524752475247524752475</v>
      </c>
      <c r="U15" s="81">
        <v>-5.7052089749400392050315719400</v>
      </c>
      <c r="V15" s="184"/>
      <c r="W15" s="238">
        <v>93.93939682539682539682539683</v>
      </c>
      <c r="X15" s="81">
        <v>-7.6560506169355642197327889600</v>
      </c>
      <c r="Y15" s="186"/>
      <c r="Z15" s="238">
        <v>88.94108961303462321792260692</v>
      </c>
      <c r="AA15" s="81">
        <v>-9.289233296516651603382645080</v>
      </c>
      <c r="AB15" s="1"/>
      <c r="AC15" s="1"/>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8" customHeight="1">
      <c r="A16" s="1"/>
      <c r="B16" s="57"/>
      <c r="C16" s="15"/>
      <c r="D16" s="406" t="s">
        <v>92</v>
      </c>
      <c r="E16" s="68">
        <v>128.29360234374772983384863505</v>
      </c>
      <c r="F16" s="73">
        <v>19.906673216633076156964306160</v>
      </c>
      <c r="G16" s="68"/>
      <c r="H16" s="68">
        <v>102.94333384190797415847711415</v>
      </c>
      <c r="I16" s="73">
        <v>16.342365023427598494709041290</v>
      </c>
      <c r="J16" s="68"/>
      <c r="K16" s="68">
        <v>115.38114807631078119122890628</v>
      </c>
      <c r="L16" s="73">
        <v>11.921746508685100508270149260</v>
      </c>
      <c r="M16" s="68"/>
      <c r="N16" s="68">
        <v>118.35091295278526143456197335</v>
      </c>
      <c r="O16" s="73">
        <v>18.367583030822600149031458120</v>
      </c>
      <c r="P16" s="68"/>
      <c r="Q16" s="68">
        <v>87.54777098569601568652873663</v>
      </c>
      <c r="R16" s="73">
        <v>-14.778294653493464312259724910</v>
      </c>
      <c r="S16" s="68"/>
      <c r="T16" s="68">
        <v>102.44022815469155558897306147</v>
      </c>
      <c r="U16" s="73">
        <v>-8.133561690809784621820370470</v>
      </c>
      <c r="V16" s="68"/>
      <c r="W16" s="68">
        <v>116.13870610940602574553775446</v>
      </c>
      <c r="X16" s="73">
        <v>-1.2670385947579844496510487900</v>
      </c>
      <c r="Y16" s="174"/>
      <c r="Z16" s="68">
        <v>114.88759461529833892192312113</v>
      </c>
      <c r="AA16" s="73">
        <v>8.392900978319960653805248240</v>
      </c>
      <c r="AB16" s="1"/>
      <c r="AC16" s="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21" customHeight="1">
      <c r="A17" s="1"/>
      <c r="B17" s="16"/>
      <c r="C17" s="16"/>
      <c r="D17" s="1"/>
      <c r="E17" s="3"/>
      <c r="F17" s="66"/>
      <c r="G17" s="66"/>
      <c r="H17" s="66"/>
      <c r="I17" s="66"/>
      <c r="J17" s="66"/>
      <c r="K17" s="66"/>
      <c r="L17" s="66"/>
      <c r="M17" s="66"/>
      <c r="N17" s="66"/>
      <c r="O17" s="66"/>
      <c r="P17" s="66"/>
      <c r="Q17" s="66"/>
      <c r="R17" s="66"/>
      <c r="S17" s="66"/>
      <c r="T17" s="66"/>
      <c r="U17" s="66"/>
      <c r="V17" s="66"/>
      <c r="W17" s="66"/>
      <c r="X17" s="66"/>
      <c r="Y17" s="66"/>
      <c r="Z17" s="66"/>
      <c r="AA17" s="175"/>
      <c r="AB17" s="1"/>
      <c r="AC17" s="1"/>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8" customHeight="1">
      <c r="A18" s="1"/>
      <c r="B18" s="650" t="s">
        <v>13</v>
      </c>
      <c r="C18" s="1"/>
      <c r="D18" s="17" t="s">
        <v>32</v>
      </c>
      <c r="E18" s="237">
        <v>77.381720430107526881720430108</v>
      </c>
      <c r="F18" s="73">
        <v>84.92869073624372718626959318</v>
      </c>
      <c r="G18" s="70"/>
      <c r="H18" s="237">
        <v>11.763440860215053763440860215</v>
      </c>
      <c r="I18" s="73">
        <v>-59.079857864284152073515191090</v>
      </c>
      <c r="J18" s="70"/>
      <c r="K18" s="237">
        <v>22.725806451612903225806451613</v>
      </c>
      <c r="L18" s="73">
        <v>-40.363995485295341871168753150</v>
      </c>
      <c r="M18" s="70"/>
      <c r="N18" s="237">
        <v>24.44623655913978494623655914</v>
      </c>
      <c r="O18" s="73">
        <v>-46.537330981760339752422836540</v>
      </c>
      <c r="P18" s="70"/>
      <c r="Q18" s="237">
        <v>15.467741935483870967741935484</v>
      </c>
      <c r="R18" s="73">
        <v>-71.893317702219194993464894250</v>
      </c>
      <c r="S18" s="70"/>
      <c r="T18" s="237">
        <v>30.021505376344086021505376344</v>
      </c>
      <c r="U18" s="73">
        <v>-60.747926332046522833220157660</v>
      </c>
      <c r="V18" s="70"/>
      <c r="W18" s="237">
        <v>35.193548387096774193548387097</v>
      </c>
      <c r="X18" s="73">
        <v>-56.925709021533844238183529890</v>
      </c>
      <c r="Y18" s="178"/>
      <c r="Z18" s="237">
        <v>31.000000000</v>
      </c>
      <c r="AA18" s="73">
        <v>-40.975695358440085841110796160</v>
      </c>
      <c r="AB18" s="1"/>
      <c r="AC18" s="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8" customHeight="1">
      <c r="A19" s="1"/>
      <c r="B19" s="650" t="s"/>
      <c r="C19" s="15"/>
      <c r="D19" s="187" t="s">
        <v>26</v>
      </c>
      <c r="E19" s="238">
        <v>56.849674329501915708812260536</v>
      </c>
      <c r="F19" s="81">
        <v>184.23149199900002122977553053</v>
      </c>
      <c r="G19" s="184"/>
      <c r="H19" s="238">
        <v>34.779329501915708812260536398</v>
      </c>
      <c r="I19" s="81">
        <v>97.05558642976763974731217178</v>
      </c>
      <c r="J19" s="184"/>
      <c r="K19" s="238">
        <v>36.048122605363984674329501916</v>
      </c>
      <c r="L19" s="81">
        <v>57.314575311053777262584254250</v>
      </c>
      <c r="M19" s="184"/>
      <c r="N19" s="238">
        <v>42.207835249042145593869731801</v>
      </c>
      <c r="O19" s="81">
        <v>23.621700871543845247425712490</v>
      </c>
      <c r="P19" s="184"/>
      <c r="Q19" s="238">
        <v>53.511015325670498084291187739</v>
      </c>
      <c r="R19" s="81">
        <v>54.881560262960858296909919450</v>
      </c>
      <c r="S19" s="184"/>
      <c r="T19" s="238">
        <v>54.553045977011494252873563218</v>
      </c>
      <c r="U19" s="81">
        <v>44.29960444726914042597960600</v>
      </c>
      <c r="V19" s="184"/>
      <c r="W19" s="238">
        <v>56.68756704980842911877394636</v>
      </c>
      <c r="X19" s="81">
        <v>44.001703246052812162672828420</v>
      </c>
      <c r="Y19" s="186"/>
      <c r="Z19" s="238">
        <v>47.805227148330596606458675424</v>
      </c>
      <c r="AA19" s="81">
        <v>62.107321024044472807818311800</v>
      </c>
      <c r="AB19" s="1"/>
      <c r="AC19" s="1"/>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8" customHeight="1">
      <c r="A20" s="1"/>
      <c r="B20" s="57"/>
      <c r="C20" s="15"/>
      <c r="D20" s="406" t="s">
        <v>93</v>
      </c>
      <c r="E20" s="68">
        <v>136.11638297451634459801664765</v>
      </c>
      <c r="F20" s="73">
        <v>-34.937297258782471416292058470</v>
      </c>
      <c r="G20" s="68"/>
      <c r="H20" s="68">
        <v>33.823081205669635524552413060</v>
      </c>
      <c r="I20" s="73">
        <v>-79.23421361597273429462664827</v>
      </c>
      <c r="J20" s="68"/>
      <c r="K20" s="68">
        <v>63.042968146720026262570384720</v>
      </c>
      <c r="L20" s="73">
        <v>-62.091240181202225671996130120</v>
      </c>
      <c r="M20" s="68"/>
      <c r="N20" s="68">
        <v>57.918716785455070487395133220</v>
      </c>
      <c r="O20" s="73">
        <v>-56.753006437080339593314227020</v>
      </c>
      <c r="P20" s="68"/>
      <c r="Q20" s="68">
        <v>28.905715657492116476000524610</v>
      </c>
      <c r="R20" s="73">
        <v>-81.85278980270827521196276576</v>
      </c>
      <c r="S20" s="68"/>
      <c r="T20" s="68">
        <v>55.031767408553855132988839930</v>
      </c>
      <c r="U20" s="73">
        <v>-72.798211181314220172734397330</v>
      </c>
      <c r="V20" s="68"/>
      <c r="W20" s="68">
        <v>62.083363634532522984363027350</v>
      </c>
      <c r="X20" s="73">
        <v>-70.087651737776090599848813510</v>
      </c>
      <c r="Y20" s="174"/>
      <c r="Z20" s="68">
        <v>64.846465228232661810247156730</v>
      </c>
      <c r="AA20" s="73">
        <v>-63.589365200317998534740298080</v>
      </c>
      <c r="AB20" s="1"/>
      <c r="AC20" s="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23.1" customHeight="1">
      <c r="A21" s="1"/>
      <c r="B21" s="16"/>
      <c r="C21" s="16"/>
      <c r="D21" s="1"/>
      <c r="E21" s="1"/>
      <c r="F21" s="1"/>
      <c r="G21" s="1"/>
      <c r="H21" s="1"/>
      <c r="I21" s="1"/>
      <c r="J21" s="1"/>
      <c r="K21" s="1"/>
      <c r="L21" s="1"/>
      <c r="M21" s="1"/>
      <c r="N21" s="1"/>
      <c r="O21" s="1"/>
      <c r="P21" s="1"/>
      <c r="Q21" s="1"/>
      <c r="R21" s="1"/>
      <c r="S21" s="1"/>
      <c r="T21" s="1"/>
      <c r="U21" s="1"/>
      <c r="V21" s="1"/>
      <c r="W21" s="1"/>
      <c r="X21" s="1"/>
      <c r="Y21" s="1"/>
      <c r="Z21" s="1"/>
      <c r="AA21" s="1"/>
      <c r="AB21" s="1"/>
      <c r="AC21" s="1"/>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23.1"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s="6" customFormat="1" ht="18" customHeight="1">
      <c r="A23" s="78"/>
      <c r="B23" s="607" t="s">
        <v>69</v>
      </c>
      <c r="C23" s="607"/>
      <c r="D23" s="607"/>
      <c r="E23" s="607"/>
      <c r="F23" s="607"/>
      <c r="G23" s="607"/>
      <c r="H23" s="607"/>
      <c r="I23" s="607"/>
      <c r="J23" s="607"/>
      <c r="K23" s="607"/>
      <c r="L23" s="607"/>
      <c r="M23" s="607"/>
      <c r="N23" s="607"/>
      <c r="O23" s="607"/>
      <c r="P23" s="607"/>
      <c r="Q23" s="607"/>
      <c r="R23" s="607"/>
      <c r="S23" s="607"/>
      <c r="T23" s="607"/>
      <c r="U23" s="607"/>
      <c r="V23" s="607"/>
      <c r="W23" s="607"/>
      <c r="X23" s="607"/>
      <c r="Y23" s="607"/>
      <c r="Z23" s="607"/>
      <c r="AA23" s="607"/>
      <c r="AB23" s="607"/>
      <c r="AC23" s="78"/>
      <c r="AD23" s="245"/>
      <c r="AE23" s="245"/>
      <c r="AF23" s="245"/>
      <c r="AG23" s="245"/>
      <c r="AH23" s="245"/>
      <c r="AI23" s="245"/>
      <c r="AJ23" s="245"/>
      <c r="AK23" s="245"/>
      <c r="AL23" s="245"/>
      <c r="AM23" s="245"/>
      <c r="AN23" s="245"/>
      <c r="AO23" s="245"/>
      <c r="AP23" s="245"/>
      <c r="AQ23" s="245"/>
      <c r="AR23" s="245"/>
      <c r="AS23" s="245"/>
      <c r="AT23" s="245"/>
      <c r="AU23" s="245"/>
      <c r="AV23" s="245"/>
      <c r="AW23" s="245"/>
      <c r="AX23" s="245"/>
      <c r="AY23" s="245"/>
      <c r="AZ23" s="245"/>
      <c r="BA23" s="245"/>
      <c r="BB23" s="245"/>
      <c r="BC23" s="245"/>
      <c r="BD23" s="245"/>
      <c r="BE23" s="245"/>
      <c r="BF23" s="245"/>
      <c r="BG23" s="245"/>
    </row>
    <row r="24" ht="21" customHeight="1">
      <c r="A24" s="1"/>
      <c r="B24" s="16"/>
      <c r="C24" s="16"/>
      <c r="D24" s="1"/>
      <c r="E24" s="1"/>
      <c r="F24" s="1"/>
      <c r="G24" s="1"/>
      <c r="H24" s="1"/>
      <c r="I24" s="1"/>
      <c r="J24" s="1"/>
      <c r="K24" s="1"/>
      <c r="L24" s="1"/>
      <c r="M24" s="1"/>
      <c r="N24" s="1"/>
      <c r="O24" s="1"/>
      <c r="P24" s="1"/>
      <c r="Q24" s="1"/>
      <c r="R24" s="1"/>
      <c r="S24" s="1"/>
      <c r="T24" s="1"/>
      <c r="U24" s="1"/>
      <c r="V24" s="1"/>
      <c r="W24" s="1"/>
      <c r="X24" s="1"/>
      <c r="Y24" s="1"/>
      <c r="Z24" s="1"/>
      <c r="AA24" s="1"/>
      <c r="AB24" s="1"/>
      <c r="AC24" s="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8" customHeight="1">
      <c r="A25" s="1"/>
      <c r="B25" s="1"/>
      <c r="C25" s="1"/>
      <c r="D25" s="3"/>
      <c r="E25" s="648" t="s">
        <v>40</v>
      </c>
      <c r="F25" s="648"/>
      <c r="G25" s="64"/>
      <c r="H25" s="648" t="s">
        <v>39</v>
      </c>
      <c r="I25" s="648"/>
      <c r="J25" s="1"/>
      <c r="K25" s="648" t="s">
        <v>41</v>
      </c>
      <c r="L25" s="648"/>
      <c r="M25" s="64"/>
      <c r="N25" s="648" t="s">
        <v>42</v>
      </c>
      <c r="O25" s="648"/>
      <c r="P25" s="64"/>
      <c r="Q25" s="648" t="s">
        <v>43</v>
      </c>
      <c r="R25" s="648"/>
      <c r="S25" s="64"/>
      <c r="T25" s="648" t="s">
        <v>44</v>
      </c>
      <c r="U25" s="648"/>
      <c r="V25" s="64"/>
      <c r="W25" s="648" t="s">
        <v>45</v>
      </c>
      <c r="X25" s="648"/>
      <c r="Y25" s="64"/>
      <c r="Z25" s="648" t="s">
        <v>23</v>
      </c>
      <c r="AA25" s="648"/>
      <c r="AB25" s="1"/>
      <c r="AC25" s="1"/>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8" customHeight="1">
      <c r="A26" s="1"/>
      <c r="B26" s="16"/>
      <c r="C26" s="16"/>
      <c r="D26" s="1"/>
      <c r="E26" s="649" t="s">
        <v>57</v>
      </c>
      <c r="F26" s="649"/>
      <c r="G26" s="65"/>
      <c r="H26" s="649" t="s">
        <v>57</v>
      </c>
      <c r="I26" s="649"/>
      <c r="J26" s="3"/>
      <c r="K26" s="649" t="s">
        <v>57</v>
      </c>
      <c r="L26" s="649"/>
      <c r="M26" s="65"/>
      <c r="N26" s="649" t="s">
        <v>57</v>
      </c>
      <c r="O26" s="649"/>
      <c r="P26" s="65"/>
      <c r="Q26" s="649" t="s">
        <v>57</v>
      </c>
      <c r="R26" s="649"/>
      <c r="S26" s="65"/>
      <c r="T26" s="649" t="s">
        <v>57</v>
      </c>
      <c r="U26" s="649"/>
      <c r="V26" s="65"/>
      <c r="W26" s="649" t="s">
        <v>57</v>
      </c>
      <c r="X26" s="649"/>
      <c r="Y26" s="1"/>
      <c r="Z26" s="649" t="s">
        <v>57</v>
      </c>
      <c r="AA26" s="649"/>
      <c r="AB26" s="1"/>
      <c r="AC26" s="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8" customHeight="1">
      <c r="A27" s="1"/>
      <c r="B27" s="650" t="s">
        <v>28</v>
      </c>
      <c r="C27" s="1"/>
      <c r="D27" s="17" t="s">
        <v>32</v>
      </c>
      <c r="E27" s="67">
        <v>0.3252688172043010752688172043</v>
      </c>
      <c r="F27" s="73">
        <v>3.8626609441239882849196617400</v>
      </c>
      <c r="G27" s="66"/>
      <c r="H27" s="67">
        <v>0.2755376344086021505376344086</v>
      </c>
      <c r="I27" s="73">
        <v>-8.071748879016107301574441220</v>
      </c>
      <c r="J27" s="66"/>
      <c r="K27" s="67">
        <v>0.3172043010752688172043010753</v>
      </c>
      <c r="L27" s="73">
        <v>-17.770034843196406415034781470</v>
      </c>
      <c r="M27" s="67"/>
      <c r="N27" s="67">
        <v>0.3212365591397849462365591398</v>
      </c>
      <c r="O27" s="73">
        <v>-19.256756756839682249817299780</v>
      </c>
      <c r="P27" s="66"/>
      <c r="Q27" s="67">
        <v>0.3172043010752688172043010753</v>
      </c>
      <c r="R27" s="73">
        <v>-19.727891156547771761765840450</v>
      </c>
      <c r="S27" s="66"/>
      <c r="T27" s="67">
        <v>0.4368279569892473118279569892</v>
      </c>
      <c r="U27" s="73">
        <v>-6.0693641618779444685756205100</v>
      </c>
      <c r="V27" s="66"/>
      <c r="W27" s="67">
        <v>0.502688172043010752688172043</v>
      </c>
      <c r="X27" s="73">
        <v>-11.374407582896385975157770800</v>
      </c>
      <c r="Y27" s="177"/>
      <c r="Z27" s="67">
        <v>0.3565668202764976958525345622</v>
      </c>
      <c r="AA27" s="73">
        <v>-11.613517372592173306108991780</v>
      </c>
      <c r="AB27" s="1"/>
      <c r="AC27" s="1"/>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8" customHeight="1">
      <c r="A28" s="1"/>
      <c r="B28" s="650"/>
      <c r="C28" s="15"/>
      <c r="D28" s="187" t="s">
        <v>26</v>
      </c>
      <c r="E28" s="180">
        <v>0.538314176245210727969348659</v>
      </c>
      <c r="F28" s="81">
        <v>138.64118895931981554356547151</v>
      </c>
      <c r="G28" s="181"/>
      <c r="H28" s="180">
        <v>0.5627394636015325670498084292</v>
      </c>
      <c r="I28" s="81">
        <v>77.492447129975858197716365600</v>
      </c>
      <c r="J28" s="181"/>
      <c r="K28" s="180">
        <v>0.635057471264367816091954023</v>
      </c>
      <c r="L28" s="81">
        <v>62.899262899270904140683010860</v>
      </c>
      <c r="M28" s="180"/>
      <c r="N28" s="180">
        <v>0.6479885057471264367816091954</v>
      </c>
      <c r="O28" s="81">
        <v>56.235565820014420045976180400</v>
      </c>
      <c r="P28" s="181"/>
      <c r="Q28" s="180">
        <v>0.6139846743295019157088122606</v>
      </c>
      <c r="R28" s="81">
        <v>66.816065696983843266470631160</v>
      </c>
      <c r="S28" s="182"/>
      <c r="T28" s="180">
        <v>0.6364942528735632183908045977</v>
      </c>
      <c r="U28" s="81">
        <v>68.654822335170920405060807390</v>
      </c>
      <c r="V28" s="181"/>
      <c r="W28" s="180">
        <v>0.6580459770114942528735632184</v>
      </c>
      <c r="X28" s="81">
        <v>70.895522388222944976609645800</v>
      </c>
      <c r="Y28" s="183"/>
      <c r="Z28" s="180">
        <v>0.6132320744389709906951286262</v>
      </c>
      <c r="AA28" s="81">
        <v>73.247912442860097426408741290</v>
      </c>
      <c r="AB28" s="1"/>
      <c r="AC28" s="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8" customHeight="1">
      <c r="A29" s="1"/>
      <c r="B29" s="57"/>
      <c r="C29" s="15"/>
      <c r="D29" s="406" t="s">
        <v>91</v>
      </c>
      <c r="E29" s="68">
        <v>60.423602341890258808860733070</v>
      </c>
      <c r="F29" s="73">
        <v>-56.477479266181122194079142720</v>
      </c>
      <c r="G29" s="68"/>
      <c r="H29" s="68">
        <v>48.963623884653906838592887070</v>
      </c>
      <c r="I29" s="73">
        <v>-48.207232134394145579482732130</v>
      </c>
      <c r="J29" s="68"/>
      <c r="K29" s="68">
        <v>49.948912567537322622254851570</v>
      </c>
      <c r="L29" s="73">
        <v>-49.520971615638563927882778920</v>
      </c>
      <c r="M29" s="68"/>
      <c r="N29" s="68">
        <v>49.574422430450986268821276760</v>
      </c>
      <c r="O29" s="73">
        <v>-48.319550148871761989741400650</v>
      </c>
      <c r="P29" s="68"/>
      <c r="Q29" s="68">
        <v>51.663227819393447172641104010</v>
      </c>
      <c r="R29" s="73">
        <v>-51.879869299119940110377337020</v>
      </c>
      <c r="S29" s="68"/>
      <c r="T29" s="68">
        <v>68.630306560791759119709538950</v>
      </c>
      <c r="U29" s="73">
        <v>-44.305988682948351566734226190</v>
      </c>
      <c r="V29" s="68"/>
      <c r="W29" s="68">
        <v>76.391040991746346954580643970</v>
      </c>
      <c r="X29" s="73">
        <v>-48.140483039818553449866396260</v>
      </c>
      <c r="Y29" s="174"/>
      <c r="Z29" s="68">
        <v>58.145494200167843196309678120</v>
      </c>
      <c r="AA29" s="73">
        <v>-48.982656482801655925619112320</v>
      </c>
      <c r="AB29" s="1"/>
      <c r="AC29" s="1"/>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21" customHeight="1">
      <c r="A30" s="1"/>
      <c r="B30" s="16"/>
      <c r="C30" s="16"/>
      <c r="D30" s="1"/>
      <c r="E30" s="66"/>
      <c r="F30" s="66"/>
      <c r="G30" s="66"/>
      <c r="H30" s="66"/>
      <c r="I30" s="66"/>
      <c r="J30" s="66"/>
      <c r="K30" s="66"/>
      <c r="L30" s="66"/>
      <c r="M30" s="66"/>
      <c r="N30" s="66"/>
      <c r="O30" s="66"/>
      <c r="P30" s="66"/>
      <c r="Q30" s="66"/>
      <c r="R30" s="66"/>
      <c r="S30" s="66"/>
      <c r="T30" s="66"/>
      <c r="U30" s="66"/>
      <c r="V30" s="66"/>
      <c r="W30" s="66"/>
      <c r="X30" s="66"/>
      <c r="Y30" s="66"/>
      <c r="Z30" s="66"/>
      <c r="AA30" s="19"/>
      <c r="AB30" s="1"/>
      <c r="AC30" s="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8" customHeight="1">
      <c r="A31" s="1"/>
      <c r="B31" s="650" t="s">
        <v>12</v>
      </c>
      <c r="C31" s="1"/>
      <c r="D31" s="17" t="s">
        <v>32</v>
      </c>
      <c r="E31" s="237">
        <v>104.8760330578512396694214876</v>
      </c>
      <c r="F31" s="73">
        <v>-0.1914973554072379676618197200</v>
      </c>
      <c r="G31" s="70"/>
      <c r="H31" s="237">
        <v>93.63414634146341463414634146</v>
      </c>
      <c r="I31" s="73">
        <v>-18.058179757712164987853186100</v>
      </c>
      <c r="J31" s="70"/>
      <c r="K31" s="237">
        <v>97.49576271186440677966101695</v>
      </c>
      <c r="L31" s="73">
        <v>-4.4648711178436718500343508400</v>
      </c>
      <c r="M31" s="70"/>
      <c r="N31" s="237">
        <v>93.74476987447698744769874477</v>
      </c>
      <c r="O31" s="73">
        <v>-7.3693020334960297432816114200</v>
      </c>
      <c r="P31" s="70"/>
      <c r="Q31" s="237">
        <v>87.12288135593220338983050847</v>
      </c>
      <c r="R31" s="73">
        <v>-12.193181177753952629736111920</v>
      </c>
      <c r="S31" s="70"/>
      <c r="T31" s="237">
        <v>106.52923076923076923076923077</v>
      </c>
      <c r="U31" s="73">
        <v>-7.6582978100076281728395291200</v>
      </c>
      <c r="V31" s="70"/>
      <c r="W31" s="237">
        <v>116.15508021390374331550802139</v>
      </c>
      <c r="X31" s="73">
        <v>8.498481230408841880961243030</v>
      </c>
      <c r="Y31" s="178"/>
      <c r="Z31" s="237">
        <v>101.56919763058696822832525579</v>
      </c>
      <c r="AA31" s="73">
        <v>-4.5097285057374416121655820400</v>
      </c>
      <c r="AB31" s="1"/>
      <c r="AC31" s="1"/>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8" customHeight="1">
      <c r="A32" s="1"/>
      <c r="B32" s="650"/>
      <c r="C32" s="15"/>
      <c r="D32" s="187" t="s">
        <v>26</v>
      </c>
      <c r="E32" s="238">
        <v>87.68120996441281138790035587</v>
      </c>
      <c r="F32" s="81">
        <v>-0.6510464340793808263154842700</v>
      </c>
      <c r="G32" s="184"/>
      <c r="H32" s="238">
        <v>90.41450212765957446808510638</v>
      </c>
      <c r="I32" s="81">
        <v>-10.641827555302424743399739100</v>
      </c>
      <c r="J32" s="184"/>
      <c r="K32" s="238">
        <v>94.75959276018099547511312217</v>
      </c>
      <c r="L32" s="81">
        <v>-24.362563917014508160633770780</v>
      </c>
      <c r="M32" s="184"/>
      <c r="N32" s="238">
        <v>91.63328159645232815964523282</v>
      </c>
      <c r="O32" s="81">
        <v>-7.7961726185427308276336600200</v>
      </c>
      <c r="P32" s="184"/>
      <c r="Q32" s="238">
        <v>92.39793291731669266770670826</v>
      </c>
      <c r="R32" s="81">
        <v>-5.4222074463423469499930364100</v>
      </c>
      <c r="S32" s="184"/>
      <c r="T32" s="238">
        <v>92.88517682468021068472535741</v>
      </c>
      <c r="U32" s="81">
        <v>-1.9364846692553791120121713200</v>
      </c>
      <c r="V32" s="184"/>
      <c r="W32" s="238">
        <v>93.86816593886462882096069869</v>
      </c>
      <c r="X32" s="81">
        <v>-6.5034016370950435129636203500</v>
      </c>
      <c r="Y32" s="186"/>
      <c r="Z32" s="238">
        <v>92.07800736360593551266317081</v>
      </c>
      <c r="AA32" s="81">
        <v>-9.613417600057486379459065700</v>
      </c>
      <c r="AB32" s="1"/>
      <c r="AC32" s="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8" customHeight="1">
      <c r="A33" s="1"/>
      <c r="B33" s="57"/>
      <c r="C33" s="15"/>
      <c r="D33" s="406" t="s">
        <v>92</v>
      </c>
      <c r="E33" s="68">
        <v>119.61061338048667215344626618</v>
      </c>
      <c r="F33" s="73">
        <v>0.4625605627441611176216537700</v>
      </c>
      <c r="G33" s="68"/>
      <c r="H33" s="68">
        <v>103.56098207477384604149026897</v>
      </c>
      <c r="I33" s="73">
        <v>-8.299579097845589615940476330</v>
      </c>
      <c r="J33" s="68"/>
      <c r="K33" s="68">
        <v>102.88748597578780034397167807</v>
      </c>
      <c r="L33" s="73">
        <v>26.306672766331927863337226610</v>
      </c>
      <c r="M33" s="68"/>
      <c r="N33" s="68">
        <v>102.30428097868933822179393781</v>
      </c>
      <c r="O33" s="73">
        <v>0.4629640624196308528905208900</v>
      </c>
      <c r="P33" s="68"/>
      <c r="Q33" s="68">
        <v>94.29094202130129084321255974</v>
      </c>
      <c r="R33" s="73">
        <v>-7.159158136934700377197238500</v>
      </c>
      <c r="S33" s="68"/>
      <c r="T33" s="68">
        <v>114.68916183502656180282758530</v>
      </c>
      <c r="U33" s="73">
        <v>-5.8348032104518287756959083800</v>
      </c>
      <c r="V33" s="68"/>
      <c r="W33" s="68">
        <v>123.74278228628711387887289496</v>
      </c>
      <c r="X33" s="73">
        <v>16.045378259892232603303921140</v>
      </c>
      <c r="Y33" s="174"/>
      <c r="Z33" s="68">
        <v>110.30777113747467663202933091</v>
      </c>
      <c r="AA33" s="73">
        <v>5.6465118592171524615035675600</v>
      </c>
      <c r="AB33" s="1"/>
      <c r="AC33" s="1"/>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21" customHeight="1">
      <c r="A34" s="1"/>
      <c r="B34" s="16"/>
      <c r="C34" s="16"/>
      <c r="D34" s="1"/>
      <c r="E34" s="66"/>
      <c r="F34" s="66"/>
      <c r="G34" s="66"/>
      <c r="H34" s="66"/>
      <c r="I34" s="66"/>
      <c r="J34" s="66"/>
      <c r="K34" s="66"/>
      <c r="L34" s="66"/>
      <c r="M34" s="66"/>
      <c r="N34" s="66"/>
      <c r="O34" s="66"/>
      <c r="P34" s="66"/>
      <c r="Q34" s="66"/>
      <c r="R34" s="66"/>
      <c r="S34" s="66"/>
      <c r="T34" s="66"/>
      <c r="U34" s="66"/>
      <c r="V34" s="66"/>
      <c r="W34" s="66"/>
      <c r="X34" s="66"/>
      <c r="Y34" s="66"/>
      <c r="Z34" s="66"/>
      <c r="AA34" s="18"/>
      <c r="AB34" s="1"/>
      <c r="AC34" s="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8" customHeight="1">
      <c r="A35" s="1"/>
      <c r="B35" s="650" t="s">
        <v>13</v>
      </c>
      <c r="C35" s="1"/>
      <c r="D35" s="17" t="s">
        <v>32</v>
      </c>
      <c r="E35" s="237">
        <v>34.112903225806451612903225806</v>
      </c>
      <c r="F35" s="73">
        <v>3.6637666953087434219803008200</v>
      </c>
      <c r="G35" s="70"/>
      <c r="H35" s="237">
        <v>25.799731182795698924731182796</v>
      </c>
      <c r="I35" s="73">
        <v>-24.672317714465112628522094030</v>
      </c>
      <c r="J35" s="70"/>
      <c r="K35" s="237">
        <v>30.926075268817204301075268817</v>
      </c>
      <c r="L35" s="73">
        <v>-21.441496807733171623099216890</v>
      </c>
      <c r="M35" s="70"/>
      <c r="N35" s="237">
        <v>30.114247311827956989247311828</v>
      </c>
      <c r="O35" s="73">
        <v>-25.206970222965760384113273350</v>
      </c>
      <c r="P35" s="70"/>
      <c r="Q35" s="237">
        <v>27.635752688172043010752688172</v>
      </c>
      <c r="R35" s="73">
        <v>-29.515614822880668720565199700</v>
      </c>
      <c r="S35" s="70"/>
      <c r="T35" s="237">
        <v>46.534946236559139784946236559</v>
      </c>
      <c r="U35" s="73">
        <v>-13.262851989163365123076727270</v>
      </c>
      <c r="V35" s="70"/>
      <c r="W35" s="237">
        <v>58.389784946236559139784946237</v>
      </c>
      <c r="X35" s="73">
        <v>-3.8425782460966383250096824800</v>
      </c>
      <c r="Y35" s="178"/>
      <c r="Z35" s="237">
        <v>36.216205837173579109062980031</v>
      </c>
      <c r="AA35" s="73">
        <v>-15.599507774999263563018145910</v>
      </c>
      <c r="AB35" s="1"/>
      <c r="AC35" s="1"/>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8" customHeight="1">
      <c r="A36" s="1"/>
      <c r="B36" s="650" t="s"/>
      <c r="C36" s="15"/>
      <c r="D36" s="187" t="s">
        <v>26</v>
      </c>
      <c r="E36" s="238">
        <v>47.200038314176245210727969349</v>
      </c>
      <c r="F36" s="81">
        <v>137.08752400820613908529415178</v>
      </c>
      <c r="G36" s="184"/>
      <c r="H36" s="238">
        <v>50.879808429118773946360153257</v>
      </c>
      <c r="I36" s="81">
        <v>58.604006982784052057307992740</v>
      </c>
      <c r="J36" s="184"/>
      <c r="K36" s="238">
        <v>60.177787356321839080459770115</v>
      </c>
      <c r="L36" s="81">
        <v>23.212825854923298205122208900</v>
      </c>
      <c r="M36" s="184"/>
      <c r="N36" s="238">
        <v>59.377313218390804597701149425</v>
      </c>
      <c r="O36" s="81">
        <v>44.055171417061402098701221660</v>
      </c>
      <c r="P36" s="184"/>
      <c r="Q36" s="238">
        <v>56.730914750957854406130268199</v>
      </c>
      <c r="R36" s="81">
        <v>57.770952560955551657628713030</v>
      </c>
      <c r="S36" s="184"/>
      <c r="T36" s="238">
        <v>59.120881226053639846743295019</v>
      </c>
      <c r="U36" s="81">
        <v>65.388847556484786968165968680</v>
      </c>
      <c r="V36" s="184"/>
      <c r="W36" s="238">
        <v>61.769568965517241379310344828</v>
      </c>
      <c r="X36" s="81">
        <v>59.781500187150594790261749210</v>
      </c>
      <c r="Y36" s="186"/>
      <c r="Z36" s="238">
        <v>56.465187465790914066776135742</v>
      </c>
      <c r="AA36" s="81">
        <v>56.592867136279527292831373330</v>
      </c>
      <c r="AB36" s="1"/>
      <c r="AC36" s="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8" customHeight="1">
      <c r="A37" s="1"/>
      <c r="B37" s="57"/>
      <c r="C37" s="15"/>
      <c r="D37" s="406" t="s">
        <v>93</v>
      </c>
      <c r="E37" s="68">
        <v>72.273041387645822600651404550</v>
      </c>
      <c r="F37" s="73">
        <v>-56.276161249358745761534139880</v>
      </c>
      <c r="G37" s="68"/>
      <c r="H37" s="68">
        <v>50.707209754429619444463480990</v>
      </c>
      <c r="I37" s="73">
        <v>-52.505813870289666231403171740</v>
      </c>
      <c r="J37" s="68"/>
      <c r="K37" s="68">
        <v>51.391180412982664998329090150</v>
      </c>
      <c r="L37" s="73">
        <v>-36.241618802827787110868713250</v>
      </c>
      <c r="M37" s="68"/>
      <c r="N37" s="68">
        <v>50.716756416819604105213209060</v>
      </c>
      <c r="O37" s="73">
        <v>-48.080288238702684999983974550</v>
      </c>
      <c r="P37" s="68"/>
      <c r="Q37" s="68">
        <v>48.713744189511602347038784790</v>
      </c>
      <c r="R37" s="73">
        <v>-55.324865551682154878692635580</v>
      </c>
      <c r="S37" s="68"/>
      <c r="T37" s="68">
        <v>78.711523359390374222205180670</v>
      </c>
      <c r="U37" s="73">
        <v>-47.555624643215837227400983580</v>
      </c>
      <c r="V37" s="68"/>
      <c r="W37" s="68">
        <v>94.52839954063603225287904690</v>
      </c>
      <c r="X37" s="73">
        <v>-39.819427379656240224060966700</v>
      </c>
      <c r="Y37" s="174"/>
      <c r="Z37" s="68">
        <v>64.138998669063335092764264060</v>
      </c>
      <c r="AA37" s="73">
        <v>-46.101956130840524298918332310</v>
      </c>
      <c r="AB37" s="1"/>
      <c r="AC37" s="1"/>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3.1" customHeight="1">
      <c r="A38" s="1"/>
      <c r="B38" s="1"/>
      <c r="C38" s="1"/>
      <c r="D38" s="1"/>
      <c r="E38" s="175"/>
      <c r="F38" s="175"/>
      <c r="G38" s="175"/>
      <c r="H38" s="175"/>
      <c r="I38" s="175"/>
      <c r="J38" s="175"/>
      <c r="K38" s="175"/>
      <c r="L38" s="175"/>
      <c r="M38" s="175"/>
      <c r="N38" s="175"/>
      <c r="O38" s="175"/>
      <c r="P38" s="175"/>
      <c r="Q38" s="175"/>
      <c r="R38" s="175"/>
      <c r="S38" s="175"/>
      <c r="T38" s="175"/>
      <c r="U38" s="175"/>
      <c r="V38" s="175"/>
      <c r="W38" s="175"/>
      <c r="X38" s="175"/>
      <c r="Y38" s="175"/>
      <c r="Z38" s="175"/>
      <c r="AA38" s="175"/>
      <c r="AB38" s="1"/>
      <c r="AC38" s="1"/>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9"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33.95" customHeight="1">
      <c r="A40" s="1"/>
      <c r="B40" s="651" t="s">
        <v>114</v>
      </c>
      <c r="C40" s="651"/>
      <c r="D40" s="651"/>
      <c r="E40" s="651"/>
      <c r="F40" s="651"/>
      <c r="G40" s="651"/>
      <c r="H40" s="651"/>
      <c r="I40" s="651"/>
      <c r="J40" s="651"/>
      <c r="K40" s="651"/>
      <c r="L40" s="651"/>
      <c r="M40" s="651"/>
      <c r="N40" s="651"/>
      <c r="O40" s="651"/>
      <c r="P40" s="651"/>
      <c r="Q40" s="651"/>
      <c r="R40" s="651"/>
      <c r="S40" s="651"/>
      <c r="T40" s="651"/>
      <c r="U40" s="651"/>
      <c r="V40" s="651"/>
      <c r="W40" s="651"/>
      <c r="X40" s="651"/>
      <c r="Y40" s="651"/>
      <c r="Z40" s="651"/>
      <c r="AA40" s="651"/>
      <c r="AB40" s="651"/>
      <c r="AC40" s="1"/>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9.75" customHeight="1">
      <c r="A41" s="1"/>
      <c r="B41" s="1"/>
      <c r="C41" s="1"/>
      <c r="D41" s="1"/>
      <c r="E41" s="1"/>
      <c r="F41" s="1"/>
      <c r="G41" s="1"/>
      <c r="H41" s="1"/>
      <c r="I41" s="1"/>
      <c r="J41" s="1"/>
      <c r="K41" s="1"/>
      <c r="L41" s="1"/>
      <c r="M41" s="1"/>
      <c r="N41" s="1"/>
      <c r="O41" s="1"/>
      <c r="P41" s="1"/>
      <c r="Q41" s="1"/>
      <c r="R41" s="1"/>
      <c r="S41" s="1"/>
      <c r="T41" s="1"/>
      <c r="U41" s="1"/>
      <c r="V41" s="1"/>
      <c r="W41" s="1"/>
      <c r="X41" s="1"/>
      <c r="Y41" s="80"/>
      <c r="Z41" s="241"/>
      <c r="AA41" s="1"/>
      <c r="AB41" s="1"/>
      <c r="AC41" s="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9"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sheetData>
  <mergeCells count="41">
    <mergeCell ref="H26:I26"/>
    <mergeCell ref="K26:L26"/>
    <mergeCell ref="N26:O26"/>
    <mergeCell ref="Z8:AA8"/>
    <mergeCell ref="Z25:AA25"/>
    <mergeCell ref="Z9:AA9"/>
    <mergeCell ref="Q26:R26"/>
    <mergeCell ref="T26:U26"/>
    <mergeCell ref="W26:X26"/>
    <mergeCell ref="K9:L9"/>
    <mergeCell ref="B10:B11"/>
    <mergeCell ref="B6:AB6"/>
    <mergeCell ref="E8:F8"/>
    <mergeCell ref="H8:I8"/>
    <mergeCell ref="K8:L8"/>
    <mergeCell ref="N8:O8"/>
    <mergeCell ref="Q8:R8"/>
    <mergeCell ref="T8:U8"/>
    <mergeCell ref="T9:U9"/>
    <mergeCell ref="W9:X9"/>
    <mergeCell ref="E9:F9"/>
    <mergeCell ref="H9:I9"/>
    <mergeCell ref="N9:O9"/>
    <mergeCell ref="Q9:R9"/>
    <mergeCell ref="W8:X8"/>
    <mergeCell ref="B40:AB40"/>
    <mergeCell ref="B31:B32"/>
    <mergeCell ref="B35:B36"/>
    <mergeCell ref="B14:B15"/>
    <mergeCell ref="B18:B19"/>
    <mergeCell ref="B27:B28"/>
    <mergeCell ref="B23:AB23"/>
    <mergeCell ref="E25:F25"/>
    <mergeCell ref="T25:U25"/>
    <mergeCell ref="N25:O25"/>
    <mergeCell ref="Q25:R25"/>
    <mergeCell ref="H25:I25"/>
    <mergeCell ref="K25:L25"/>
    <mergeCell ref="Z26:AA26"/>
    <mergeCell ref="W25:X25"/>
    <mergeCell ref="E26:F26"/>
  </mergeCells>
  <phoneticPr fontId="0" type="noConversion"/>
  <printOptions horizontalCentered="1" verticalCentered="1"/>
  <pageMargins left="0.25" right="0.25" top="0.25" bottom="0.25" header="0.5" footer="0.5"/>
  <pageSetup scale="69" orientation="landscape" r:id="rId1"/>
  <headerFooter alignWithMargins="0">
    <oddHeader/>
    <oddFooter/>
  </headerFooter>
  <drawing r:id="rId22"/>
</worksheet>
</file>

<file path=xl/worksheets/sheet2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pageSetUpPr fitToPage="1"/>
  </sheetPr>
  <dimension ref="A1:AV84"/>
  <sheetViews>
    <sheetView showGridLines="0" workbookViewId="0"/>
  </sheetViews>
  <sheetFormatPr defaultRowHeight="12.75"/>
  <cols>
    <col min="1" max="1" width="2.7109375" customWidth="1"/>
    <col min="2" max="2" width="14.28515625" customWidth="1"/>
    <col min="3" max="3" width="4.42578125" customWidth="1"/>
    <col min="4" max="4" width="12.28515625" customWidth="1"/>
    <col min="5" max="5" width="8.7109375" customWidth="1"/>
    <col min="6" max="6" width="6.7109375" customWidth="1"/>
    <col min="7" max="7" width="4.7109375" customWidth="1"/>
    <col min="8" max="8" width="12.28515625" customWidth="1"/>
    <col min="9" max="9" width="8.7109375" customWidth="1"/>
    <col min="10" max="10" width="6.7109375" customWidth="1"/>
    <col min="11" max="11" width="4.7109375" customWidth="1"/>
    <col min="12" max="12" width="12.28515625" customWidth="1"/>
    <col min="13" max="13" width="8.7109375" customWidth="1"/>
    <col min="14" max="14" width="6.7109375" customWidth="1"/>
    <col min="15" max="15" width="3.7109375" customWidth="1"/>
    <col min="16" max="16" width="12.28515625" customWidth="1"/>
    <col min="17" max="17" width="8.7109375" customWidth="1"/>
    <col min="18" max="18" width="6.7109375" customWidth="1"/>
    <col min="19" max="19" width="4.7109375" customWidth="1"/>
    <col min="20" max="20" width="2.7109375" customWidth="1"/>
  </cols>
  <sheetData>
    <row r="1" ht="26.25" customHeight="1">
      <c r="B1" s="20" t="s">
        <v>117</v>
      </c>
      <c r="C1" s="11"/>
      <c r="D1" s="11"/>
      <c r="E1" s="11"/>
      <c r="F1" s="11"/>
      <c r="G1" s="11"/>
      <c r="H1" s="1"/>
      <c r="I1" s="1"/>
      <c r="J1" s="1"/>
      <c r="K1" s="1"/>
      <c r="L1" s="1"/>
      <c r="M1" s="1"/>
      <c r="N1" s="1"/>
      <c r="O1" s="1"/>
      <c r="P1" s="1"/>
      <c r="Q1" s="1"/>
      <c r="R1" s="1"/>
      <c r="S1" s="175"/>
      <c r="T1" s="1"/>
      <c r="U1" s="244"/>
      <c r="V1" s="244"/>
      <c r="W1" s="244"/>
      <c r="X1" s="244"/>
      <c r="Y1" s="244"/>
      <c r="Z1" s="244"/>
      <c r="AA1" s="244"/>
      <c r="AB1" s="244"/>
      <c r="AC1" s="244"/>
      <c r="AD1" s="244"/>
      <c r="AE1" s="244"/>
      <c r="AF1" s="244"/>
      <c r="AG1" s="244"/>
      <c r="AH1" s="244"/>
      <c r="AI1" s="244"/>
      <c r="AJ1" s="244"/>
      <c r="AK1" s="244"/>
      <c r="AL1" s="244"/>
      <c r="AM1" s="244"/>
      <c r="AN1" s="244"/>
      <c r="AO1" s="244"/>
      <c r="AP1" s="244"/>
      <c r="AQ1" s="244"/>
      <c r="AR1" s="244"/>
      <c r="AS1" s="244"/>
      <c r="AT1" s="244"/>
      <c r="AU1" s="244"/>
      <c r="AV1" s="244"/>
    </row>
    <row r="2" ht="14.25" customHeight="1">
      <c r="B2" s="10" t="s">
        <v>141</v>
      </c>
      <c r="C2" s="1"/>
      <c r="D2" s="1"/>
      <c r="E2" s="1"/>
      <c r="F2" s="1"/>
      <c r="G2" s="1"/>
      <c r="H2" s="1"/>
      <c r="I2" s="1"/>
      <c r="J2" s="1"/>
      <c r="K2" s="1"/>
      <c r="L2" s="1"/>
      <c r="M2" s="1"/>
      <c r="N2" s="1"/>
      <c r="O2" s="1"/>
      <c r="P2" s="1"/>
      <c r="Q2" s="1"/>
      <c r="R2" s="234"/>
      <c r="S2" s="175"/>
      <c r="T2" s="1"/>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4"/>
      <c r="AV2" s="244"/>
    </row>
    <row r="3" ht="14.25" customHeight="1">
      <c r="B3" s="432" t="s">
        <v>142</v>
      </c>
      <c r="C3" s="1"/>
      <c r="D3" s="1"/>
      <c r="E3" s="1"/>
      <c r="F3" s="1"/>
      <c r="G3" s="1"/>
      <c r="H3" s="1"/>
      <c r="I3" s="1"/>
      <c r="J3" s="1"/>
      <c r="K3" s="1"/>
      <c r="L3" s="1"/>
      <c r="M3" s="1"/>
      <c r="N3" s="1"/>
      <c r="O3" s="1"/>
      <c r="P3" s="1"/>
      <c r="Q3" s="1"/>
      <c r="R3" s="1"/>
      <c r="S3" s="175"/>
      <c r="T3" s="1"/>
      <c r="U3" s="244"/>
      <c r="V3" s="244"/>
      <c r="W3" s="244"/>
      <c r="X3" s="244"/>
      <c r="Y3" s="244"/>
      <c r="Z3" s="244"/>
      <c r="AA3" s="244"/>
      <c r="AB3" s="244"/>
      <c r="AC3" s="244"/>
      <c r="AD3" s="244"/>
      <c r="AE3" s="244"/>
      <c r="AF3" s="244"/>
      <c r="AG3" s="244"/>
      <c r="AH3" s="244"/>
      <c r="AI3" s="244"/>
      <c r="AJ3" s="244"/>
      <c r="AK3" s="244"/>
      <c r="AL3" s="244"/>
      <c r="AM3" s="244"/>
      <c r="AN3" s="244"/>
      <c r="AO3" s="244"/>
      <c r="AP3" s="244"/>
      <c r="AQ3" s="244"/>
      <c r="AR3" s="244"/>
      <c r="AS3" s="244"/>
      <c r="AT3" s="244"/>
      <c r="AU3" s="244"/>
      <c r="AV3" s="244"/>
    </row>
    <row r="4" ht="14.25" customHeight="1">
      <c r="B4" s="175" t="s">
        <v>143</v>
      </c>
      <c r="C4" s="1"/>
      <c r="D4" s="1"/>
      <c r="E4" s="1"/>
      <c r="F4" s="1"/>
      <c r="G4" s="1"/>
      <c r="H4" s="1"/>
      <c r="I4" s="1"/>
      <c r="J4" s="1"/>
      <c r="K4" s="1"/>
      <c r="L4" s="1"/>
      <c r="M4" s="1"/>
      <c r="N4" s="1"/>
      <c r="O4" s="1"/>
      <c r="P4" s="1"/>
      <c r="Q4" s="1"/>
      <c r="R4" s="1"/>
      <c r="S4" s="175"/>
      <c r="T4" s="1"/>
      <c r="U4" s="244"/>
      <c r="V4" s="244"/>
      <c r="W4" s="244"/>
      <c r="X4" s="244"/>
      <c r="Y4" s="244"/>
      <c r="Z4" s="244"/>
      <c r="AA4" s="244"/>
      <c r="AB4" s="244"/>
      <c r="AC4" s="244"/>
      <c r="AD4" s="244"/>
      <c r="AE4" s="244"/>
      <c r="AF4" s="244"/>
      <c r="AG4" s="244"/>
      <c r="AH4" s="244"/>
      <c r="AI4" s="244"/>
      <c r="AJ4" s="244"/>
      <c r="AK4" s="244"/>
      <c r="AL4" s="244"/>
      <c r="AM4" s="244"/>
      <c r="AN4" s="244"/>
      <c r="AO4" s="244"/>
      <c r="AP4" s="244"/>
      <c r="AQ4" s="244"/>
      <c r="AR4" s="244"/>
      <c r="AS4" s="244"/>
      <c r="AT4" s="244"/>
      <c r="AU4" s="244"/>
      <c r="AV4" s="244"/>
    </row>
    <row r="5" ht="14.25" customHeight="1">
      <c r="A5" s="13"/>
      <c r="B5" s="12"/>
      <c r="C5" s="1"/>
      <c r="D5" s="1"/>
      <c r="E5" s="1"/>
      <c r="F5" s="1"/>
      <c r="G5" s="1"/>
      <c r="H5" s="1"/>
      <c r="I5" s="1"/>
      <c r="J5" s="1"/>
      <c r="K5" s="1"/>
      <c r="L5" s="1"/>
      <c r="M5" s="1"/>
      <c r="N5" s="1"/>
      <c r="O5" s="1"/>
      <c r="P5" s="1"/>
      <c r="Q5" s="1"/>
      <c r="R5" s="1"/>
      <c r="S5" s="1"/>
      <c r="T5" s="1"/>
      <c r="U5" s="244"/>
      <c r="V5" s="244"/>
      <c r="W5" s="244"/>
      <c r="X5" s="244"/>
      <c r="Y5" s="244"/>
      <c r="Z5" s="244"/>
      <c r="AA5" s="244"/>
      <c r="AB5" s="244"/>
      <c r="AC5" s="244"/>
      <c r="AD5" s="244"/>
      <c r="AE5" s="244"/>
      <c r="AF5" s="244"/>
      <c r="AG5" s="244"/>
      <c r="AH5" s="244"/>
      <c r="AI5" s="244"/>
      <c r="AJ5" s="244"/>
      <c r="AK5" s="244"/>
      <c r="AL5" s="244"/>
      <c r="AM5" s="244"/>
      <c r="AN5" s="244"/>
      <c r="AO5" s="244"/>
      <c r="AP5" s="244"/>
      <c r="AQ5" s="244"/>
      <c r="AR5" s="244"/>
      <c r="AS5" s="244"/>
      <c r="AT5" s="244"/>
      <c r="AU5" s="244"/>
      <c r="AV5" s="244"/>
    </row>
    <row r="6" ht="15" customHeight="1">
      <c r="A6" s="13"/>
      <c r="B6" s="612" t="s">
        <v>144</v>
      </c>
      <c r="C6" s="612"/>
      <c r="D6" s="612"/>
      <c r="E6" s="612"/>
      <c r="F6" s="612"/>
      <c r="G6" s="612"/>
      <c r="H6" s="612"/>
      <c r="I6" s="612"/>
      <c r="J6" s="612"/>
      <c r="K6" s="612"/>
      <c r="L6" s="612"/>
      <c r="M6" s="612"/>
      <c r="N6" s="612"/>
      <c r="O6" s="612"/>
      <c r="P6" s="612"/>
      <c r="Q6" s="612"/>
      <c r="R6" s="612"/>
      <c r="S6" s="612"/>
      <c r="T6" s="1"/>
      <c r="U6" s="244"/>
      <c r="V6" s="244"/>
      <c r="W6" s="244"/>
      <c r="X6" s="244"/>
      <c r="Y6" s="244"/>
      <c r="Z6" s="244"/>
      <c r="AA6" s="244"/>
      <c r="AB6" s="244"/>
      <c r="AC6" s="244"/>
      <c r="AD6" s="244"/>
      <c r="AE6" s="244"/>
      <c r="AF6" s="244"/>
      <c r="AG6" s="244"/>
      <c r="AH6" s="244"/>
      <c r="AI6" s="244"/>
      <c r="AJ6" s="244"/>
      <c r="AK6" s="244"/>
      <c r="AL6" s="244"/>
      <c r="AM6" s="244"/>
      <c r="AN6" s="244"/>
      <c r="AO6" s="244"/>
      <c r="AP6" s="244"/>
      <c r="AQ6" s="244"/>
      <c r="AR6" s="244"/>
      <c r="AS6" s="244"/>
      <c r="AT6" s="244"/>
      <c r="AU6" s="244"/>
      <c r="AV6" s="244"/>
    </row>
    <row r="7" ht="14.25" customHeight="1">
      <c r="A7" s="13"/>
      <c r="B7" s="12"/>
      <c r="C7" s="1"/>
      <c r="D7" s="1"/>
      <c r="E7" s="1"/>
      <c r="F7" s="1"/>
      <c r="G7" s="1"/>
      <c r="H7" s="1"/>
      <c r="I7" s="1"/>
      <c r="J7" s="1"/>
      <c r="K7" s="1"/>
      <c r="L7" s="1"/>
      <c r="M7" s="1"/>
      <c r="N7" s="1"/>
      <c r="O7" s="1"/>
      <c r="P7" s="1"/>
      <c r="Q7" s="1"/>
      <c r="R7" s="1"/>
      <c r="S7" s="1"/>
      <c r="T7" s="1"/>
      <c r="U7" s="244"/>
      <c r="V7" s="244"/>
      <c r="W7" s="244"/>
      <c r="X7" s="244"/>
      <c r="Y7" s="244"/>
      <c r="Z7" s="244"/>
      <c r="AA7" s="244"/>
      <c r="AB7" s="244"/>
      <c r="AC7" s="244"/>
      <c r="AD7" s="244"/>
      <c r="AE7" s="244"/>
      <c r="AF7" s="244"/>
      <c r="AG7" s="244"/>
      <c r="AH7" s="244"/>
      <c r="AI7" s="244"/>
      <c r="AJ7" s="244"/>
      <c r="AK7" s="244"/>
      <c r="AL7" s="244"/>
      <c r="AM7" s="244"/>
      <c r="AN7" s="244"/>
      <c r="AO7" s="244"/>
      <c r="AP7" s="244"/>
      <c r="AQ7" s="244"/>
      <c r="AR7" s="244"/>
      <c r="AS7" s="244"/>
      <c r="AT7" s="244"/>
      <c r="AU7" s="244"/>
      <c r="AV7" s="244"/>
    </row>
    <row r="8" ht="15" customHeight="1">
      <c r="A8" s="1"/>
      <c r="B8" s="1"/>
      <c r="C8" s="14"/>
      <c r="D8" s="648" t="s">
        <v>21</v>
      </c>
      <c r="E8" s="648"/>
      <c r="F8" s="648"/>
      <c r="G8" s="1"/>
      <c r="H8" s="648" t="s">
        <v>24</v>
      </c>
      <c r="I8" s="648"/>
      <c r="J8" s="648"/>
      <c r="K8" s="1"/>
      <c r="L8" s="648" t="s">
        <v>25</v>
      </c>
      <c r="M8" s="648"/>
      <c r="N8" s="648"/>
      <c r="O8" s="1"/>
      <c r="P8" s="648" t="s">
        <v>23</v>
      </c>
      <c r="Q8" s="648"/>
      <c r="R8" s="648"/>
      <c r="S8" s="2"/>
      <c r="T8" s="1"/>
      <c r="U8" s="244"/>
      <c r="V8" s="244"/>
      <c r="W8" s="244"/>
      <c r="X8" s="244"/>
      <c r="Y8" s="244"/>
      <c r="Z8" s="244"/>
      <c r="AA8" s="244"/>
      <c r="AB8" s="244"/>
      <c r="AC8" s="244"/>
      <c r="AD8" s="244"/>
      <c r="AE8" s="244"/>
      <c r="AF8" s="244"/>
      <c r="AG8" s="244"/>
      <c r="AH8" s="244"/>
      <c r="AI8" s="244"/>
      <c r="AJ8" s="244"/>
      <c r="AK8" s="244"/>
      <c r="AL8" s="244"/>
      <c r="AM8" s="244"/>
      <c r="AN8" s="244"/>
      <c r="AO8" s="244"/>
      <c r="AP8" s="244"/>
      <c r="AQ8" s="244"/>
      <c r="AR8" s="244"/>
      <c r="AS8" s="244"/>
      <c r="AT8" s="244"/>
      <c r="AU8" s="244"/>
      <c r="AV8" s="244"/>
    </row>
    <row r="9" ht="15" customHeight="1">
      <c r="A9" s="1"/>
      <c r="B9" s="1"/>
      <c r="C9" s="1"/>
      <c r="D9" s="2"/>
      <c r="E9" s="2"/>
      <c r="F9" s="66" t="s">
        <v>57</v>
      </c>
      <c r="G9" s="65"/>
      <c r="H9" s="1"/>
      <c r="I9" s="1"/>
      <c r="J9" s="66" t="s">
        <v>57</v>
      </c>
      <c r="K9" s="1"/>
      <c r="L9" s="1"/>
      <c r="M9" s="1"/>
      <c r="N9" s="66" t="s">
        <v>57</v>
      </c>
      <c r="O9" s="1"/>
      <c r="P9" s="1"/>
      <c r="Q9" s="1"/>
      <c r="R9" s="66" t="s">
        <v>57</v>
      </c>
      <c r="S9" s="1"/>
      <c r="T9" s="1"/>
      <c r="U9" s="244"/>
      <c r="V9" s="244"/>
      <c r="W9" s="244"/>
      <c r="X9" s="244"/>
      <c r="Y9" s="244"/>
      <c r="Z9" s="244"/>
      <c r="AA9" s="244"/>
      <c r="AB9" s="244"/>
      <c r="AC9" s="244"/>
      <c r="AD9" s="244"/>
      <c r="AE9" s="244"/>
      <c r="AF9" s="244"/>
      <c r="AG9" s="244"/>
      <c r="AH9" s="244"/>
      <c r="AI9" s="244"/>
      <c r="AJ9" s="244"/>
      <c r="AK9" s="244"/>
      <c r="AL9" s="244"/>
      <c r="AM9" s="244"/>
      <c r="AN9" s="244"/>
      <c r="AO9" s="244"/>
      <c r="AP9" s="244"/>
      <c r="AQ9" s="244"/>
      <c r="AR9" s="244"/>
      <c r="AS9" s="244"/>
      <c r="AT9" s="244"/>
      <c r="AU9" s="244"/>
      <c r="AV9" s="244"/>
    </row>
    <row r="10" ht="15" customHeight="1">
      <c r="A10" s="1"/>
      <c r="B10" s="57" t="s">
        <v>28</v>
      </c>
      <c r="C10" s="58"/>
      <c r="D10" s="17" t="s">
        <v>32</v>
      </c>
      <c r="E10" s="19">
        <v>0.283410138248847926267281106</v>
      </c>
      <c r="F10" s="73">
        <v>-23.124999999990390624999998800</v>
      </c>
      <c r="G10" s="66"/>
      <c r="H10" s="17" t="s">
        <v>32</v>
      </c>
      <c r="I10" s="19">
        <v>0.0061443932411674347158218126</v>
      </c>
      <c r="J10" s="73">
        <v>-95.15151515151215426997244993</v>
      </c>
      <c r="K10" s="1"/>
      <c r="L10" s="17" t="s">
        <v>32</v>
      </c>
      <c r="M10" s="19">
        <v>0.0138248847926267281105990783</v>
      </c>
      <c r="N10" s="73">
        <v>38.461538460111242603565006780</v>
      </c>
      <c r="O10" s="1"/>
      <c r="P10" s="17" t="s">
        <v>32</v>
      </c>
      <c r="Q10" s="19">
        <v>0.3033794162826420890937019969</v>
      </c>
      <c r="R10" s="73">
        <v>-39.969604863219330013580805690</v>
      </c>
      <c r="S10" s="19"/>
      <c r="T10" s="1"/>
      <c r="U10" s="244"/>
      <c r="V10" s="244"/>
      <c r="W10" s="244"/>
      <c r="X10" s="244"/>
      <c r="Y10" s="244"/>
      <c r="Z10" s="244"/>
      <c r="AA10" s="244"/>
      <c r="AB10" s="244"/>
      <c r="AC10" s="244"/>
      <c r="AD10" s="244"/>
      <c r="AE10" s="244"/>
      <c r="AF10" s="244"/>
      <c r="AG10" s="244"/>
      <c r="AH10" s="244"/>
      <c r="AI10" s="244"/>
      <c r="AJ10" s="244"/>
      <c r="AK10" s="244"/>
      <c r="AL10" s="244"/>
      <c r="AM10" s="244"/>
      <c r="AN10" s="244"/>
      <c r="AO10" s="244"/>
      <c r="AP10" s="244"/>
      <c r="AQ10" s="244"/>
      <c r="AR10" s="244"/>
      <c r="AS10" s="244"/>
      <c r="AT10" s="244"/>
      <c r="AU10" s="244"/>
      <c r="AV10" s="244"/>
    </row>
    <row r="11" ht="15" customHeight="1">
      <c r="A11" s="1"/>
      <c r="B11" s="57"/>
      <c r="C11" s="58"/>
      <c r="D11" s="187" t="s">
        <v>27</v>
      </c>
      <c r="E11" s="190"/>
      <c r="F11" s="81"/>
      <c r="G11" s="181"/>
      <c r="H11" s="187" t="s">
        <v>27</v>
      </c>
      <c r="I11" s="190"/>
      <c r="J11" s="81"/>
      <c r="K11" s="191"/>
      <c r="L11" s="187" t="s">
        <v>27</v>
      </c>
      <c r="M11" s="190"/>
      <c r="N11" s="81"/>
      <c r="O11" s="191"/>
      <c r="P11" s="187" t="s">
        <v>27</v>
      </c>
      <c r="Q11" s="190">
        <v>0.5374931581828133552271483306</v>
      </c>
      <c r="R11" s="81">
        <v>78.707916287477208579890248390</v>
      </c>
      <c r="S11" s="19"/>
      <c r="T11" s="1"/>
      <c r="U11" s="244"/>
      <c r="V11" s="244"/>
      <c r="W11" s="244"/>
      <c r="X11" s="244"/>
      <c r="Y11" s="244"/>
      <c r="Z11" s="244"/>
      <c r="AA11" s="244"/>
      <c r="AB11" s="244"/>
      <c r="AC11" s="244"/>
      <c r="AD11" s="244"/>
      <c r="AE11" s="244"/>
      <c r="AF11" s="244"/>
      <c r="AG11" s="244"/>
      <c r="AH11" s="244"/>
      <c r="AI11" s="244"/>
      <c r="AJ11" s="244"/>
      <c r="AK11" s="244"/>
      <c r="AL11" s="244"/>
      <c r="AM11" s="244"/>
      <c r="AN11" s="244"/>
      <c r="AO11" s="244"/>
      <c r="AP11" s="244"/>
      <c r="AQ11" s="244"/>
      <c r="AR11" s="244"/>
      <c r="AS11" s="244"/>
      <c r="AT11" s="244"/>
      <c r="AU11" s="244"/>
      <c r="AV11" s="244"/>
    </row>
    <row r="12" ht="15" customHeight="1">
      <c r="A12" s="1"/>
      <c r="B12" s="57"/>
      <c r="C12" s="58"/>
      <c r="D12" s="406" t="s">
        <v>91</v>
      </c>
      <c r="E12" s="74"/>
      <c r="F12" s="73"/>
      <c r="G12" s="68"/>
      <c r="H12" s="406" t="s">
        <v>91</v>
      </c>
      <c r="I12" s="74"/>
      <c r="J12" s="73"/>
      <c r="K12" s="1"/>
      <c r="L12" s="406" t="s">
        <v>91</v>
      </c>
      <c r="M12" s="74"/>
      <c r="N12" s="73"/>
      <c r="O12" s="1"/>
      <c r="P12" s="406" t="s">
        <v>91</v>
      </c>
      <c r="Q12" s="74">
        <v>56.443400564989269325689097240</v>
      </c>
      <c r="R12" s="73">
        <v>-66.408653637815271126523502340</v>
      </c>
      <c r="S12" s="74"/>
      <c r="T12" s="1"/>
      <c r="U12" s="244"/>
      <c r="V12" s="244"/>
      <c r="W12" s="244"/>
      <c r="X12" s="244"/>
      <c r="Y12" s="244"/>
      <c r="Z12" s="244"/>
      <c r="AA12" s="244"/>
      <c r="AB12" s="244"/>
      <c r="AC12" s="244"/>
      <c r="AD12" s="244"/>
      <c r="AE12" s="244"/>
      <c r="AF12" s="244"/>
      <c r="AG12" s="244"/>
      <c r="AH12" s="244"/>
      <c r="AI12" s="244"/>
      <c r="AJ12" s="244"/>
      <c r="AK12" s="244"/>
      <c r="AL12" s="244"/>
      <c r="AM12" s="244"/>
      <c r="AN12" s="244"/>
      <c r="AO12" s="244"/>
      <c r="AP12" s="244"/>
      <c r="AQ12" s="244"/>
      <c r="AR12" s="244"/>
      <c r="AS12" s="244"/>
      <c r="AT12" s="244"/>
      <c r="AU12" s="244"/>
      <c r="AV12" s="244"/>
    </row>
    <row r="13" ht="15" customHeight="1">
      <c r="A13" s="1"/>
      <c r="B13" s="16"/>
      <c r="C13" s="1"/>
      <c r="D13" s="1"/>
      <c r="E13" s="3"/>
      <c r="F13" s="66"/>
      <c r="G13" s="3"/>
      <c r="H13" s="1"/>
      <c r="I13" s="1"/>
      <c r="J13" s="66"/>
      <c r="K13" s="1"/>
      <c r="L13" s="1"/>
      <c r="M13" s="1"/>
      <c r="N13" s="66"/>
      <c r="O13" s="1"/>
      <c r="P13" s="1"/>
      <c r="Q13" s="19"/>
      <c r="R13" s="66"/>
      <c r="S13" s="19"/>
      <c r="T13" s="1"/>
      <c r="U13" s="244"/>
      <c r="V13" s="244"/>
      <c r="W13" s="244"/>
      <c r="X13" s="244"/>
      <c r="Y13" s="244"/>
      <c r="Z13" s="244"/>
      <c r="AA13" s="244"/>
      <c r="AB13" s="244"/>
      <c r="AC13" s="244"/>
      <c r="AD13" s="244"/>
      <c r="AE13" s="244"/>
      <c r="AF13" s="244"/>
      <c r="AG13" s="244"/>
      <c r="AH13" s="244"/>
      <c r="AI13" s="244"/>
      <c r="AJ13" s="244"/>
      <c r="AK13" s="244"/>
      <c r="AL13" s="244"/>
      <c r="AM13" s="244"/>
      <c r="AN13" s="244"/>
      <c r="AO13" s="244"/>
      <c r="AP13" s="244"/>
      <c r="AQ13" s="244"/>
      <c r="AR13" s="244"/>
      <c r="AS13" s="244"/>
      <c r="AT13" s="244"/>
      <c r="AU13" s="244"/>
      <c r="AV13" s="244"/>
    </row>
    <row r="14" ht="15" customHeight="1">
      <c r="A14" s="1"/>
      <c r="B14" s="57" t="s">
        <v>12</v>
      </c>
      <c r="C14" s="58"/>
      <c r="D14" s="17" t="s">
        <v>32</v>
      </c>
      <c r="E14" s="239">
        <v>102.12195121951219512195121951</v>
      </c>
      <c r="F14" s="73">
        <v>5.6115322647967240567478623700</v>
      </c>
      <c r="G14" s="70"/>
      <c r="H14" s="76" t="s">
        <v>32</v>
      </c>
      <c r="I14" s="239">
        <v>106.875</v>
      </c>
      <c r="J14" s="73">
        <v>-15.158166947319818182175912440</v>
      </c>
      <c r="K14" s="77"/>
      <c r="L14" s="76" t="s">
        <v>32</v>
      </c>
      <c r="M14" s="239">
        <v>101.33333333333333333333333333</v>
      </c>
      <c r="N14" s="73">
        <v>11.355311355311355311355311350</v>
      </c>
      <c r="O14" s="77"/>
      <c r="P14" s="76" t="s">
        <v>32</v>
      </c>
      <c r="Q14" s="239">
        <v>102.18227848101265822784810127</v>
      </c>
      <c r="R14" s="73">
        <v>-1.6759684705375266114938568400</v>
      </c>
      <c r="S14" s="18"/>
      <c r="T14" s="1"/>
      <c r="U14" s="244"/>
      <c r="V14" s="244"/>
      <c r="W14" s="244"/>
      <c r="X14" s="244"/>
      <c r="Y14" s="244"/>
      <c r="Z14" s="244"/>
      <c r="AA14" s="244"/>
      <c r="AB14" s="244"/>
      <c r="AC14" s="244"/>
      <c r="AD14" s="244"/>
      <c r="AE14" s="244"/>
      <c r="AF14" s="244"/>
      <c r="AG14" s="244"/>
      <c r="AH14" s="244"/>
      <c r="AI14" s="244"/>
      <c r="AJ14" s="244"/>
      <c r="AK14" s="244"/>
      <c r="AL14" s="244"/>
      <c r="AM14" s="244"/>
      <c r="AN14" s="244"/>
      <c r="AO14" s="244"/>
      <c r="AP14" s="244"/>
      <c r="AQ14" s="244"/>
      <c r="AR14" s="244"/>
      <c r="AS14" s="244"/>
      <c r="AT14" s="244"/>
      <c r="AU14" s="244"/>
      <c r="AV14" s="244"/>
    </row>
    <row r="15" ht="15" customHeight="1">
      <c r="A15" s="1"/>
      <c r="B15" s="57"/>
      <c r="C15" s="58"/>
      <c r="D15" s="187" t="s">
        <v>27</v>
      </c>
      <c r="E15" s="240"/>
      <c r="F15" s="81"/>
      <c r="G15" s="184"/>
      <c r="H15" s="189" t="s">
        <v>27</v>
      </c>
      <c r="I15" s="240"/>
      <c r="J15" s="81"/>
      <c r="K15" s="188"/>
      <c r="L15" s="189" t="s">
        <v>27</v>
      </c>
      <c r="M15" s="240"/>
      <c r="N15" s="81"/>
      <c r="O15" s="188"/>
      <c r="P15" s="189" t="s">
        <v>27</v>
      </c>
      <c r="Q15" s="240">
        <v>88.94108961303462321792260692</v>
      </c>
      <c r="R15" s="81">
        <v>-9.289233296516651603382645080</v>
      </c>
      <c r="S15" s="18"/>
      <c r="T15" s="1"/>
      <c r="U15" s="244"/>
      <c r="V15" s="244"/>
      <c r="W15" s="244"/>
      <c r="X15" s="244"/>
      <c r="Y15" s="244"/>
      <c r="Z15" s="244"/>
      <c r="AA15" s="244"/>
      <c r="AB15" s="244"/>
      <c r="AC15" s="244"/>
      <c r="AD15" s="244"/>
      <c r="AE15" s="244"/>
      <c r="AF15" s="244"/>
      <c r="AG15" s="244"/>
      <c r="AH15" s="244"/>
      <c r="AI15" s="244"/>
      <c r="AJ15" s="244"/>
      <c r="AK15" s="244"/>
      <c r="AL15" s="244"/>
      <c r="AM15" s="244"/>
      <c r="AN15" s="244"/>
      <c r="AO15" s="244"/>
      <c r="AP15" s="244"/>
      <c r="AQ15" s="244"/>
      <c r="AR15" s="244"/>
      <c r="AS15" s="244"/>
      <c r="AT15" s="244"/>
      <c r="AU15" s="244"/>
      <c r="AV15" s="244"/>
    </row>
    <row r="16" ht="15" customHeight="1">
      <c r="A16" s="1"/>
      <c r="B16" s="57"/>
      <c r="C16" s="58"/>
      <c r="D16" s="406" t="s">
        <v>92</v>
      </c>
      <c r="E16" s="74"/>
      <c r="F16" s="73"/>
      <c r="G16" s="68"/>
      <c r="H16" s="406" t="s">
        <v>92</v>
      </c>
      <c r="I16" s="74"/>
      <c r="J16" s="73"/>
      <c r="K16" s="1"/>
      <c r="L16" s="406" t="s">
        <v>92</v>
      </c>
      <c r="M16" s="74"/>
      <c r="N16" s="73"/>
      <c r="O16" s="1"/>
      <c r="P16" s="406" t="s">
        <v>92</v>
      </c>
      <c r="Q16" s="74">
        <v>114.88759461529833892192312113</v>
      </c>
      <c r="R16" s="73">
        <v>8.392900978319960653805248240</v>
      </c>
      <c r="S16" s="74"/>
      <c r="T16" s="1"/>
      <c r="U16" s="244"/>
      <c r="V16" s="244"/>
      <c r="W16" s="244"/>
      <c r="X16" s="244"/>
      <c r="Y16" s="244"/>
      <c r="Z16" s="244"/>
      <c r="AA16" s="244"/>
      <c r="AB16" s="244"/>
      <c r="AC16" s="244"/>
      <c r="AD16" s="244"/>
      <c r="AE16" s="244"/>
      <c r="AF16" s="244"/>
      <c r="AG16" s="244"/>
      <c r="AH16" s="244"/>
      <c r="AI16" s="244"/>
      <c r="AJ16" s="244"/>
      <c r="AK16" s="244"/>
      <c r="AL16" s="244"/>
      <c r="AM16" s="244"/>
      <c r="AN16" s="244"/>
      <c r="AO16" s="244"/>
      <c r="AP16" s="244"/>
      <c r="AQ16" s="244"/>
      <c r="AR16" s="244"/>
      <c r="AS16" s="244"/>
      <c r="AT16" s="244"/>
      <c r="AU16" s="244"/>
      <c r="AV16" s="244"/>
    </row>
    <row r="17" ht="15" customHeight="1">
      <c r="A17" s="1"/>
      <c r="B17" s="16"/>
      <c r="C17" s="1"/>
      <c r="D17" s="1"/>
      <c r="E17" s="3"/>
      <c r="F17" s="68"/>
      <c r="G17" s="3"/>
      <c r="H17" s="1"/>
      <c r="I17" s="1"/>
      <c r="J17" s="68"/>
      <c r="K17" s="1"/>
      <c r="L17" s="1"/>
      <c r="M17" s="1"/>
      <c r="N17" s="68"/>
      <c r="O17" s="1"/>
      <c r="P17" s="1"/>
      <c r="Q17" s="18"/>
      <c r="R17" s="68"/>
      <c r="S17" s="18"/>
      <c r="T17" s="1"/>
      <c r="U17" s="244"/>
      <c r="V17" s="244"/>
      <c r="W17" s="244"/>
      <c r="X17" s="244"/>
      <c r="Y17" s="244"/>
      <c r="Z17" s="244"/>
      <c r="AA17" s="244"/>
      <c r="AB17" s="244"/>
      <c r="AC17" s="244"/>
      <c r="AD17" s="244"/>
      <c r="AE17" s="244"/>
      <c r="AF17" s="244"/>
      <c r="AG17" s="244"/>
      <c r="AH17" s="244"/>
      <c r="AI17" s="244"/>
      <c r="AJ17" s="244"/>
      <c r="AK17" s="244"/>
      <c r="AL17" s="244"/>
      <c r="AM17" s="244"/>
      <c r="AN17" s="244"/>
      <c r="AO17" s="244"/>
      <c r="AP17" s="244"/>
      <c r="AQ17" s="244"/>
      <c r="AR17" s="244"/>
      <c r="AS17" s="244"/>
      <c r="AT17" s="244"/>
      <c r="AU17" s="244"/>
      <c r="AV17" s="244"/>
    </row>
    <row r="18" ht="15" customHeight="1">
      <c r="A18" s="1"/>
      <c r="B18" s="57" t="s">
        <v>13</v>
      </c>
      <c r="C18" s="58"/>
      <c r="D18" s="17" t="s">
        <v>32</v>
      </c>
      <c r="E18" s="239">
        <v>28.942396313364055299539170507</v>
      </c>
      <c r="F18" s="73">
        <v>-18.811134571367199245118085850</v>
      </c>
      <c r="G18" s="70"/>
      <c r="H18" s="76" t="s">
        <v>32</v>
      </c>
      <c r="I18" s="239">
        <v>0.6566820276497695852534562212</v>
      </c>
      <c r="J18" s="73">
        <v>-95.88645657926179439209719389</v>
      </c>
      <c r="K18" s="77"/>
      <c r="L18" s="76" t="s">
        <v>32</v>
      </c>
      <c r="M18" s="239">
        <v>1.4009216589861751152073732719</v>
      </c>
      <c r="N18" s="73">
        <v>54.18427726758666913449851800</v>
      </c>
      <c r="O18" s="77"/>
      <c r="P18" s="76" t="s">
        <v>32</v>
      </c>
      <c r="Q18" s="239">
        <v>31.000000000</v>
      </c>
      <c r="R18" s="73">
        <v>-40.975695358440085841110796160</v>
      </c>
      <c r="S18" s="18"/>
      <c r="T18" s="1"/>
      <c r="U18" s="244"/>
      <c r="V18" s="244"/>
      <c r="W18" s="244"/>
      <c r="X18" s="244"/>
      <c r="Y18" s="244"/>
      <c r="Z18" s="244"/>
      <c r="AA18" s="244"/>
      <c r="AB18" s="244"/>
      <c r="AC18" s="244"/>
      <c r="AD18" s="244"/>
      <c r="AE18" s="244"/>
      <c r="AF18" s="244"/>
      <c r="AG18" s="244"/>
      <c r="AH18" s="244"/>
      <c r="AI18" s="244"/>
      <c r="AJ18" s="244"/>
      <c r="AK18" s="244"/>
      <c r="AL18" s="244"/>
      <c r="AM18" s="244"/>
      <c r="AN18" s="244"/>
      <c r="AO18" s="244"/>
      <c r="AP18" s="244"/>
      <c r="AQ18" s="244"/>
      <c r="AR18" s="244"/>
      <c r="AS18" s="244"/>
      <c r="AT18" s="244"/>
      <c r="AU18" s="244"/>
      <c r="AV18" s="244"/>
    </row>
    <row r="19" ht="15" customHeight="1">
      <c r="A19" s="1"/>
      <c r="B19" s="57"/>
      <c r="C19" s="58"/>
      <c r="D19" s="187" t="s">
        <v>27</v>
      </c>
      <c r="E19" s="240"/>
      <c r="F19" s="81"/>
      <c r="G19" s="184"/>
      <c r="H19" s="189" t="s">
        <v>27</v>
      </c>
      <c r="I19" s="240"/>
      <c r="J19" s="81"/>
      <c r="K19" s="188"/>
      <c r="L19" s="189" t="s">
        <v>27</v>
      </c>
      <c r="M19" s="240"/>
      <c r="N19" s="81"/>
      <c r="O19" s="188"/>
      <c r="P19" s="189" t="s">
        <v>27</v>
      </c>
      <c r="Q19" s="240">
        <v>47.805227148330596606458675424</v>
      </c>
      <c r="R19" s="81">
        <v>62.107321024044472807818311800</v>
      </c>
      <c r="S19" s="18"/>
      <c r="T19" s="1"/>
      <c r="U19" s="244"/>
      <c r="V19" s="244"/>
      <c r="W19" s="244"/>
      <c r="X19" s="244"/>
      <c r="Y19" s="244"/>
      <c r="Z19" s="244"/>
      <c r="AA19" s="244"/>
      <c r="AB19" s="244"/>
      <c r="AC19" s="244"/>
      <c r="AD19" s="244"/>
      <c r="AE19" s="244"/>
      <c r="AF19" s="244"/>
      <c r="AG19" s="244"/>
      <c r="AH19" s="244"/>
      <c r="AI19" s="244"/>
      <c r="AJ19" s="244"/>
      <c r="AK19" s="244"/>
      <c r="AL19" s="244"/>
      <c r="AM19" s="244"/>
      <c r="AN19" s="244"/>
      <c r="AO19" s="244"/>
      <c r="AP19" s="244"/>
      <c r="AQ19" s="244"/>
      <c r="AR19" s="244"/>
      <c r="AS19" s="244"/>
      <c r="AT19" s="244"/>
      <c r="AU19" s="244"/>
      <c r="AV19" s="244"/>
    </row>
    <row r="20" ht="15" customHeight="1">
      <c r="A20" s="1"/>
      <c r="B20" s="57"/>
      <c r="C20" s="58"/>
      <c r="D20" s="406" t="s">
        <v>93</v>
      </c>
      <c r="E20" s="74"/>
      <c r="F20" s="73"/>
      <c r="G20" s="68"/>
      <c r="H20" s="406" t="s">
        <v>93</v>
      </c>
      <c r="I20" s="74"/>
      <c r="J20" s="73"/>
      <c r="K20" s="1"/>
      <c r="L20" s="406" t="s">
        <v>93</v>
      </c>
      <c r="M20" s="74"/>
      <c r="N20" s="73"/>
      <c r="O20" s="1"/>
      <c r="P20" s="406" t="s">
        <v>93</v>
      </c>
      <c r="Q20" s="74">
        <v>64.846465228232661810247156730</v>
      </c>
      <c r="R20" s="73">
        <v>-63.589365200317998534740298080</v>
      </c>
      <c r="S20" s="74"/>
      <c r="T20" s="1"/>
      <c r="U20" s="244"/>
      <c r="V20" s="244"/>
      <c r="W20" s="244"/>
      <c r="X20" s="244"/>
      <c r="Y20" s="244"/>
      <c r="Z20" s="244"/>
      <c r="AA20" s="244"/>
      <c r="AB20" s="244"/>
      <c r="AC20" s="244"/>
      <c r="AD20" s="244"/>
      <c r="AE20" s="244"/>
      <c r="AF20" s="244"/>
      <c r="AG20" s="244"/>
      <c r="AH20" s="244"/>
      <c r="AI20" s="244"/>
      <c r="AJ20" s="244"/>
      <c r="AK20" s="244"/>
      <c r="AL20" s="244"/>
      <c r="AM20" s="244"/>
      <c r="AN20" s="244"/>
      <c r="AO20" s="244"/>
      <c r="AP20" s="244"/>
      <c r="AQ20" s="244"/>
      <c r="AR20" s="244"/>
      <c r="AS20" s="244"/>
      <c r="AT20" s="244"/>
      <c r="AU20" s="244"/>
      <c r="AV20" s="244"/>
    </row>
    <row r="21" ht="15" customHeight="1">
      <c r="A21" s="1"/>
      <c r="B21" s="16"/>
      <c r="C21" s="1"/>
      <c r="D21" s="1"/>
      <c r="E21" s="1"/>
      <c r="F21" s="1"/>
      <c r="G21" s="1"/>
      <c r="H21" s="1"/>
      <c r="I21" s="1"/>
      <c r="J21" s="1"/>
      <c r="K21" s="1"/>
      <c r="L21" s="1"/>
      <c r="M21" s="1"/>
      <c r="N21" s="1"/>
      <c r="O21" s="1"/>
      <c r="P21" s="1"/>
      <c r="Q21" s="1"/>
      <c r="R21" s="1"/>
      <c r="S21" s="1"/>
      <c r="T21" s="1"/>
      <c r="U21" s="244"/>
      <c r="V21" s="244"/>
      <c r="W21" s="244"/>
      <c r="X21" s="244"/>
      <c r="Y21" s="244"/>
      <c r="Z21" s="244"/>
      <c r="AA21" s="244"/>
      <c r="AB21" s="244"/>
      <c r="AC21" s="244"/>
      <c r="AD21" s="244"/>
      <c r="AE21" s="244"/>
      <c r="AF21" s="244"/>
      <c r="AG21" s="244"/>
      <c r="AH21" s="244"/>
      <c r="AI21" s="244"/>
      <c r="AJ21" s="244"/>
      <c r="AK21" s="244"/>
      <c r="AL21" s="244"/>
      <c r="AM21" s="244"/>
      <c r="AN21" s="244"/>
      <c r="AO21" s="244"/>
      <c r="AP21" s="244"/>
      <c r="AQ21" s="244"/>
      <c r="AR21" s="244"/>
      <c r="AS21" s="244"/>
      <c r="AT21" s="244"/>
      <c r="AU21" s="244"/>
      <c r="AV21" s="244"/>
    </row>
    <row r="22" ht="15" customHeight="1">
      <c r="A22" s="1"/>
      <c r="T22" s="1"/>
      <c r="U22" s="244"/>
      <c r="V22" s="244"/>
      <c r="W22" s="244"/>
      <c r="X22" s="244"/>
      <c r="Y22" s="244"/>
      <c r="Z22" s="244"/>
      <c r="AA22" s="244"/>
      <c r="AB22" s="244"/>
      <c r="AC22" s="244"/>
      <c r="AD22" s="244"/>
      <c r="AE22" s="244"/>
      <c r="AF22" s="244"/>
      <c r="AG22" s="244"/>
      <c r="AH22" s="244"/>
      <c r="AI22" s="244"/>
      <c r="AJ22" s="244"/>
      <c r="AK22" s="244"/>
      <c r="AL22" s="244"/>
      <c r="AM22" s="244"/>
      <c r="AN22" s="244"/>
      <c r="AO22" s="244"/>
      <c r="AP22" s="244"/>
      <c r="AQ22" s="244"/>
      <c r="AR22" s="244"/>
      <c r="AS22" s="244"/>
      <c r="AT22" s="244"/>
      <c r="AU22" s="244"/>
      <c r="AV22" s="244"/>
    </row>
    <row r="23" ht="15" customHeight="1">
      <c r="A23" s="1"/>
      <c r="B23" s="612" t="s">
        <v>61</v>
      </c>
      <c r="C23" s="612"/>
      <c r="D23" s="612"/>
      <c r="E23" s="612"/>
      <c r="F23" s="612"/>
      <c r="G23" s="612"/>
      <c r="H23" s="612"/>
      <c r="I23" s="612"/>
      <c r="J23" s="612"/>
      <c r="K23" s="612"/>
      <c r="L23" s="612"/>
      <c r="M23" s="612"/>
      <c r="N23" s="612"/>
      <c r="O23" s="612"/>
      <c r="P23" s="612"/>
      <c r="Q23" s="612"/>
      <c r="R23" s="612"/>
      <c r="S23" s="612"/>
      <c r="T23" s="1"/>
      <c r="U23" s="244"/>
      <c r="V23" s="244"/>
      <c r="W23" s="244"/>
      <c r="X23" s="244"/>
      <c r="Y23" s="244"/>
      <c r="Z23" s="244"/>
      <c r="AA23" s="244"/>
      <c r="AB23" s="244"/>
      <c r="AC23" s="244"/>
      <c r="AD23" s="244"/>
      <c r="AE23" s="244"/>
      <c r="AF23" s="244"/>
      <c r="AG23" s="244"/>
      <c r="AH23" s="244"/>
      <c r="AI23" s="244"/>
      <c r="AJ23" s="244"/>
      <c r="AK23" s="244"/>
      <c r="AL23" s="244"/>
      <c r="AM23" s="244"/>
      <c r="AN23" s="244"/>
      <c r="AO23" s="244"/>
      <c r="AP23" s="244"/>
      <c r="AQ23" s="244"/>
      <c r="AR23" s="244"/>
      <c r="AS23" s="244"/>
      <c r="AT23" s="244"/>
      <c r="AU23" s="244"/>
      <c r="AV23" s="244"/>
    </row>
    <row r="24" ht="15" customHeight="1">
      <c r="A24" s="1"/>
      <c r="B24" s="16"/>
      <c r="C24" s="1"/>
      <c r="D24" s="1"/>
      <c r="E24" s="1"/>
      <c r="F24" s="1"/>
      <c r="G24" s="1"/>
      <c r="H24" s="1"/>
      <c r="I24" s="1"/>
      <c r="J24" s="1"/>
      <c r="K24" s="1"/>
      <c r="L24" s="1"/>
      <c r="M24" s="1"/>
      <c r="N24" s="1"/>
      <c r="O24" s="1"/>
      <c r="P24" s="1"/>
      <c r="Q24" s="1"/>
      <c r="R24" s="1"/>
      <c r="S24" s="1"/>
      <c r="T24" s="1"/>
      <c r="U24" s="244"/>
      <c r="V24" s="244"/>
      <c r="W24" s="244"/>
      <c r="X24" s="244"/>
      <c r="Y24" s="244"/>
      <c r="Z24" s="244"/>
      <c r="AA24" s="244"/>
      <c r="AB24" s="244"/>
      <c r="AC24" s="244"/>
      <c r="AD24" s="244"/>
      <c r="AE24" s="244"/>
      <c r="AF24" s="244"/>
      <c r="AG24" s="244"/>
      <c r="AH24" s="244"/>
      <c r="AI24" s="244"/>
      <c r="AJ24" s="244"/>
      <c r="AK24" s="244"/>
      <c r="AL24" s="244"/>
      <c r="AM24" s="244"/>
      <c r="AN24" s="244"/>
      <c r="AO24" s="244"/>
      <c r="AP24" s="244"/>
      <c r="AQ24" s="244"/>
      <c r="AR24" s="244"/>
      <c r="AS24" s="244"/>
      <c r="AT24" s="244"/>
      <c r="AU24" s="244"/>
      <c r="AV24" s="244"/>
    </row>
    <row r="25" ht="15" customHeight="1">
      <c r="A25" s="1"/>
      <c r="B25" s="1"/>
      <c r="C25" s="14"/>
      <c r="D25" s="648" t="s">
        <v>21</v>
      </c>
      <c r="E25" s="648"/>
      <c r="F25" s="648"/>
      <c r="G25" s="1"/>
      <c r="H25" s="648" t="s">
        <v>24</v>
      </c>
      <c r="I25" s="648"/>
      <c r="J25" s="648"/>
      <c r="K25" s="1"/>
      <c r="L25" s="648" t="s">
        <v>25</v>
      </c>
      <c r="M25" s="648"/>
      <c r="N25" s="648"/>
      <c r="O25" s="1"/>
      <c r="P25" s="648" t="s">
        <v>23</v>
      </c>
      <c r="Q25" s="648"/>
      <c r="R25" s="648"/>
      <c r="S25" s="2"/>
      <c r="T25" s="1"/>
      <c r="U25" s="244"/>
      <c r="V25" s="244"/>
      <c r="W25" s="244"/>
      <c r="X25" s="244"/>
      <c r="Y25" s="244"/>
      <c r="Z25" s="244"/>
      <c r="AA25" s="244"/>
      <c r="AB25" s="244"/>
      <c r="AC25" s="244"/>
      <c r="AD25" s="244"/>
      <c r="AE25" s="244"/>
      <c r="AF25" s="244"/>
      <c r="AG25" s="244"/>
      <c r="AH25" s="244"/>
      <c r="AI25" s="244"/>
      <c r="AJ25" s="244"/>
      <c r="AK25" s="244"/>
      <c r="AL25" s="244"/>
      <c r="AM25" s="244"/>
      <c r="AN25" s="244"/>
      <c r="AO25" s="244"/>
      <c r="AP25" s="244"/>
      <c r="AQ25" s="244"/>
      <c r="AR25" s="244"/>
      <c r="AS25" s="244"/>
      <c r="AT25" s="244"/>
      <c r="AU25" s="244"/>
      <c r="AV25" s="244"/>
    </row>
    <row r="26" ht="15" customHeight="1">
      <c r="A26" s="1"/>
      <c r="B26" s="16"/>
      <c r="C26" s="1"/>
      <c r="D26" s="1"/>
      <c r="E26" s="1"/>
      <c r="F26" s="66" t="s">
        <v>57</v>
      </c>
      <c r="G26" s="1"/>
      <c r="H26" s="1"/>
      <c r="I26" s="1"/>
      <c r="J26" s="66" t="s">
        <v>57</v>
      </c>
      <c r="K26" s="1"/>
      <c r="L26" s="1"/>
      <c r="M26" s="1"/>
      <c r="N26" s="66" t="s">
        <v>57</v>
      </c>
      <c r="O26" s="1"/>
      <c r="P26" s="1"/>
      <c r="Q26" s="1"/>
      <c r="R26" s="66" t="s">
        <v>57</v>
      </c>
      <c r="S26" s="1"/>
      <c r="T26" s="1"/>
      <c r="U26" s="244"/>
      <c r="V26" s="244"/>
      <c r="W26" s="244"/>
      <c r="X26" s="244"/>
      <c r="Y26" s="244"/>
      <c r="Z26" s="244"/>
      <c r="AA26" s="244"/>
      <c r="AB26" s="244"/>
      <c r="AC26" s="244"/>
      <c r="AD26" s="244"/>
      <c r="AE26" s="244"/>
      <c r="AF26" s="244"/>
      <c r="AG26" s="244"/>
      <c r="AH26" s="244"/>
      <c r="AI26" s="244"/>
      <c r="AJ26" s="244"/>
      <c r="AK26" s="244"/>
      <c r="AL26" s="244"/>
      <c r="AM26" s="244"/>
      <c r="AN26" s="244"/>
      <c r="AO26" s="244"/>
      <c r="AP26" s="244"/>
      <c r="AQ26" s="244"/>
      <c r="AR26" s="244"/>
      <c r="AS26" s="244"/>
      <c r="AT26" s="244"/>
      <c r="AU26" s="244"/>
      <c r="AV26" s="244"/>
    </row>
    <row r="27" ht="15" customHeight="1">
      <c r="A27" s="1"/>
      <c r="B27" s="57" t="s">
        <v>28</v>
      </c>
      <c r="C27" s="58"/>
      <c r="D27" s="17" t="s">
        <v>32</v>
      </c>
      <c r="E27" s="19">
        <v>0.341589861751152073732718894</v>
      </c>
      <c r="F27" s="73">
        <v>28.077753779901220792185760900</v>
      </c>
      <c r="G27" s="1"/>
      <c r="H27" s="17" t="s">
        <v>32</v>
      </c>
      <c r="I27" s="19">
        <v>0.0015360983102918586789554531</v>
      </c>
      <c r="J27" s="73">
        <v>-98.78419452888013968828815317</v>
      </c>
      <c r="K27" s="1"/>
      <c r="L27" s="17" t="s">
        <v>32</v>
      </c>
      <c r="M27" s="19">
        <v>0.0134408602150537634408602151</v>
      </c>
      <c r="N27" s="73">
        <v>29.629629635506172839772576580</v>
      </c>
      <c r="O27" s="1"/>
      <c r="P27" s="17" t="s">
        <v>32</v>
      </c>
      <c r="Q27" s="19">
        <v>0.3565668202764976958525345622</v>
      </c>
      <c r="R27" s="73">
        <v>-11.613517372592173306108991780</v>
      </c>
      <c r="S27" s="19"/>
      <c r="T27" s="1"/>
      <c r="U27" s="244"/>
      <c r="V27" s="244"/>
      <c r="W27" s="244"/>
      <c r="X27" s="244"/>
      <c r="Y27" s="244"/>
      <c r="Z27" s="244"/>
      <c r="AA27" s="244"/>
      <c r="AB27" s="244"/>
      <c r="AC27" s="244"/>
      <c r="AD27" s="244"/>
      <c r="AE27" s="244"/>
      <c r="AF27" s="244"/>
      <c r="AG27" s="244"/>
      <c r="AH27" s="244"/>
      <c r="AI27" s="244"/>
      <c r="AJ27" s="244"/>
      <c r="AK27" s="244"/>
      <c r="AL27" s="244"/>
      <c r="AM27" s="244"/>
      <c r="AN27" s="244"/>
      <c r="AO27" s="244"/>
      <c r="AP27" s="244"/>
      <c r="AQ27" s="244"/>
      <c r="AR27" s="244"/>
      <c r="AS27" s="244"/>
      <c r="AT27" s="244"/>
      <c r="AU27" s="244"/>
      <c r="AV27" s="244"/>
    </row>
    <row r="28" ht="15" customHeight="1">
      <c r="A28" s="1"/>
      <c r="B28" s="57"/>
      <c r="C28" s="58"/>
      <c r="D28" s="187" t="s">
        <v>27</v>
      </c>
      <c r="E28" s="190"/>
      <c r="F28" s="81"/>
      <c r="G28" s="191"/>
      <c r="H28" s="187" t="s">
        <v>27</v>
      </c>
      <c r="I28" s="190"/>
      <c r="J28" s="81"/>
      <c r="K28" s="191"/>
      <c r="L28" s="187" t="s">
        <v>27</v>
      </c>
      <c r="M28" s="190"/>
      <c r="N28" s="81"/>
      <c r="O28" s="191"/>
      <c r="P28" s="187" t="s">
        <v>27</v>
      </c>
      <c r="Q28" s="190">
        <v>0.6132320744389709906951286262</v>
      </c>
      <c r="R28" s="81">
        <v>73.247912442860097426408741290</v>
      </c>
      <c r="S28" s="19"/>
      <c r="T28" s="1"/>
      <c r="U28" s="244"/>
      <c r="V28" s="244"/>
      <c r="W28" s="244"/>
      <c r="X28" s="244"/>
      <c r="Y28" s="244"/>
      <c r="Z28" s="244"/>
      <c r="AA28" s="244"/>
      <c r="AB28" s="244"/>
      <c r="AC28" s="244"/>
      <c r="AD28" s="244"/>
      <c r="AE28" s="244"/>
      <c r="AF28" s="244"/>
      <c r="AG28" s="244"/>
      <c r="AH28" s="244"/>
      <c r="AI28" s="244"/>
      <c r="AJ28" s="244"/>
      <c r="AK28" s="244"/>
      <c r="AL28" s="244"/>
      <c r="AM28" s="244"/>
      <c r="AN28" s="244"/>
      <c r="AO28" s="244"/>
      <c r="AP28" s="244"/>
      <c r="AQ28" s="244"/>
      <c r="AR28" s="244"/>
      <c r="AS28" s="244"/>
      <c r="AT28" s="244"/>
      <c r="AU28" s="244"/>
      <c r="AV28" s="244"/>
    </row>
    <row r="29" ht="15" customHeight="1">
      <c r="A29" s="1"/>
      <c r="B29" s="57"/>
      <c r="C29" s="58"/>
      <c r="D29" s="406" t="s">
        <v>91</v>
      </c>
      <c r="E29" s="74"/>
      <c r="F29" s="73"/>
      <c r="G29" s="75"/>
      <c r="H29" s="406" t="s">
        <v>91</v>
      </c>
      <c r="I29" s="74"/>
      <c r="J29" s="73"/>
      <c r="K29" s="75"/>
      <c r="L29" s="406" t="s">
        <v>91</v>
      </c>
      <c r="M29" s="74"/>
      <c r="N29" s="73"/>
      <c r="O29" s="75"/>
      <c r="P29" s="406" t="s">
        <v>91</v>
      </c>
      <c r="Q29" s="74">
        <v>58.145494200167843196309678120</v>
      </c>
      <c r="R29" s="73">
        <v>-48.982656482801655925619112320</v>
      </c>
      <c r="S29" s="74"/>
      <c r="T29" s="1"/>
      <c r="U29" s="244"/>
      <c r="V29" s="244"/>
      <c r="W29" s="244"/>
      <c r="X29" s="244"/>
      <c r="Y29" s="244"/>
      <c r="Z29" s="244"/>
      <c r="AA29" s="244"/>
      <c r="AB29" s="244"/>
      <c r="AC29" s="244"/>
      <c r="AD29" s="244"/>
      <c r="AE29" s="244"/>
      <c r="AF29" s="244"/>
      <c r="AG29" s="244"/>
      <c r="AH29" s="244"/>
      <c r="AI29" s="244"/>
      <c r="AJ29" s="244"/>
      <c r="AK29" s="244"/>
      <c r="AL29" s="244"/>
      <c r="AM29" s="244"/>
      <c r="AN29" s="244"/>
      <c r="AO29" s="244"/>
      <c r="AP29" s="244"/>
      <c r="AQ29" s="244"/>
      <c r="AR29" s="244"/>
      <c r="AS29" s="244"/>
      <c r="AT29" s="244"/>
      <c r="AU29" s="244"/>
      <c r="AV29" s="244"/>
    </row>
    <row r="30" ht="15" customHeight="1">
      <c r="A30" s="1"/>
      <c r="B30" s="16"/>
      <c r="C30" s="1"/>
      <c r="D30" s="1"/>
      <c r="E30" s="1"/>
      <c r="F30" s="66"/>
      <c r="G30" s="1"/>
      <c r="H30" s="1"/>
      <c r="I30" s="1"/>
      <c r="J30" s="66"/>
      <c r="K30" s="1"/>
      <c r="L30" s="1"/>
      <c r="M30" s="1"/>
      <c r="N30" s="66"/>
      <c r="O30" s="1"/>
      <c r="P30" s="1"/>
      <c r="Q30" s="19"/>
      <c r="R30" s="66"/>
      <c r="S30" s="19"/>
      <c r="T30" s="1"/>
      <c r="U30" s="244"/>
      <c r="V30" s="244"/>
      <c r="W30" s="244"/>
      <c r="X30" s="244"/>
      <c r="Y30" s="244"/>
      <c r="Z30" s="244"/>
      <c r="AA30" s="244"/>
      <c r="AB30" s="244"/>
      <c r="AC30" s="244"/>
      <c r="AD30" s="244"/>
      <c r="AE30" s="244"/>
      <c r="AF30" s="244"/>
      <c r="AG30" s="244"/>
      <c r="AH30" s="244"/>
      <c r="AI30" s="244"/>
      <c r="AJ30" s="244"/>
      <c r="AK30" s="244"/>
      <c r="AL30" s="244"/>
      <c r="AM30" s="244"/>
      <c r="AN30" s="244"/>
      <c r="AO30" s="244"/>
      <c r="AP30" s="244"/>
      <c r="AQ30" s="244"/>
      <c r="AR30" s="244"/>
      <c r="AS30" s="244"/>
      <c r="AT30" s="244"/>
      <c r="AU30" s="244"/>
      <c r="AV30" s="244"/>
    </row>
    <row r="31" ht="15" customHeight="1">
      <c r="A31" s="1"/>
      <c r="B31" s="57" t="s">
        <v>12</v>
      </c>
      <c r="C31" s="58"/>
      <c r="D31" s="17" t="s">
        <v>32</v>
      </c>
      <c r="E31" s="239">
        <v>101.51658234963462619449128724</v>
      </c>
      <c r="F31" s="73">
        <v>-2.3426072044056823998918677600</v>
      </c>
      <c r="G31" s="77"/>
      <c r="H31" s="76" t="s">
        <v>32</v>
      </c>
      <c r="I31" s="239">
        <v>106.875</v>
      </c>
      <c r="J31" s="73">
        <v>-4.8650568181692055946539239500</v>
      </c>
      <c r="K31" s="77"/>
      <c r="L31" s="76" t="s">
        <v>32</v>
      </c>
      <c r="M31" s="239">
        <v>102.3</v>
      </c>
      <c r="N31" s="73">
        <v>6.9131023804750279694398335500</v>
      </c>
      <c r="O31" s="77"/>
      <c r="P31" s="76" t="s">
        <v>32</v>
      </c>
      <c r="Q31" s="239">
        <v>101.56919763058696822832525579</v>
      </c>
      <c r="R31" s="73">
        <v>-4.5097285057374416121655820400</v>
      </c>
      <c r="S31" s="18"/>
      <c r="T31" s="1"/>
      <c r="U31" s="244"/>
      <c r="V31" s="244"/>
      <c r="W31" s="244"/>
      <c r="X31" s="244"/>
      <c r="Y31" s="244"/>
      <c r="Z31" s="244"/>
      <c r="AA31" s="244"/>
      <c r="AB31" s="244"/>
      <c r="AC31" s="244"/>
      <c r="AD31" s="244"/>
      <c r="AE31" s="244"/>
      <c r="AF31" s="244"/>
      <c r="AG31" s="244"/>
      <c r="AH31" s="244"/>
      <c r="AI31" s="244"/>
      <c r="AJ31" s="244"/>
      <c r="AK31" s="244"/>
      <c r="AL31" s="244"/>
      <c r="AM31" s="244"/>
      <c r="AN31" s="244"/>
      <c r="AO31" s="244"/>
      <c r="AP31" s="244"/>
      <c r="AQ31" s="244"/>
      <c r="AR31" s="244"/>
      <c r="AS31" s="244"/>
      <c r="AT31" s="244"/>
      <c r="AU31" s="244"/>
      <c r="AV31" s="244"/>
    </row>
    <row r="32" ht="15" customHeight="1">
      <c r="A32" s="1"/>
      <c r="B32" s="57"/>
      <c r="C32" s="58"/>
      <c r="D32" s="187" t="s">
        <v>27</v>
      </c>
      <c r="E32" s="240"/>
      <c r="F32" s="81"/>
      <c r="G32" s="188"/>
      <c r="H32" s="189" t="s">
        <v>27</v>
      </c>
      <c r="I32" s="240"/>
      <c r="J32" s="81"/>
      <c r="K32" s="188"/>
      <c r="L32" s="189" t="s">
        <v>27</v>
      </c>
      <c r="M32" s="240"/>
      <c r="N32" s="81"/>
      <c r="O32" s="188"/>
      <c r="P32" s="189" t="s">
        <v>27</v>
      </c>
      <c r="Q32" s="240">
        <v>92.07800736360593551266317081</v>
      </c>
      <c r="R32" s="81">
        <v>-9.613417600057486379459065700</v>
      </c>
      <c r="S32" s="18"/>
      <c r="T32" s="1"/>
      <c r="U32" s="244"/>
      <c r="V32" s="244"/>
      <c r="W32" s="244"/>
      <c r="X32" s="244"/>
      <c r="Y32" s="244"/>
      <c r="Z32" s="244"/>
      <c r="AA32" s="244"/>
      <c r="AB32" s="244"/>
      <c r="AC32" s="244"/>
      <c r="AD32" s="244"/>
      <c r="AE32" s="244"/>
      <c r="AF32" s="244"/>
      <c r="AG32" s="244"/>
      <c r="AH32" s="244"/>
      <c r="AI32" s="244"/>
      <c r="AJ32" s="244"/>
      <c r="AK32" s="244"/>
      <c r="AL32" s="244"/>
      <c r="AM32" s="244"/>
      <c r="AN32" s="244"/>
      <c r="AO32" s="244"/>
      <c r="AP32" s="244"/>
      <c r="AQ32" s="244"/>
      <c r="AR32" s="244"/>
      <c r="AS32" s="244"/>
      <c r="AT32" s="244"/>
      <c r="AU32" s="244"/>
      <c r="AV32" s="244"/>
    </row>
    <row r="33" ht="15" customHeight="1">
      <c r="A33" s="1"/>
      <c r="B33" s="57"/>
      <c r="C33" s="58"/>
      <c r="D33" s="406" t="s">
        <v>92</v>
      </c>
      <c r="E33" s="74"/>
      <c r="F33" s="73"/>
      <c r="G33" s="75"/>
      <c r="H33" s="406" t="s">
        <v>92</v>
      </c>
      <c r="I33" s="74"/>
      <c r="J33" s="73"/>
      <c r="K33" s="75"/>
      <c r="L33" s="406" t="s">
        <v>92</v>
      </c>
      <c r="M33" s="74"/>
      <c r="N33" s="73"/>
      <c r="O33" s="75"/>
      <c r="P33" s="406" t="s">
        <v>92</v>
      </c>
      <c r="Q33" s="74">
        <v>110.30777113747467663202933091</v>
      </c>
      <c r="R33" s="73">
        <v>5.6465118592171524615035675600</v>
      </c>
      <c r="S33" s="74"/>
      <c r="T33" s="1"/>
      <c r="U33" s="244"/>
      <c r="V33" s="244"/>
      <c r="W33" s="244"/>
      <c r="X33" s="244"/>
      <c r="Y33" s="244"/>
      <c r="Z33" s="244"/>
      <c r="AA33" s="244"/>
      <c r="AB33" s="244"/>
      <c r="AC33" s="244"/>
      <c r="AD33" s="244"/>
      <c r="AE33" s="244"/>
      <c r="AF33" s="244"/>
      <c r="AG33" s="244"/>
      <c r="AH33" s="244"/>
      <c r="AI33" s="244"/>
      <c r="AJ33" s="244"/>
      <c r="AK33" s="244"/>
      <c r="AL33" s="244"/>
      <c r="AM33" s="244"/>
      <c r="AN33" s="244"/>
      <c r="AO33" s="244"/>
      <c r="AP33" s="244"/>
      <c r="AQ33" s="244"/>
      <c r="AR33" s="244"/>
      <c r="AS33" s="244"/>
      <c r="AT33" s="244"/>
      <c r="AU33" s="244"/>
      <c r="AV33" s="244"/>
    </row>
    <row r="34" ht="15" customHeight="1">
      <c r="A34" s="1"/>
      <c r="B34" s="16"/>
      <c r="C34" s="1"/>
      <c r="D34" s="1"/>
      <c r="E34" s="1"/>
      <c r="F34" s="68"/>
      <c r="G34" s="1"/>
      <c r="H34" s="1"/>
      <c r="I34" s="1"/>
      <c r="J34" s="68"/>
      <c r="K34" s="1"/>
      <c r="L34" s="1"/>
      <c r="M34" s="1"/>
      <c r="N34" s="68"/>
      <c r="O34" s="1"/>
      <c r="P34" s="1"/>
      <c r="Q34" s="18"/>
      <c r="R34" s="68"/>
      <c r="S34" s="18"/>
      <c r="T34" s="1"/>
      <c r="U34" s="244"/>
      <c r="V34" s="244"/>
      <c r="W34" s="244"/>
      <c r="X34" s="244"/>
      <c r="Y34" s="244"/>
      <c r="Z34" s="244"/>
      <c r="AA34" s="244"/>
      <c r="AB34" s="244"/>
      <c r="AC34" s="244"/>
      <c r="AD34" s="244"/>
      <c r="AE34" s="244"/>
      <c r="AF34" s="244"/>
      <c r="AG34" s="244"/>
      <c r="AH34" s="244"/>
      <c r="AI34" s="244"/>
      <c r="AJ34" s="244"/>
      <c r="AK34" s="244"/>
      <c r="AL34" s="244"/>
      <c r="AM34" s="244"/>
      <c r="AN34" s="244"/>
      <c r="AO34" s="244"/>
      <c r="AP34" s="244"/>
      <c r="AQ34" s="244"/>
      <c r="AR34" s="244"/>
      <c r="AS34" s="244"/>
      <c r="AT34" s="244"/>
      <c r="AU34" s="244"/>
      <c r="AV34" s="244"/>
    </row>
    <row r="35" ht="15" customHeight="1">
      <c r="A35" s="1"/>
      <c r="B35" s="57" t="s">
        <v>13</v>
      </c>
      <c r="C35" s="58"/>
      <c r="D35" s="17" t="s">
        <v>32</v>
      </c>
      <c r="E35" s="239">
        <v>34.677035330261136712749615975</v>
      </c>
      <c r="F35" s="73">
        <v>25.077395092385129980122177910</v>
      </c>
      <c r="G35" s="77"/>
      <c r="H35" s="76" t="s">
        <v>32</v>
      </c>
      <c r="I35" s="239">
        <v>0.1641705069124423963133640553</v>
      </c>
      <c r="J35" s="73">
        <v>-98.84334415584441872048406134</v>
      </c>
      <c r="K35" s="77"/>
      <c r="L35" s="76" t="s">
        <v>32</v>
      </c>
      <c r="M35" s="239">
        <v>1.375</v>
      </c>
      <c r="N35" s="73">
        <v>38.591058635756012020504265510</v>
      </c>
      <c r="O35" s="77"/>
      <c r="P35" s="76" t="s">
        <v>32</v>
      </c>
      <c r="Q35" s="239">
        <v>36.216205837173579109062980031</v>
      </c>
      <c r="R35" s="73">
        <v>-15.599507774999263563018145910</v>
      </c>
      <c r="S35" s="18"/>
      <c r="T35" s="1"/>
      <c r="U35" s="244"/>
      <c r="V35" s="244"/>
      <c r="W35" s="244"/>
      <c r="X35" s="244"/>
      <c r="Y35" s="244"/>
      <c r="Z35" s="244"/>
      <c r="AA35" s="244"/>
      <c r="AB35" s="244"/>
      <c r="AC35" s="244"/>
      <c r="AD35" s="244"/>
      <c r="AE35" s="244"/>
      <c r="AF35" s="244"/>
      <c r="AG35" s="244"/>
      <c r="AH35" s="244"/>
      <c r="AI35" s="244"/>
      <c r="AJ35" s="244"/>
      <c r="AK35" s="244"/>
      <c r="AL35" s="244"/>
      <c r="AM35" s="244"/>
      <c r="AN35" s="244"/>
      <c r="AO35" s="244"/>
      <c r="AP35" s="244"/>
      <c r="AQ35" s="244"/>
      <c r="AR35" s="244"/>
      <c r="AS35" s="244"/>
      <c r="AT35" s="244"/>
      <c r="AU35" s="244"/>
      <c r="AV35" s="244"/>
    </row>
    <row r="36" ht="15" customHeight="1">
      <c r="A36" s="1"/>
      <c r="B36" s="57"/>
      <c r="C36" s="58"/>
      <c r="D36" s="187" t="s">
        <v>27</v>
      </c>
      <c r="E36" s="240"/>
      <c r="F36" s="81"/>
      <c r="G36" s="188"/>
      <c r="H36" s="189" t="s">
        <v>27</v>
      </c>
      <c r="I36" s="240"/>
      <c r="J36" s="81"/>
      <c r="K36" s="188"/>
      <c r="L36" s="189" t="s">
        <v>27</v>
      </c>
      <c r="M36" s="240"/>
      <c r="N36" s="81"/>
      <c r="O36" s="188"/>
      <c r="P36" s="189" t="s">
        <v>27</v>
      </c>
      <c r="Q36" s="240">
        <v>56.465187465790914066776135742</v>
      </c>
      <c r="R36" s="81">
        <v>56.592867136279527292831373330</v>
      </c>
      <c r="S36" s="18"/>
      <c r="T36" s="1"/>
      <c r="U36" s="244"/>
      <c r="V36" s="244"/>
      <c r="W36" s="244"/>
      <c r="X36" s="244"/>
      <c r="Y36" s="244"/>
      <c r="Z36" s="244"/>
      <c r="AA36" s="244"/>
      <c r="AB36" s="244"/>
      <c r="AC36" s="244"/>
      <c r="AD36" s="244"/>
      <c r="AE36" s="244"/>
      <c r="AF36" s="244"/>
      <c r="AG36" s="244"/>
      <c r="AH36" s="244"/>
      <c r="AI36" s="244"/>
      <c r="AJ36" s="244"/>
      <c r="AK36" s="244"/>
      <c r="AL36" s="244"/>
      <c r="AM36" s="244"/>
      <c r="AN36" s="244"/>
      <c r="AO36" s="244"/>
      <c r="AP36" s="244"/>
      <c r="AQ36" s="244"/>
      <c r="AR36" s="244"/>
      <c r="AS36" s="244"/>
      <c r="AT36" s="244"/>
      <c r="AU36" s="244"/>
      <c r="AV36" s="244"/>
    </row>
    <row r="37" ht="15" customHeight="1">
      <c r="A37" s="1"/>
      <c r="B37" s="57"/>
      <c r="C37" s="58"/>
      <c r="D37" s="406" t="s">
        <v>93</v>
      </c>
      <c r="E37" s="74"/>
      <c r="F37" s="73"/>
      <c r="G37" s="75"/>
      <c r="H37" s="406" t="s">
        <v>93</v>
      </c>
      <c r="I37" s="74"/>
      <c r="J37" s="73"/>
      <c r="K37" s="75"/>
      <c r="L37" s="406" t="s">
        <v>93</v>
      </c>
      <c r="M37" s="74"/>
      <c r="N37" s="73"/>
      <c r="O37" s="75"/>
      <c r="P37" s="406" t="s">
        <v>93</v>
      </c>
      <c r="Q37" s="74">
        <v>64.138998669063335092764264060</v>
      </c>
      <c r="R37" s="73">
        <v>-46.101956130840524298918332310</v>
      </c>
      <c r="S37" s="74"/>
      <c r="T37" s="1"/>
      <c r="U37" s="244"/>
      <c r="V37" s="244"/>
      <c r="W37" s="244"/>
      <c r="X37" s="244"/>
      <c r="Y37" s="244"/>
      <c r="Z37" s="244"/>
      <c r="AA37" s="244"/>
      <c r="AB37" s="244"/>
      <c r="AC37" s="244"/>
      <c r="AD37" s="244"/>
      <c r="AE37" s="244"/>
      <c r="AF37" s="244"/>
      <c r="AG37" s="244"/>
      <c r="AH37" s="244"/>
      <c r="AI37" s="244"/>
      <c r="AJ37" s="244"/>
      <c r="AK37" s="244"/>
      <c r="AL37" s="244"/>
      <c r="AM37" s="244"/>
      <c r="AN37" s="244"/>
      <c r="AO37" s="244"/>
      <c r="AP37" s="244"/>
      <c r="AQ37" s="244"/>
      <c r="AR37" s="244"/>
      <c r="AS37" s="244"/>
      <c r="AT37" s="244"/>
      <c r="AU37" s="244"/>
      <c r="AV37" s="244"/>
    </row>
    <row r="38" ht="18" customHeight="1">
      <c r="A38" s="1"/>
      <c r="B38" s="1"/>
      <c r="C38" s="1"/>
      <c r="D38" s="1"/>
      <c r="E38" s="1"/>
      <c r="F38" s="1"/>
      <c r="G38" s="1"/>
      <c r="H38" s="1"/>
      <c r="I38" s="1"/>
      <c r="J38" s="1"/>
      <c r="K38" s="1"/>
      <c r="L38" s="1"/>
      <c r="M38" s="1"/>
      <c r="N38" s="1"/>
      <c r="O38" s="1"/>
      <c r="P38" s="1"/>
      <c r="Q38" s="1"/>
      <c r="R38" s="1"/>
      <c r="S38" s="1"/>
      <c r="T38" s="1"/>
      <c r="U38" s="244"/>
      <c r="V38" s="244"/>
      <c r="W38" s="244"/>
      <c r="X38" s="244"/>
      <c r="Y38" s="244"/>
      <c r="Z38" s="244"/>
      <c r="AA38" s="244"/>
      <c r="AB38" s="244"/>
      <c r="AC38" s="244"/>
      <c r="AD38" s="244"/>
      <c r="AE38" s="244"/>
      <c r="AF38" s="244"/>
      <c r="AG38" s="244"/>
      <c r="AH38" s="244"/>
      <c r="AI38" s="244"/>
      <c r="AJ38" s="244"/>
      <c r="AK38" s="244"/>
      <c r="AL38" s="244"/>
      <c r="AM38" s="244"/>
      <c r="AN38" s="244"/>
      <c r="AO38" s="244"/>
      <c r="AP38" s="244"/>
      <c r="AQ38" s="244"/>
      <c r="AR38" s="244"/>
      <c r="AS38" s="244"/>
      <c r="AT38" s="244"/>
      <c r="AU38" s="244"/>
      <c r="AV38" s="244"/>
    </row>
    <row r="39" ht="9" customHeight="1">
      <c r="A39" s="1"/>
      <c r="B39" s="1"/>
      <c r="C39" s="1"/>
      <c r="D39" s="1"/>
      <c r="E39" s="1"/>
      <c r="F39" s="1"/>
      <c r="G39" s="1"/>
      <c r="H39" s="1"/>
      <c r="I39" s="1"/>
      <c r="J39" s="1"/>
      <c r="K39" s="1"/>
      <c r="L39" s="1"/>
      <c r="M39" s="1"/>
      <c r="N39" s="1"/>
      <c r="O39" s="1"/>
      <c r="P39" s="1"/>
      <c r="Q39" s="1"/>
      <c r="R39" s="1"/>
      <c r="S39" s="1"/>
      <c r="T39" s="1"/>
      <c r="U39" s="244"/>
      <c r="V39" s="244"/>
      <c r="W39" s="244"/>
      <c r="X39" s="244"/>
      <c r="Y39" s="244"/>
      <c r="Z39" s="244"/>
      <c r="AA39" s="244"/>
      <c r="AB39" s="244"/>
      <c r="AC39" s="244"/>
      <c r="AD39" s="244"/>
      <c r="AE39" s="244"/>
      <c r="AF39" s="244"/>
      <c r="AG39" s="244"/>
      <c r="AH39" s="244"/>
      <c r="AI39" s="244"/>
      <c r="AJ39" s="244"/>
      <c r="AK39" s="244"/>
      <c r="AL39" s="244"/>
      <c r="AM39" s="244"/>
      <c r="AN39" s="244"/>
      <c r="AO39" s="244"/>
      <c r="AP39" s="244"/>
      <c r="AQ39" s="244"/>
      <c r="AR39" s="244"/>
      <c r="AS39" s="244"/>
      <c r="AT39" s="244"/>
      <c r="AU39" s="244"/>
      <c r="AV39" s="244"/>
    </row>
    <row r="40" ht="33.95" customHeight="1">
      <c r="A40" s="1"/>
      <c r="B40" s="651" t="s">
        <v>114</v>
      </c>
      <c r="C40" s="651"/>
      <c r="D40" s="651"/>
      <c r="E40" s="651"/>
      <c r="F40" s="651"/>
      <c r="G40" s="651"/>
      <c r="H40" s="651"/>
      <c r="I40" s="651"/>
      <c r="J40" s="651"/>
      <c r="K40" s="651"/>
      <c r="L40" s="651"/>
      <c r="M40" s="651"/>
      <c r="N40" s="651"/>
      <c r="O40" s="651"/>
      <c r="P40" s="651"/>
      <c r="Q40" s="651"/>
      <c r="R40" s="651"/>
      <c r="S40" s="651"/>
      <c r="T40" s="1"/>
      <c r="U40" s="244"/>
      <c r="V40" s="244"/>
      <c r="W40" s="244"/>
      <c r="X40" s="244"/>
      <c r="Y40" s="244"/>
      <c r="Z40" s="244"/>
      <c r="AA40" s="244"/>
      <c r="AB40" s="244"/>
      <c r="AC40" s="244"/>
      <c r="AD40" s="244"/>
      <c r="AE40" s="244"/>
      <c r="AF40" s="244"/>
      <c r="AG40" s="244"/>
      <c r="AH40" s="244"/>
      <c r="AI40" s="244"/>
      <c r="AJ40" s="244"/>
      <c r="AK40" s="244"/>
      <c r="AL40" s="244"/>
      <c r="AM40" s="244"/>
      <c r="AN40" s="244"/>
      <c r="AO40" s="244"/>
      <c r="AP40" s="244"/>
      <c r="AQ40" s="244"/>
      <c r="AR40" s="244"/>
      <c r="AS40" s="244"/>
      <c r="AT40" s="244"/>
      <c r="AU40" s="244"/>
      <c r="AV40" s="244"/>
    </row>
    <row r="41" ht="9" customHeight="1">
      <c r="A41" s="1"/>
      <c r="B41" s="1"/>
      <c r="C41" s="1"/>
      <c r="D41" s="1"/>
      <c r="E41" s="1"/>
      <c r="F41" s="1"/>
      <c r="G41" s="1"/>
      <c r="H41" s="1"/>
      <c r="I41" s="1"/>
      <c r="J41" s="1"/>
      <c r="K41" s="1"/>
      <c r="L41" s="1"/>
      <c r="M41" s="1"/>
      <c r="N41" s="1"/>
      <c r="O41" s="1"/>
      <c r="P41" s="1"/>
      <c r="Q41" s="80"/>
      <c r="R41" s="241"/>
      <c r="S41" s="1"/>
      <c r="T41" s="1"/>
      <c r="U41" s="244"/>
      <c r="V41" s="244"/>
      <c r="W41" s="244"/>
      <c r="X41" s="244"/>
      <c r="Y41" s="244"/>
      <c r="Z41" s="244"/>
      <c r="AA41" s="244"/>
      <c r="AB41" s="244"/>
      <c r="AC41" s="244"/>
      <c r="AD41" s="244"/>
      <c r="AE41" s="244"/>
      <c r="AF41" s="244"/>
      <c r="AG41" s="244"/>
      <c r="AH41" s="244"/>
      <c r="AI41" s="244"/>
      <c r="AJ41" s="244"/>
      <c r="AK41" s="244"/>
      <c r="AL41" s="244"/>
      <c r="AM41" s="244"/>
      <c r="AN41" s="244"/>
      <c r="AO41" s="244"/>
      <c r="AP41" s="244"/>
      <c r="AQ41" s="244"/>
      <c r="AR41" s="244"/>
      <c r="AS41" s="244"/>
      <c r="AT41" s="244"/>
      <c r="AU41" s="244"/>
      <c r="AV41" s="244"/>
    </row>
    <row r="42" ht="9" customHeight="1">
      <c r="A42" s="1"/>
      <c r="B42" s="1"/>
      <c r="C42" s="1"/>
      <c r="D42" s="1"/>
      <c r="E42" s="1"/>
      <c r="F42" s="1"/>
      <c r="G42" s="1"/>
      <c r="H42" s="1"/>
      <c r="I42" s="1"/>
      <c r="J42" s="1"/>
      <c r="K42" s="1"/>
      <c r="L42" s="1"/>
      <c r="M42" s="1"/>
      <c r="N42" s="1"/>
      <c r="O42" s="1"/>
      <c r="P42" s="1"/>
      <c r="Q42" s="1"/>
      <c r="R42" s="1"/>
      <c r="S42" s="1"/>
      <c r="T42" s="1"/>
      <c r="U42" s="244"/>
      <c r="V42" s="244"/>
      <c r="W42" s="244"/>
      <c r="X42" s="244"/>
      <c r="Y42" s="244"/>
      <c r="Z42" s="244"/>
      <c r="AA42" s="244"/>
      <c r="AB42" s="244"/>
      <c r="AC42" s="244"/>
      <c r="AD42" s="244"/>
      <c r="AE42" s="244"/>
      <c r="AF42" s="244"/>
      <c r="AG42" s="244"/>
      <c r="AH42" s="244"/>
      <c r="AI42" s="244"/>
      <c r="AJ42" s="244"/>
      <c r="AK42" s="244"/>
      <c r="AL42" s="244"/>
      <c r="AM42" s="244"/>
      <c r="AN42" s="244"/>
      <c r="AO42" s="244"/>
      <c r="AP42" s="244"/>
      <c r="AQ42" s="244"/>
      <c r="AR42" s="244"/>
      <c r="AS42" s="244"/>
      <c r="AT42" s="244"/>
      <c r="AU42" s="244"/>
      <c r="AV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row>
  </sheetData>
  <mergeCells count="11">
    <mergeCell ref="B40:S40"/>
    <mergeCell ref="D25:F25"/>
    <mergeCell ref="H25:J25"/>
    <mergeCell ref="L25:N25"/>
    <mergeCell ref="P25:R25"/>
    <mergeCell ref="B6:S6"/>
    <mergeCell ref="B23:S23"/>
    <mergeCell ref="D8:F8"/>
    <mergeCell ref="H8:J8"/>
    <mergeCell ref="L8:N8"/>
    <mergeCell ref="P8:R8"/>
  </mergeCells>
  <phoneticPr fontId="0" type="noConversion"/>
  <printOptions horizontalCentered="1" verticalCentered="1"/>
  <pageMargins left="0.25" right="0.25" top="0.3" bottom="0.3" header="0" footer="0"/>
  <pageSetup scale="89" orientation="landscape" r:id="rId1"/>
  <headerFooter alignWithMargins="0">
    <oddHeader/>
    <oddFooter/>
  </headerFooter>
  <drawing r:id="rId26"/>
</worksheet>
</file>

<file path=xl/worksheets/sheet2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pageSetUpPr fitToPage="1"/>
  </sheetPr>
  <dimension ref="A1:BM103"/>
  <sheetViews>
    <sheetView showGridLines="0" zoomScale="65" zoomScaleNormal="75" workbookViewId="0"/>
  </sheetViews>
  <sheetFormatPr defaultRowHeight="12.75"/>
  <cols>
    <col min="1" max="1" width="1" customWidth="1"/>
    <col min="2" max="2" width="20.28515625" customWidth="1"/>
    <col min="3" max="33" width="8.28515625" customWidth="1"/>
    <col min="34" max="34" width="1.7109375" customWidth="1"/>
    <col min="35" max="37" width="8.28515625" customWidth="1"/>
    <col min="38" max="38" width="3.7109375" customWidth="1"/>
    <col min="39" max="40" width="9.28515625" customWidth="1"/>
  </cols>
  <sheetData>
    <row r="1" ht="36" customHeight="1">
      <c r="A1" s="6"/>
      <c r="B1" s="39" t="s">
        <v>119</v>
      </c>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c r="BL1" s="244"/>
      <c r="BM1" s="244"/>
    </row>
    <row r="2" ht="15" customHeight="1">
      <c r="A2" s="5"/>
      <c r="B2" s="10" t="s">
        <v>141</v>
      </c>
      <c r="AD2" s="9"/>
      <c r="AE2" s="9"/>
      <c r="AF2" s="216"/>
      <c r="AG2" s="176"/>
      <c r="AI2" s="216"/>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c r="BL2" s="244"/>
      <c r="BM2" s="244"/>
    </row>
    <row r="3" ht="15" customHeight="1">
      <c r="A3" s="5"/>
      <c r="B3" s="10" t="s">
        <v>142</v>
      </c>
      <c r="AF3" s="176"/>
      <c r="AG3" s="176"/>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c r="BL3" s="244"/>
      <c r="BM3" s="244"/>
    </row>
    <row r="4" ht="15" customHeight="1">
      <c r="A4" s="5"/>
      <c r="B4" s="4" t="s">
        <v>143</v>
      </c>
      <c r="T4" s="652"/>
      <c r="U4" s="652"/>
      <c r="V4" s="652"/>
      <c r="W4" s="652"/>
      <c r="X4" s="652"/>
      <c r="Y4" s="652"/>
      <c r="Z4" s="652"/>
      <c r="AA4" s="652"/>
      <c r="AB4" s="652"/>
      <c r="AC4" s="652"/>
      <c r="AD4" s="652"/>
      <c r="AE4" s="652"/>
      <c r="AF4" s="652"/>
      <c r="AG4" s="652"/>
      <c r="AH4" s="652"/>
      <c r="AI4" s="652"/>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row>
    <row r="5" ht="24" customHeight="1">
      <c r="A5" s="5"/>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c r="BL5" s="244"/>
      <c r="BM5" s="244"/>
    </row>
    <row r="6" ht="24" customHeight="1">
      <c r="A6" s="5"/>
      <c r="B6" t="s">
        <v>144</v>
      </c>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c r="BL6" s="244"/>
      <c r="BM6" s="244"/>
    </row>
    <row r="7" ht="24" customHeight="1">
      <c r="A7" s="5"/>
      <c r="Y7" s="26"/>
      <c r="Z7" s="26"/>
      <c r="AA7" s="26"/>
      <c r="AB7" s="26"/>
      <c r="AC7" s="26"/>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c r="BL7" s="244"/>
      <c r="BM7" s="244"/>
    </row>
    <row r="8" ht="24" customHeight="1">
      <c r="A8" s="5"/>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c r="BL8" s="244"/>
      <c r="BM8" s="244"/>
    </row>
    <row r="9" ht="24" customHeight="1">
      <c r="A9" s="5"/>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row>
    <row r="10" ht="24" customHeight="1">
      <c r="A10" s="5"/>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c r="BL10" s="244"/>
      <c r="BM10" s="244"/>
    </row>
    <row r="11" ht="24" customHeight="1">
      <c r="A11" s="5"/>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c r="BL11" s="244"/>
      <c r="BM11" s="244"/>
    </row>
    <row r="12" ht="24" customHeight="1">
      <c r="A12" s="5"/>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c r="BL12" s="244"/>
      <c r="BM12" s="244"/>
    </row>
    <row r="13" ht="24" customHeight="1">
      <c r="A13" s="5"/>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c r="BL13" s="244"/>
      <c r="BM13" s="244"/>
    </row>
    <row r="14" ht="24" customHeight="1">
      <c r="A14" s="5"/>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c r="BL14" s="244"/>
      <c r="BM14" s="244"/>
    </row>
    <row r="15" ht="24" customHeight="1">
      <c r="A15" s="5"/>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c r="BL15" s="244"/>
      <c r="BM15" s="244"/>
    </row>
    <row r="16" ht="24" customHeight="1">
      <c r="A16" s="5"/>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c r="BL16" s="244"/>
      <c r="BM16" s="244"/>
    </row>
    <row r="17" ht="24" customHeight="1">
      <c r="A17" s="5"/>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c r="BL17" s="244"/>
      <c r="BM17" s="244"/>
    </row>
    <row r="18" ht="24" customHeight="1">
      <c r="A18" s="5"/>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c r="BL18" s="244"/>
      <c r="BM18" s="244"/>
    </row>
    <row r="19" ht="15" customHeight="1">
      <c r="A19" s="5"/>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c r="BL19" s="244"/>
      <c r="BM19" s="244"/>
    </row>
    <row r="20" ht="15" customHeight="1">
      <c r="A20" s="5"/>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c r="BL20" s="244"/>
      <c r="BM20" s="244"/>
    </row>
    <row r="21" ht="30.75" customHeight="1">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c r="BL21" s="244"/>
      <c r="BM21" s="244"/>
    </row>
    <row r="22" ht="18" customHeight="1">
      <c r="A22" s="8"/>
      <c r="B22" s="29"/>
      <c r="X22" s="653"/>
      <c r="Y22" s="653"/>
      <c r="Z22" s="653"/>
      <c r="AA22" s="653"/>
      <c r="AB22" s="653"/>
      <c r="AC22" s="653"/>
      <c r="AD22" s="653"/>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c r="BL22" s="244"/>
      <c r="BM22" s="244"/>
    </row>
    <row r="23" s="21" customFormat="1" ht="16.5">
      <c r="C23" s="50" t="s">
        <v>52</v>
      </c>
      <c r="D23" s="50" t="s">
        <v>53</v>
      </c>
      <c r="E23" s="50" t="s">
        <v>49</v>
      </c>
      <c r="F23" s="50" t="s">
        <v>47</v>
      </c>
      <c r="G23" s="50" t="s">
        <v>48</v>
      </c>
      <c r="H23" s="50" t="s">
        <v>50</v>
      </c>
      <c r="I23" s="50" t="s">
        <v>51</v>
      </c>
      <c r="J23" s="50" t="s">
        <v>52</v>
      </c>
      <c r="K23" s="50" t="s">
        <v>53</v>
      </c>
      <c r="L23" s="50" t="s">
        <v>49</v>
      </c>
      <c r="M23" s="50" t="s">
        <v>47</v>
      </c>
      <c r="N23" s="50" t="s">
        <v>48</v>
      </c>
      <c r="O23" s="50" t="s">
        <v>50</v>
      </c>
      <c r="P23" s="50" t="s">
        <v>51</v>
      </c>
      <c r="Q23" s="50" t="s">
        <v>52</v>
      </c>
      <c r="R23" s="50" t="s">
        <v>53</v>
      </c>
      <c r="S23" s="50" t="s">
        <v>49</v>
      </c>
      <c r="T23" s="50" t="s">
        <v>47</v>
      </c>
      <c r="U23" s="50" t="s">
        <v>48</v>
      </c>
      <c r="V23" s="50" t="s">
        <v>50</v>
      </c>
      <c r="W23" s="50" t="s">
        <v>51</v>
      </c>
      <c r="X23" s="50" t="s">
        <v>52</v>
      </c>
      <c r="Y23" s="50" t="s">
        <v>53</v>
      </c>
      <c r="Z23" s="50" t="s">
        <v>49</v>
      </c>
      <c r="AA23" s="50" t="s">
        <v>47</v>
      </c>
      <c r="AB23" s="50" t="s">
        <v>48</v>
      </c>
      <c r="AC23" s="50" t="s">
        <v>50</v>
      </c>
      <c r="AD23" s="50" t="s">
        <v>51</v>
      </c>
      <c r="AE23" s="50" t="s">
        <v>52</v>
      </c>
      <c r="AF23" s="50" t="s">
        <v>53</v>
      </c>
      <c r="AG23" s="50" t="s">
        <v>49</v>
      </c>
      <c r="AH23" s="0"/>
      <c r="AJ23" s="0"/>
      <c r="AK23" s="0"/>
      <c r="AL23" s="0"/>
      <c r="AM23" s="244"/>
      <c r="AN23" s="244"/>
      <c r="AO23" s="246"/>
      <c r="AP23" s="246"/>
      <c r="AQ23" s="246"/>
      <c r="AR23" s="246"/>
      <c r="AS23" s="246"/>
      <c r="AT23" s="246"/>
      <c r="AU23" s="246"/>
      <c r="AV23" s="246"/>
      <c r="AW23" s="246"/>
      <c r="AX23" s="246"/>
      <c r="AY23" s="246"/>
      <c r="AZ23" s="246"/>
      <c r="BA23" s="246"/>
      <c r="BB23" s="246"/>
      <c r="BC23" s="246"/>
      <c r="BD23" s="246"/>
      <c r="BE23" s="246"/>
      <c r="BF23" s="246"/>
      <c r="BG23" s="246"/>
      <c r="BH23" s="246"/>
      <c r="BI23" s="246"/>
      <c r="BJ23" s="246"/>
      <c r="BK23" s="246"/>
      <c r="BL23" s="246"/>
      <c r="BM23" s="246"/>
    </row>
    <row r="24" s="41" customFormat="1" ht="18">
      <c r="B24" s="615" t="s">
        <v>54</v>
      </c>
      <c r="C24" s="275" t="s">
        <v>145</v>
      </c>
      <c r="D24" s="276"/>
      <c r="E24" s="276"/>
      <c r="F24" s="276"/>
      <c r="G24" s="276"/>
      <c r="H24" s="276"/>
      <c r="I24" s="276"/>
      <c r="J24" s="276"/>
      <c r="K24" s="276"/>
      <c r="L24" s="276"/>
      <c r="M24" s="276"/>
      <c r="N24" s="276"/>
      <c r="O24" s="276"/>
      <c r="P24" s="276"/>
      <c r="Q24" s="276"/>
      <c r="R24" s="276"/>
      <c r="S24" s="277"/>
      <c r="T24" s="277"/>
      <c r="U24" s="277"/>
      <c r="V24" s="277"/>
      <c r="W24" s="277"/>
      <c r="X24" s="277"/>
      <c r="Y24" s="277"/>
      <c r="Z24" s="277"/>
      <c r="AA24" s="277"/>
      <c r="AB24" s="277"/>
      <c r="AC24" s="277"/>
      <c r="AD24" s="277"/>
      <c r="AE24" s="277"/>
      <c r="AF24" s="277"/>
      <c r="AG24" s="278"/>
      <c r="AH24" s="25"/>
      <c r="AI24" s="307" t="s">
        <v>59</v>
      </c>
      <c r="AJ24" s="307" t="s">
        <v>31</v>
      </c>
      <c r="AK24" s="307" t="s">
        <v>31</v>
      </c>
      <c r="AL24" s="25"/>
      <c r="AM24" s="248"/>
      <c r="AN24" s="248"/>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c r="BL24" s="253"/>
      <c r="BM24" s="253"/>
    </row>
    <row r="25" s="42" customFormat="1">
      <c r="B25" s="615"/>
      <c r="C25" s="284">
        <v>1</v>
      </c>
      <c r="D25">
        <v>2</v>
      </c>
      <c r="E25">
        <v>3</v>
      </c>
      <c r="F25">
        <v>4</v>
      </c>
      <c r="G25">
        <v>5</v>
      </c>
      <c r="H25">
        <v>6</v>
      </c>
      <c r="I25">
        <v>7</v>
      </c>
      <c r="J25">
        <v>8</v>
      </c>
      <c r="K25">
        <v>9</v>
      </c>
      <c r="L25">
        <v>10</v>
      </c>
      <c r="M25">
        <v>11</v>
      </c>
      <c r="N25">
        <v>12</v>
      </c>
      <c r="O25">
        <v>13</v>
      </c>
      <c r="P25">
        <v>14</v>
      </c>
      <c r="Q25">
        <v>15</v>
      </c>
      <c r="R25">
        <v>16</v>
      </c>
      <c r="S25">
        <v>17</v>
      </c>
      <c r="T25">
        <v>18</v>
      </c>
      <c r="U25">
        <v>19</v>
      </c>
      <c r="V25">
        <v>20</v>
      </c>
      <c r="W25">
        <v>21</v>
      </c>
      <c r="X25">
        <v>22</v>
      </c>
      <c r="Y25">
        <v>23</v>
      </c>
      <c r="Z25">
        <v>24</v>
      </c>
      <c r="AA25">
        <v>25</v>
      </c>
      <c r="AB25">
        <v>26</v>
      </c>
      <c r="AC25">
        <v>27</v>
      </c>
      <c r="AD25">
        <v>28</v>
      </c>
      <c r="AE25">
        <v>29</v>
      </c>
      <c r="AF25">
        <v>30</v>
      </c>
      <c r="AG25" s="285">
        <v>31</v>
      </c>
      <c r="AH25" s="25"/>
      <c r="AI25" s="308" t="s">
        <v>31</v>
      </c>
      <c r="AJ25" s="308" t="s">
        <v>88</v>
      </c>
      <c r="AK25" s="308" t="s">
        <v>89</v>
      </c>
      <c r="AL25" s="25"/>
      <c r="AM25" s="248"/>
      <c r="AN25" s="248"/>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c r="BL25" s="254"/>
      <c r="BM25" s="254"/>
    </row>
    <row r="26" ht="14.25">
      <c r="B26" s="404" t="s">
        <v>32</v>
      </c>
      <c r="C26" s="286">
        <v>39.247311827956989247311827960</v>
      </c>
      <c r="D26" s="287">
        <v>47.311827956989247311827956990</v>
      </c>
      <c r="E26" s="287">
        <v>15.053763440860215053763440860</v>
      </c>
      <c r="F26" s="287">
        <v>18.817204301075268817204301080</v>
      </c>
      <c r="G26" s="287">
        <v>33.870967741935483870967741940</v>
      </c>
      <c r="H26" s="287">
        <v>40.860215053763440860215053760</v>
      </c>
      <c r="I26" s="287">
        <v>33.333333333333333333333333330</v>
      </c>
      <c r="J26" s="287">
        <v>70.967741935483870967741935480</v>
      </c>
      <c r="K26" s="287">
        <v>65.053763440860215053763440860</v>
      </c>
      <c r="L26" s="287">
        <v>24.193548387096774193548387100</v>
      </c>
      <c r="M26" s="287">
        <v>38.709677419354838709677419350</v>
      </c>
      <c r="N26" s="287">
        <v>41.397849462365591397849462370</v>
      </c>
      <c r="O26" s="287">
        <v>36.559139784946236559139784950</v>
      </c>
      <c r="P26" s="287">
        <v>43.010752688172043010752688170</v>
      </c>
      <c r="Q26" s="287">
        <v>47.311827956989247311827956990</v>
      </c>
      <c r="R26" s="287">
        <v>55.376344086021505376344086020</v>
      </c>
      <c r="S26" s="287">
        <v>23.118279569892473118279569890</v>
      </c>
      <c r="T26" s="287">
        <v>30.107526881720430107526881720</v>
      </c>
      <c r="U26" s="287">
        <v>36.021505376344086021505376340</v>
      </c>
      <c r="V26" s="287">
        <v>34.946236559139784946236559140</v>
      </c>
      <c r="W26" s="287">
        <v>31.182795698924731182795698920</v>
      </c>
      <c r="X26" s="287">
        <v>41.935483870967741935483870970</v>
      </c>
      <c r="Y26" s="287">
        <v>44.623655913978494623655913980</v>
      </c>
      <c r="Z26" s="287">
        <v>16.129032258064516129032258060</v>
      </c>
      <c r="AA26" s="287">
        <v>28.494623655913978494623655910</v>
      </c>
      <c r="AB26" s="287">
        <v>25.806451612903225806451612900</v>
      </c>
      <c r="AC26" s="287">
        <v>30.645161290322580645161290320</v>
      </c>
      <c r="AD26" s="287">
        <v>33.333333333333333333333333330</v>
      </c>
      <c r="AE26" s="287">
        <v>54.301075268817204301075268820</v>
      </c>
      <c r="AF26" s="287">
        <v>68.817204301075268817204301080</v>
      </c>
      <c r="AG26" s="288">
        <v>66.666666666666666666666666670</v>
      </c>
      <c r="AH26" s="218"/>
      <c r="AI26" s="302">
        <v>39.264654873395768296912937910</v>
      </c>
      <c r="AJ26" s="302">
        <v>32.488479262672811059907834100</v>
      </c>
      <c r="AK26" s="302">
        <v>53.494623655913978494623655910</v>
      </c>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c r="BL26" s="244"/>
      <c r="BM26" s="244"/>
    </row>
    <row r="27" ht="14.25">
      <c r="B27" s="201" t="s">
        <v>26</v>
      </c>
      <c r="C27" s="289">
        <v>60.153256704980842911877394640</v>
      </c>
      <c r="D27" s="202">
        <v>47.701149425287356321839080460</v>
      </c>
      <c r="E27" s="202">
        <v>31.417624521072796934865900380</v>
      </c>
      <c r="F27" s="202">
        <v>38.505747126436781609195402300</v>
      </c>
      <c r="G27" s="202">
        <v>43.295019157088122605363984670</v>
      </c>
      <c r="H27" s="202">
        <v>43.486590038314176245210727970</v>
      </c>
      <c r="I27" s="202">
        <v>42.145593869731800766283524900</v>
      </c>
      <c r="J27" s="202">
        <v>47.892720306513409961685823750</v>
      </c>
      <c r="K27" s="202">
        <v>68.582375478927203065134099620</v>
      </c>
      <c r="L27" s="202">
        <v>56.896551724137931034482758620</v>
      </c>
      <c r="M27" s="202">
        <v>65.517241379310344827586206900</v>
      </c>
      <c r="N27" s="202">
        <v>73.371647509578544061302681990</v>
      </c>
      <c r="O27" s="202">
        <v>73.563218390804597701149425290</v>
      </c>
      <c r="P27" s="202">
        <v>64.367816091954022988505747130</v>
      </c>
      <c r="Q27" s="202">
        <v>69.348659003831417624521072800</v>
      </c>
      <c r="R27" s="202">
        <v>69.540229885057471264367816090</v>
      </c>
      <c r="S27" s="202">
        <v>50.383141762452107279693486590</v>
      </c>
      <c r="T27" s="202">
        <v>63.218390804597701149425287360</v>
      </c>
      <c r="U27" s="202">
        <v>69.348659003831417624521072800</v>
      </c>
      <c r="V27" s="202">
        <v>69.540229885057471264367816090</v>
      </c>
      <c r="W27" s="202">
        <v>60.153256704980842911877394640</v>
      </c>
      <c r="X27" s="202">
        <v>60.344827586206896551724137930</v>
      </c>
      <c r="Y27" s="202">
        <v>59.386973180076628352490421460</v>
      </c>
      <c r="Z27" s="202">
        <v>45.210727969348659003831417620</v>
      </c>
      <c r="AA27" s="202">
        <v>57.088122605363984674329501920</v>
      </c>
      <c r="AB27" s="202">
        <v>68.007662835249042145593869730</v>
      </c>
      <c r="AC27" s="202">
        <v>62.260536398467432950191570880</v>
      </c>
      <c r="AD27" s="202">
        <v>62.452107279693486590038314180</v>
      </c>
      <c r="AE27" s="202">
        <v>66.858237547892720306513409960</v>
      </c>
      <c r="AF27" s="202">
        <v>73.946360153256704980842911880</v>
      </c>
      <c r="AG27" s="290">
        <v>62.835249042145593869731800770</v>
      </c>
      <c r="AH27" s="218"/>
      <c r="AI27" s="303">
        <v>58.929674947472500308985292300</v>
      </c>
      <c r="AJ27" s="303">
        <v>57.288815909505564677978471080</v>
      </c>
      <c r="AK27" s="303">
        <v>62.375478927203065134099616860</v>
      </c>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c r="BL27" s="244"/>
      <c r="BM27" s="244"/>
    </row>
    <row r="28" ht="14.25">
      <c r="A28" s="24"/>
      <c r="B28" s="49" t="s">
        <v>91</v>
      </c>
      <c r="C28" s="291">
        <v>65.245531127984152337528585290</v>
      </c>
      <c r="D28" s="292">
        <v>99.18383210257767455363623864</v>
      </c>
      <c r="E28" s="292">
        <v>47.915027537330660513135458380</v>
      </c>
      <c r="F28" s="292">
        <v>48.868560423734691971054737440</v>
      </c>
      <c r="G28" s="292">
        <v>78.232943191528637779501267770</v>
      </c>
      <c r="H28" s="292">
        <v>93.96049452894920354901938460</v>
      </c>
      <c r="I28" s="292">
        <v>79.090909090968768595041367340</v>
      </c>
      <c r="J28" s="292">
        <v>148.18064516133181316129033419</v>
      </c>
      <c r="K28" s="292">
        <v>94.85492881604050742445920078</v>
      </c>
      <c r="L28" s="292">
        <v>42.521994134925708699902267190</v>
      </c>
      <c r="M28" s="292">
        <v>59.083191850603556429273524830</v>
      </c>
      <c r="N28" s="292">
        <v>56.422134254173679975563843090</v>
      </c>
      <c r="O28" s="292">
        <v>49.697580645164396421370967940</v>
      </c>
      <c r="P28" s="292">
        <v>66.820276497648123765635320460</v>
      </c>
      <c r="Q28" s="292">
        <v>68.223133131380043344220275900</v>
      </c>
      <c r="R28" s="292">
        <v>79.63209810712272033242928832</v>
      </c>
      <c r="S28" s="292">
        <v>45.884950324990113042436075870</v>
      </c>
      <c r="T28" s="292">
        <v>47.624633431083312183417755330</v>
      </c>
      <c r="U28" s="292">
        <v>51.942612725027987546167710050</v>
      </c>
      <c r="V28" s="292">
        <v>50.253265795757056520465084860</v>
      </c>
      <c r="W28" s="292">
        <v>51.838915142781929254474766380</v>
      </c>
      <c r="X28" s="292">
        <v>69.493087557611628703094141790</v>
      </c>
      <c r="Y28" s="292">
        <v>75.140478668024538887583510010</v>
      </c>
      <c r="Z28" s="292">
        <v>35.675232367452283594814286390</v>
      </c>
      <c r="AA28" s="292">
        <v>49.913401169052728371724048560</v>
      </c>
      <c r="AB28" s="292">
        <v>37.946388005479431398020125830</v>
      </c>
      <c r="AC28" s="292">
        <v>49.220843672430829394922708630</v>
      </c>
      <c r="AD28" s="292">
        <v>53.374233128828789190409876750</v>
      </c>
      <c r="AE28" s="292">
        <v>81.21822719289253396139816736</v>
      </c>
      <c r="AF28" s="292">
        <v>93.06368042782450241140921458</v>
      </c>
      <c r="AG28" s="293">
        <v>106.09756097568674152290308978</v>
      </c>
      <c r="AH28" s="218"/>
      <c r="AI28" s="304">
        <v>66.629681749265291578949342570</v>
      </c>
      <c r="AJ28" s="304">
        <v>56.709985617428972600308329470</v>
      </c>
      <c r="AK28" s="304">
        <v>85.76226519775328307873683181</v>
      </c>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c r="BL28" s="244"/>
      <c r="BM28" s="244"/>
    </row>
    <row r="29" ht="12" customHeight="1">
      <c r="B29" s="0"/>
      <c r="AI29" s="22"/>
      <c r="AJ29" s="22"/>
      <c r="AK29" s="22"/>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c r="BL29" s="244"/>
      <c r="BM29" s="244"/>
    </row>
    <row r="30" ht="18">
      <c r="B30" s="29" t="s">
        <v>87</v>
      </c>
      <c r="AI30" s="22"/>
      <c r="AJ30" s="22"/>
      <c r="AK30" s="22"/>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c r="BL30" s="244"/>
      <c r="BM30" s="244"/>
    </row>
    <row r="31" ht="14.25">
      <c r="B31" s="46" t="s">
        <v>32</v>
      </c>
      <c r="C31" s="286">
        <v>48.979591836765097875885054110</v>
      </c>
      <c r="D31" s="287">
        <v>83.33333333335625000000000287</v>
      </c>
      <c r="E31" s="287">
        <v>-24.324324324402045288531695200</v>
      </c>
      <c r="F31" s="287">
        <v>12.903225806225806451613354870</v>
      </c>
      <c r="G31" s="287">
        <v>28.571428571454810495626827530</v>
      </c>
      <c r="H31" s="287">
        <v>28.813559322143062338408595800</v>
      </c>
      <c r="I31" s="287">
        <v>21.568627451023298731257223900</v>
      </c>
      <c r="J31" s="287">
        <v>78.378378378195178962746718460</v>
      </c>
      <c r="K31" s="287">
        <v>28.723404255324626527840652110</v>
      </c>
      <c r="L31" s="287">
        <v>24.999999999854166666666836820</v>
      </c>
      <c r="M31" s="287">
        <v>50.000000000018750000000002330</v>
      </c>
      <c r="N31" s="287">
        <v>2.666666666568106666666761300</v>
      </c>
      <c r="O31" s="287">
        <v>-20.000000000030117647058812180</v>
      </c>
      <c r="P31" s="287">
        <v>21.212121212264462809917524660</v>
      </c>
      <c r="Q31" s="287">
        <v>49.15254237300775639184153200</v>
      </c>
      <c r="R31" s="287">
        <v>6.1855670103267934955893322500</v>
      </c>
      <c r="S31" s="287">
        <v>-10.416666666655468749999998610</v>
      </c>
      <c r="T31" s="287">
        <v>7.6923076923532544378698417600</v>
      </c>
      <c r="U31" s="287">
        <v>9.836065573874926095135815490</v>
      </c>
      <c r="V31" s="287">
        <v>16.071428571507334183673522830</v>
      </c>
      <c r="W31" s="287">
        <v>5.4545454546106446280992138400</v>
      </c>
      <c r="X31" s="287">
        <v>9.859154929441301329101537550</v>
      </c>
      <c r="Y31" s="287">
        <v>-3.488372093054678204434819400</v>
      </c>
      <c r="Z31" s="287">
        <v>-53.124999999948730468749943940</v>
      </c>
      <c r="AA31" s="287">
        <v>-14.516129032172580645161204850</v>
      </c>
      <c r="AB31" s="287">
        <v>-38.461538461585798816568010930</v>
      </c>
      <c r="AC31" s="287">
        <v>-19.718309859254433644118107190</v>
      </c>
      <c r="AD31" s="287">
        <v>-15.068493150778007130793667950</v>
      </c>
      <c r="AE31" s="287">
        <v>14.772727272701188016528931550</v>
      </c>
      <c r="AF31" s="287">
        <v>14.285714285791836734693930180</v>
      </c>
      <c r="AG31" s="288">
        <v>45.882352941121550173010401310</v>
      </c>
      <c r="AH31" s="218"/>
      <c r="AI31" s="302">
        <v>14.285714285785130165140304960</v>
      </c>
      <c r="AJ31" s="302">
        <v>5.4862842891116075148788975300</v>
      </c>
      <c r="AK31" s="302">
        <v>27.892030848473708209700073080</v>
      </c>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c r="BL31" s="244"/>
      <c r="BM31" s="244"/>
    </row>
    <row r="32" ht="14.25">
      <c r="B32" s="201" t="s">
        <v>26</v>
      </c>
      <c r="C32" s="289">
        <v>31.932773109245914836522844480</v>
      </c>
      <c r="D32" s="202">
        <v>19.138755980995773906275191400</v>
      </c>
      <c r="E32" s="202">
        <v>7.5180928053726699777683718500</v>
      </c>
      <c r="F32" s="202">
        <v>1.5151515150407713498623797700</v>
      </c>
      <c r="G32" s="202">
        <v>5.6074766354508516027601041500</v>
      </c>
      <c r="H32" s="202">
        <v>6.5727699531807313363752142200</v>
      </c>
      <c r="I32" s="202">
        <v>24.999999999946022727272750570</v>
      </c>
      <c r="J32" s="202">
        <v>13.636363636449380165289320880</v>
      </c>
      <c r="K32" s="202">
        <v>59.111111110971093333333456560</v>
      </c>
      <c r="L32" s="202">
        <v>143.44262295059618382155355104</v>
      </c>
      <c r="M32" s="202">
        <v>55.454545454662752066115790990</v>
      </c>
      <c r="N32" s="202">
        <v>64.377682403324831918068188730</v>
      </c>
      <c r="O32" s="202">
        <v>44.360902255724845949460167390</v>
      </c>
      <c r="P32" s="202">
        <v>48.017621145422701779580446180</v>
      </c>
      <c r="Q32" s="202">
        <v>37.121212121152909779614350640</v>
      </c>
      <c r="R32" s="202">
        <v>42.913385826823417446834912410</v>
      </c>
      <c r="S32" s="202">
        <v>132.74336283233213250841979107</v>
      </c>
      <c r="T32" s="202">
        <v>89.65517241398275862068984484</v>
      </c>
      <c r="U32" s="202">
        <v>45.381526104379135820390003930</v>
      </c>
      <c r="V32" s="202">
        <v>45.200000000040656000000011380</v>
      </c>
      <c r="W32" s="202">
        <v>51.317198543406777090603090320</v>
      </c>
      <c r="X32" s="202">
        <v>83.13953488361658328826398590</v>
      </c>
      <c r="Y32" s="202">
        <v>68.478260869535916824196602460</v>
      </c>
      <c r="Z32" s="202">
        <v>107.01754385936583564173630638</v>
      </c>
      <c r="AA32" s="202">
        <v>70.285714285507996734694127470</v>
      </c>
      <c r="AB32" s="202">
        <v>73.170731707497846519928802630</v>
      </c>
      <c r="AC32" s="202">
        <v>86.78160919558908045977030172</v>
      </c>
      <c r="AD32" s="202">
        <v>113.07189542473633217993084305</v>
      </c>
      <c r="AE32" s="202">
        <v>126.62337662347080452015520864</v>
      </c>
      <c r="AF32" s="202">
        <v>135.36585365833279298036900454</v>
      </c>
      <c r="AG32" s="290">
        <v>168.85245901614662725073927524</v>
      </c>
      <c r="AH32" s="218"/>
      <c r="AI32" s="303">
        <v>56.609159991018578862497321760</v>
      </c>
      <c r="AJ32" s="303">
        <v>56.802288831196236969167483510</v>
      </c>
      <c r="AK32" s="303">
        <v>56.238003838809078215892228670</v>
      </c>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c r="BL32" s="244"/>
      <c r="BM32" s="244"/>
    </row>
    <row r="33" ht="14.25">
      <c r="A33" s="24"/>
      <c r="B33" s="49" t="s">
        <v>91</v>
      </c>
      <c r="C33" s="291">
        <v>12.920837124637652267200492460</v>
      </c>
      <c r="D33" s="292">
        <v>53.882195448274461163446382240</v>
      </c>
      <c r="E33" s="292">
        <v>-29.615868640284128003760378110</v>
      </c>
      <c r="F33" s="292">
        <v>11.218103033565006637161851770</v>
      </c>
      <c r="G33" s="292">
        <v>21.744627054441545671737636250</v>
      </c>
      <c r="H33" s="292">
        <v>20.869110729373355873621525590</v>
      </c>
      <c r="I33" s="292">
        <v>-2.7450980391528241826449191900</v>
      </c>
      <c r="J33" s="292">
        <v>56.972972972970599116395066020</v>
      </c>
      <c r="K33" s="292">
        <v>-19.098419113205658709999029960</v>
      </c>
      <c r="L33" s="292">
        <v>-48.653198653108452016976800050</v>
      </c>
      <c r="M33" s="292">
        <v>-3.5087719298846519530323603200</v>
      </c>
      <c r="N33" s="292">
        <v>-37.542210617916650256253636470</v>
      </c>
      <c r="O33" s="292">
        <v>-44.583333333377215633451618810</v>
      </c>
      <c r="P33" s="292">
        <v>-18.109668109739466760813177450</v>
      </c>
      <c r="Q33" s="292">
        <v>8.774229796974387432183072600</v>
      </c>
      <c r="R33" s="292">
        <v>-25.699355315195262936569768640</v>
      </c>
      <c r="S33" s="292">
        <v>-61.509822560325425840259393690</v>
      </c>
      <c r="T33" s="292">
        <v>-43.216783216828961024988961750</v>
      </c>
      <c r="U33" s="292">
        <v>-24.449778099750076066272488880</v>
      </c>
      <c r="V33" s="292">
        <v>-20.060999606462020620979422700</v>
      </c>
      <c r="W33" s="292">
        <v>-30.308949366196290563740435240</v>
      </c>
      <c r="X33" s="292">
        <v>-40.013413816181404306347155750</v>
      </c>
      <c r="Y33" s="292">
        <v>-42.715678919756886655194584190</v>
      </c>
      <c r="Z33" s="292">
        <v>-77.356991525363247101413710050</v>
      </c>
      <c r="AA33" s="292">
        <v>-49.799740203502859209619134250</v>
      </c>
      <c r="AB33" s="292">
        <v>-64.463705308783122576423551840</v>
      </c>
      <c r="AC33" s="292">
        <v>-57.018418201592548686099322830</v>
      </c>
      <c r="AD33" s="292">
        <v>-60.139507521620022024701342570</v>
      </c>
      <c r="AE33" s="292">
        <v>-49.35530085961382768914000800</v>
      </c>
      <c r="AF33" s="292">
        <v>-51.443375277552819049933982910</v>
      </c>
      <c r="AG33" s="293">
        <v>-45.738880918120115270716793580</v>
      </c>
      <c r="AH33" s="218"/>
      <c r="AI33" s="304">
        <v>-27.024885203233413943026845890</v>
      </c>
      <c r="AJ33" s="304">
        <v>-32.726565998723134125795687650</v>
      </c>
      <c r="AK33" s="304">
        <v>-18.142815636402511268642067330</v>
      </c>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c r="BL33" s="244"/>
      <c r="BM33" s="244"/>
    </row>
    <row r="34" ht="13.5" customHeight="1">
      <c r="B34" s="176"/>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43"/>
      <c r="AF34" s="43"/>
      <c r="AG34" s="43"/>
      <c r="AI34" s="43"/>
      <c r="AJ34" s="43"/>
      <c r="AK34" s="43"/>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c r="BL34" s="244"/>
      <c r="BM34" s="244"/>
    </row>
    <row r="35" ht="18" customHeight="1">
      <c r="A35" s="8"/>
      <c r="B35" s="29"/>
      <c r="X35" s="653"/>
      <c r="Y35" s="653"/>
      <c r="Z35" s="653"/>
      <c r="AA35" s="653"/>
      <c r="AB35" s="653"/>
      <c r="AC35" s="653"/>
      <c r="AD35" s="653"/>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c r="BL35" s="244"/>
      <c r="BM35" s="244"/>
    </row>
    <row r="36" s="41" customFormat="1" ht="18">
      <c r="B36" s="615" t="s">
        <v>12</v>
      </c>
      <c r="C36" s="275" t="s">
        <v>145</v>
      </c>
      <c r="D36" s="276"/>
      <c r="E36" s="276"/>
      <c r="F36" s="276"/>
      <c r="G36" s="276"/>
      <c r="H36" s="276"/>
      <c r="I36" s="276"/>
      <c r="J36" s="276"/>
      <c r="K36" s="276"/>
      <c r="L36" s="276"/>
      <c r="M36" s="276"/>
      <c r="N36" s="276"/>
      <c r="O36" s="276"/>
      <c r="P36" s="276"/>
      <c r="Q36" s="276"/>
      <c r="R36" s="276"/>
      <c r="S36" s="277"/>
      <c r="T36" s="277"/>
      <c r="U36" s="277"/>
      <c r="V36" s="277"/>
      <c r="W36" s="277"/>
      <c r="X36" s="277"/>
      <c r="Y36" s="277"/>
      <c r="Z36" s="277"/>
      <c r="AA36" s="277"/>
      <c r="AB36" s="277"/>
      <c r="AC36" s="277"/>
      <c r="AD36" s="277"/>
      <c r="AE36" s="277"/>
      <c r="AF36" s="277"/>
      <c r="AG36" s="278"/>
      <c r="AH36" s="25"/>
      <c r="AI36" s="307" t="s">
        <v>59</v>
      </c>
      <c r="AJ36" s="307" t="s">
        <v>31</v>
      </c>
      <c r="AK36" s="307" t="s">
        <v>31</v>
      </c>
      <c r="AL36" s="25"/>
      <c r="AM36" s="248"/>
      <c r="AN36" s="248"/>
      <c r="AO36" s="253"/>
      <c r="AP36" s="253"/>
      <c r="AQ36" s="253"/>
      <c r="AR36" s="253"/>
      <c r="AS36" s="253"/>
      <c r="AT36" s="253"/>
      <c r="AU36" s="253"/>
      <c r="AV36" s="253"/>
      <c r="AW36" s="253"/>
      <c r="AX36" s="253"/>
      <c r="AY36" s="253"/>
      <c r="AZ36" s="253"/>
      <c r="BA36" s="253"/>
      <c r="BB36" s="253"/>
      <c r="BC36" s="253"/>
      <c r="BD36" s="253"/>
      <c r="BE36" s="253"/>
      <c r="BF36" s="253"/>
      <c r="BG36" s="253"/>
      <c r="BH36" s="253"/>
      <c r="BI36" s="253"/>
      <c r="BJ36" s="253"/>
      <c r="BK36" s="253"/>
      <c r="BL36" s="253"/>
      <c r="BM36" s="253"/>
    </row>
    <row r="37" s="42" customFormat="1">
      <c r="B37" s="615"/>
      <c r="C37" s="279">
        <v>1</v>
      </c>
      <c r="D37" s="280">
        <v>2</v>
      </c>
      <c r="E37" s="280">
        <v>3</v>
      </c>
      <c r="F37" s="280">
        <v>4</v>
      </c>
      <c r="G37" s="280">
        <v>5</v>
      </c>
      <c r="H37" s="280">
        <v>6</v>
      </c>
      <c r="I37" s="280">
        <v>7</v>
      </c>
      <c r="J37" s="280">
        <v>8</v>
      </c>
      <c r="K37" s="280">
        <v>9</v>
      </c>
      <c r="L37" s="280">
        <v>10</v>
      </c>
      <c r="M37" s="280">
        <v>11</v>
      </c>
      <c r="N37" s="280">
        <v>12</v>
      </c>
      <c r="O37" s="280">
        <v>13</v>
      </c>
      <c r="P37" s="280">
        <v>14</v>
      </c>
      <c r="Q37" s="280">
        <v>15</v>
      </c>
      <c r="R37" s="280">
        <v>16</v>
      </c>
      <c r="S37" s="280">
        <v>17</v>
      </c>
      <c r="T37" s="280">
        <v>18</v>
      </c>
      <c r="U37" s="280">
        <v>19</v>
      </c>
      <c r="V37" s="280">
        <v>20</v>
      </c>
      <c r="W37" s="280">
        <v>21</v>
      </c>
      <c r="X37" s="280">
        <v>22</v>
      </c>
      <c r="Y37" s="280">
        <v>23</v>
      </c>
      <c r="Z37" s="280">
        <v>24</v>
      </c>
      <c r="AA37" s="280">
        <v>25</v>
      </c>
      <c r="AB37" s="280">
        <v>26</v>
      </c>
      <c r="AC37" s="280">
        <v>27</v>
      </c>
      <c r="AD37" s="280">
        <v>28</v>
      </c>
      <c r="AE37" s="280">
        <v>29</v>
      </c>
      <c r="AF37" s="280">
        <v>30</v>
      </c>
      <c r="AG37" s="281">
        <v>31</v>
      </c>
      <c r="AH37" s="25"/>
      <c r="AI37" s="308" t="s">
        <v>31</v>
      </c>
      <c r="AJ37" s="308" t="s">
        <v>88</v>
      </c>
      <c r="AK37" s="308" t="s">
        <v>89</v>
      </c>
      <c r="AL37" s="25"/>
      <c r="AM37" s="248"/>
      <c r="AN37" s="248"/>
      <c r="AO37" s="254"/>
      <c r="AP37" s="254"/>
      <c r="AQ37" s="254"/>
      <c r="AR37" s="254"/>
      <c r="AS37" s="254"/>
      <c r="AT37" s="254"/>
      <c r="AU37" s="254"/>
      <c r="AV37" s="254"/>
      <c r="AW37" s="254"/>
      <c r="AX37" s="254"/>
      <c r="AY37" s="254"/>
      <c r="AZ37" s="254"/>
      <c r="BA37" s="254"/>
      <c r="BB37" s="254"/>
      <c r="BC37" s="254"/>
      <c r="BD37" s="254"/>
      <c r="BE37" s="254"/>
      <c r="BF37" s="254"/>
      <c r="BG37" s="254"/>
      <c r="BH37" s="254"/>
      <c r="BI37" s="254"/>
      <c r="BJ37" s="254"/>
      <c r="BK37" s="254"/>
      <c r="BL37" s="254"/>
      <c r="BM37" s="254"/>
    </row>
    <row r="38" ht="14.25">
      <c r="B38" s="404" t="s">
        <v>32</v>
      </c>
      <c r="C38" s="294">
        <v>94.41095890410958904109589041</v>
      </c>
      <c r="D38" s="295">
        <v>95.000000000</v>
      </c>
      <c r="E38" s="295">
        <v>87.53571428571428571428571429</v>
      </c>
      <c r="F38" s="295">
        <v>100.94285714285714285714285714</v>
      </c>
      <c r="G38" s="295">
        <v>91.14285714285714285714285714</v>
      </c>
      <c r="H38" s="295">
        <v>94.30263157894736842105263158</v>
      </c>
      <c r="I38" s="295">
        <v>97.45161290322580645161290323</v>
      </c>
      <c r="J38" s="295">
        <v>105.56060606060606060606060606</v>
      </c>
      <c r="K38" s="295">
        <v>107.97520661157024793388429752</v>
      </c>
      <c r="L38" s="295">
        <v>88.46666666666666666666666667</v>
      </c>
      <c r="M38" s="295">
        <v>97.95833333333333333333333333</v>
      </c>
      <c r="N38" s="295">
        <v>98.19480519480519480519480519</v>
      </c>
      <c r="O38" s="295">
        <v>95.88235294117647058823529412</v>
      </c>
      <c r="P38" s="295">
        <v>87.775000000</v>
      </c>
      <c r="Q38" s="295">
        <v>97.63636363636363636363636364</v>
      </c>
      <c r="R38" s="295">
        <v>94.09708737864077669902912621</v>
      </c>
      <c r="S38" s="295">
        <v>89.65116279069767441860465116</v>
      </c>
      <c r="T38" s="295">
        <v>89.92857142857142857142857143</v>
      </c>
      <c r="U38" s="295">
        <v>97.44776119402985074626865672</v>
      </c>
      <c r="V38" s="295">
        <v>92.18461538461538461538461538</v>
      </c>
      <c r="W38" s="295">
        <v>90.93103448275862068965517241</v>
      </c>
      <c r="X38" s="295">
        <v>95.19230769230769230769230769</v>
      </c>
      <c r="Y38" s="295">
        <v>104.92771084337349397590361446</v>
      </c>
      <c r="Z38" s="295">
        <v>105.03333333333333333333333333</v>
      </c>
      <c r="AA38" s="295">
        <v>92.79245283018867924528301887</v>
      </c>
      <c r="AB38" s="295">
        <v>97.750000000</v>
      </c>
      <c r="AC38" s="295">
        <v>93.78947368421052631578947368</v>
      </c>
      <c r="AD38" s="295">
        <v>86.90322580645161290322580645</v>
      </c>
      <c r="AE38" s="295">
        <v>128.92079207920792079207920792</v>
      </c>
      <c r="AF38" s="295">
        <v>144.492187500</v>
      </c>
      <c r="AG38" s="296">
        <v>116.07258064516129032258064516</v>
      </c>
      <c r="AH38" s="218"/>
      <c r="AI38" s="305">
        <v>101.51545936395759717314487633</v>
      </c>
      <c r="AJ38" s="305">
        <v>95.85973207249802994483845548</v>
      </c>
      <c r="AK38" s="305">
        <v>108.72864321608040201005025126</v>
      </c>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c r="BL38" s="244"/>
      <c r="BM38" s="244"/>
    </row>
    <row r="39" ht="14.25">
      <c r="B39" s="201" t="s">
        <v>26</v>
      </c>
      <c r="C39" s="297">
        <v>104.76070063694267515923566878</v>
      </c>
      <c r="D39" s="207">
        <v>99.39646586345381526104417671</v>
      </c>
      <c r="E39" s="207">
        <v>90.2486585365853658536585366</v>
      </c>
      <c r="F39" s="207">
        <v>95.47681592039800995024875621</v>
      </c>
      <c r="G39" s="207">
        <v>95.78818584070796460176991151</v>
      </c>
      <c r="H39" s="207">
        <v>102.02453744493392070484581498</v>
      </c>
      <c r="I39" s="207">
        <v>96.85254545454545454545454546</v>
      </c>
      <c r="J39" s="207">
        <v>102.10136000000000000000000001</v>
      </c>
      <c r="K39" s="207">
        <v>93.01374301675977653631284916</v>
      </c>
      <c r="L39" s="207">
        <v>85.15414141414141414141414141</v>
      </c>
      <c r="M39" s="207">
        <v>90.10400584795321637426900584</v>
      </c>
      <c r="N39" s="207">
        <v>95.16780678851174934725848564</v>
      </c>
      <c r="O39" s="207">
        <v>95.14286458333333333333333333</v>
      </c>
      <c r="P39" s="207">
        <v>91.15113095238095238095238095</v>
      </c>
      <c r="Q39" s="207">
        <v>93.25472375690607734806629834</v>
      </c>
      <c r="R39" s="207">
        <v>93.06713498622589531680440772</v>
      </c>
      <c r="S39" s="207">
        <v>88.60893536121673003802281369</v>
      </c>
      <c r="T39" s="207">
        <v>89.10545454545454545454545454</v>
      </c>
      <c r="U39" s="207">
        <v>98.67638121546961325966850828</v>
      </c>
      <c r="V39" s="207">
        <v>98.07531680440771349862258953</v>
      </c>
      <c r="W39" s="207">
        <v>86.81640127388535031847133757</v>
      </c>
      <c r="X39" s="207">
        <v>91.17736507936507936507936508</v>
      </c>
      <c r="Y39" s="207">
        <v>87.85287096774193548387096774</v>
      </c>
      <c r="Z39" s="207">
        <v>85.94584745762711864406779662</v>
      </c>
      <c r="AA39" s="207">
        <v>93.49617449664429530201342281</v>
      </c>
      <c r="AB39" s="207">
        <v>97.64501408450704225352112676</v>
      </c>
      <c r="AC39" s="207">
        <v>91.72658461538461538461538462</v>
      </c>
      <c r="AD39" s="207">
        <v>100.10512269938650306748466257</v>
      </c>
      <c r="AE39" s="207">
        <v>93.09063037249283667621776505</v>
      </c>
      <c r="AF39" s="207">
        <v>99.39427461139896373056994818</v>
      </c>
      <c r="AG39" s="298">
        <v>90.47417682926829268292682926</v>
      </c>
      <c r="AH39" s="218"/>
      <c r="AI39" s="306">
        <v>94.05055893456375838926174497</v>
      </c>
      <c r="AJ39" s="306">
        <v>93.31936783439490445859872611</v>
      </c>
      <c r="AK39" s="306">
        <v>95.46084152334152334152334152</v>
      </c>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c r="BL39" s="244"/>
      <c r="BM39" s="244"/>
    </row>
    <row r="40" ht="14.25">
      <c r="A40" s="24"/>
      <c r="B40" s="49" t="s">
        <v>92</v>
      </c>
      <c r="C40" s="291">
        <v>90.12058752006388571841253664</v>
      </c>
      <c r="D40" s="292">
        <v>95.57683884904155951474344041</v>
      </c>
      <c r="E40" s="292">
        <v>96.99392290713607663240103479</v>
      </c>
      <c r="F40" s="292">
        <v>105.72499320360058660440553870</v>
      </c>
      <c r="G40" s="292">
        <v>95.15041582939231699550591564</v>
      </c>
      <c r="H40" s="292">
        <v>92.43132479760276137937087252</v>
      </c>
      <c r="I40" s="292">
        <v>100.61853557479007109641985153</v>
      </c>
      <c r="J40" s="292">
        <v>103.38805091392128430616458592</v>
      </c>
      <c r="K40" s="292">
        <v>116.08521828012870233898949269</v>
      </c>
      <c r="L40" s="292">
        <v>103.89003423387012371390192800</v>
      </c>
      <c r="M40" s="292">
        <v>108.71695704471020749209846310</v>
      </c>
      <c r="N40" s="292">
        <v>103.18069577145175401784267755</v>
      </c>
      <c r="O40" s="292">
        <v>100.77723995500369836533270804</v>
      </c>
      <c r="P40" s="292">
        <v>96.29611731952832471611952085</v>
      </c>
      <c r="Q40" s="292">
        <v>104.69857150709690985454951483</v>
      </c>
      <c r="R40" s="292">
        <v>101.10667680120753485921293915</v>
      </c>
      <c r="S40" s="292">
        <v>101.17621030570924116668693972</v>
      </c>
      <c r="T40" s="292">
        <v>100.92375588819999750104812334</v>
      </c>
      <c r="U40" s="292">
        <v>98.75489959569255191630022116</v>
      </c>
      <c r="V40" s="292">
        <v>93.99369626148346224855563560</v>
      </c>
      <c r="W40" s="292">
        <v>104.73946529513153309164463437</v>
      </c>
      <c r="X40" s="292">
        <v>104.40344224623223007616409732</v>
      </c>
      <c r="Y40" s="292">
        <v>119.43572211994213851092575586</v>
      </c>
      <c r="Z40" s="292">
        <v>122.20873543093497001824289489</v>
      </c>
      <c r="AA40" s="292">
        <v>99.24732571123868636942480915</v>
      </c>
      <c r="AB40" s="292">
        <v>100.10751794803280721933459695</v>
      </c>
      <c r="AC40" s="292">
        <v>102.24895440886631173752877492</v>
      </c>
      <c r="AD40" s="292">
        <v>86.81196672362950383114368179</v>
      </c>
      <c r="AE40" s="292">
        <v>138.48954676032846604417186983</v>
      </c>
      <c r="AF40" s="292">
        <v>145.37274713751722156672698001</v>
      </c>
      <c r="AG40" s="293">
        <v>128.29360234374772983384863505</v>
      </c>
      <c r="AH40" s="218"/>
      <c r="AI40" s="304">
        <v>107.93711437116335477802498798</v>
      </c>
      <c r="AJ40" s="304">
        <v>102.72222615417416506308837499</v>
      </c>
      <c r="AK40" s="304">
        <v>113.89868503258690464975369244</v>
      </c>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c r="BL40" s="244"/>
      <c r="BM40" s="244"/>
    </row>
    <row r="41" ht="12" customHeight="1">
      <c r="B41" s="0"/>
      <c r="AI41" s="22"/>
      <c r="AJ41" s="22"/>
      <c r="AK41" s="22"/>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c r="BL41" s="244"/>
      <c r="BM41" s="244"/>
    </row>
    <row r="42" ht="18">
      <c r="B42" s="29" t="s">
        <v>87</v>
      </c>
      <c r="AI42" s="22"/>
      <c r="AJ42" s="22"/>
      <c r="AK42" s="22"/>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c r="BL42" s="244"/>
      <c r="BM42" s="244"/>
    </row>
    <row r="43" ht="14.25">
      <c r="B43" s="46" t="s">
        <v>32</v>
      </c>
      <c r="C43" s="286">
        <v>-16.706211985923904718153240720</v>
      </c>
      <c r="D43" s="287">
        <v>-6.1148857319332921556516368100</v>
      </c>
      <c r="E43" s="287">
        <v>-12.107966660210236435226815490</v>
      </c>
      <c r="F43" s="287">
        <v>11.718263885319150329319219470</v>
      </c>
      <c r="G43" s="287">
        <v>-11.651829871395216026282598370</v>
      </c>
      <c r="H43" s="287">
        <v>-8.308252090327894758254587070</v>
      </c>
      <c r="I43" s="287">
        <v>-2.5292751899850130366568389900</v>
      </c>
      <c r="J43" s="287">
        <v>-3.0472278952054456932504885700</v>
      </c>
      <c r="K43" s="287">
        <v>-5.0190022319833167347685903600</v>
      </c>
      <c r="L43" s="287">
        <v>-10.186125211505922165820642970</v>
      </c>
      <c r="M43" s="287">
        <v>7.0582877959927140255009107400</v>
      </c>
      <c r="N43" s="287">
        <v>-5.3148574233990424038930912100</v>
      </c>
      <c r="O43" s="287">
        <v>-12.899433579157230002441133430</v>
      </c>
      <c r="P43" s="287">
        <v>-8.769291338562563308326612220</v>
      </c>
      <c r="Q43" s="287">
        <v>-11.348946528970552174755630470</v>
      </c>
      <c r="R43" s="287">
        <v>-3.8612020673311722454368103100</v>
      </c>
      <c r="S43" s="287">
        <v>-37.233725000663759736099582330</v>
      </c>
      <c r="T43" s="287">
        <v>-49.711950593759353238980959220</v>
      </c>
      <c r="U43" s="287">
        <v>-6.226322245859332190840814100</v>
      </c>
      <c r="V43" s="287">
        <v>-4.5954821375261220021892725700</v>
      </c>
      <c r="W43" s="287">
        <v>-16.395738940932861532059247320</v>
      </c>
      <c r="X43" s="287">
        <v>-28.751277185803277055450936050</v>
      </c>
      <c r="Y43" s="287">
        <v>0.3981211896763742712941401400</v>
      </c>
      <c r="Z43" s="287">
        <v>6.7344130411770932571186620100</v>
      </c>
      <c r="AA43" s="287">
        <v>-10.721103732620848304124773640</v>
      </c>
      <c r="AB43" s="287">
        <v>-5.6840672933957654792907955900</v>
      </c>
      <c r="AC43" s="287">
        <v>-0.3583326114386894347207425900</v>
      </c>
      <c r="AD43" s="287">
        <v>-3.9234365610721052493250372700</v>
      </c>
      <c r="AE43" s="287">
        <v>16.886768009124475159515818240</v>
      </c>
      <c r="AF43" s="287">
        <v>40.735063918660364232264507330</v>
      </c>
      <c r="AG43" s="288">
        <v>26.765634778795310960146511960</v>
      </c>
      <c r="AH43" s="218"/>
      <c r="AI43" s="302">
        <v>-4.7329257720677435060016570800</v>
      </c>
      <c r="AJ43" s="302">
        <v>-8.671034875632962928248828770</v>
      </c>
      <c r="AK43" s="302">
        <v>-0.275998323472394077352011100</v>
      </c>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c r="BL43" s="244"/>
      <c r="BM43" s="244"/>
    </row>
    <row r="44" ht="14.25">
      <c r="B44" s="201" t="s">
        <v>26</v>
      </c>
      <c r="C44" s="289">
        <v>2.344804230840345375697306400</v>
      </c>
      <c r="D44" s="202">
        <v>8.160690378804648757588145020</v>
      </c>
      <c r="E44" s="202">
        <v>-6.836140793453012047683138100</v>
      </c>
      <c r="F44" s="202">
        <v>-5.716677611133236955461937100</v>
      </c>
      <c r="G44" s="202">
        <v>-10.278968334290222296396563310</v>
      </c>
      <c r="H44" s="202">
        <v>1.4921562889741181005482323100</v>
      </c>
      <c r="I44" s="202">
        <v>-5.6980542740939732404273200200</v>
      </c>
      <c r="J44" s="202">
        <v>2.6460371991731959361816573300</v>
      </c>
      <c r="K44" s="202">
        <v>-9.705057759620698765429157850</v>
      </c>
      <c r="L44" s="202">
        <v>9.899325850634951820221768200</v>
      </c>
      <c r="M44" s="202">
        <v>-19.768060241497390246014176010</v>
      </c>
      <c r="N44" s="202">
        <v>-12.478976411519958158106361560</v>
      </c>
      <c r="O44" s="202">
        <v>0.2798308665718525773177667900</v>
      </c>
      <c r="P44" s="202">
        <v>-12.251575147194763375523552280</v>
      </c>
      <c r="Q44" s="202">
        <v>-10.710799058241907603814966880</v>
      </c>
      <c r="R44" s="202">
        <v>-10.702384551569286357253414660</v>
      </c>
      <c r="S44" s="202">
        <v>-8.036597814615697050712939800</v>
      </c>
      <c r="T44" s="202">
        <v>-13.987056791997526873030462910</v>
      </c>
      <c r="U44" s="202">
        <v>-8.455487760887269997561785400</v>
      </c>
      <c r="V44" s="202">
        <v>-1.9133836173850092544435223600</v>
      </c>
      <c r="W44" s="202">
        <v>-8.695858389335938739472742690</v>
      </c>
      <c r="X44" s="202">
        <v>26.633286421176428336957810740</v>
      </c>
      <c r="Y44" s="202">
        <v>-10.673632341394871539024187320</v>
      </c>
      <c r="Z44" s="202">
        <v>-9.170219298993886213838714530</v>
      </c>
      <c r="AA44" s="202">
        <v>8.810760532115742868498992470</v>
      </c>
      <c r="AB44" s="202">
        <v>-47.103075060027752837857900830</v>
      </c>
      <c r="AC44" s="202">
        <v>-11.366027865218059251125069640</v>
      </c>
      <c r="AD44" s="202">
        <v>11.523609606949731478403245390</v>
      </c>
      <c r="AE44" s="202">
        <v>-4.0931971435979366254733517100</v>
      </c>
      <c r="AF44" s="202">
        <v>4.4791606899255544713069671900</v>
      </c>
      <c r="AG44" s="290">
        <v>5.7202500730114314314526665900</v>
      </c>
      <c r="AH44" s="218"/>
      <c r="AI44" s="303">
        <v>-8.196095198788127996107346050</v>
      </c>
      <c r="AJ44" s="303">
        <v>-11.033878101621402902674797400</v>
      </c>
      <c r="AK44" s="303">
        <v>-2.3385038083130297296426268900</v>
      </c>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c r="BL44" s="244"/>
      <c r="BM44" s="244"/>
    </row>
    <row r="45" ht="14.25">
      <c r="A45" s="24"/>
      <c r="B45" s="49" t="s">
        <v>92</v>
      </c>
      <c r="C45" s="291">
        <v>-18.614541656418631572192647360</v>
      </c>
      <c r="D45" s="292">
        <v>-13.198488342471472733254577310</v>
      </c>
      <c r="E45" s="292">
        <v>-5.6586598190287334001887521600</v>
      </c>
      <c r="F45" s="292">
        <v>18.49207373561449934450632900</v>
      </c>
      <c r="G45" s="292">
        <v>-1.5301446178699923641035372500</v>
      </c>
      <c r="H45" s="292">
        <v>-9.656320978555931100786056650</v>
      </c>
      <c r="I45" s="292">
        <v>3.360247829205679518935471800</v>
      </c>
      <c r="J45" s="292">
        <v>-5.5465025730421528981034574900</v>
      </c>
      <c r="K45" s="292">
        <v>5.1897209425933762553846600600</v>
      </c>
      <c r="L45" s="292">
        <v>-18.276227726259655709554772580</v>
      </c>
      <c r="M45" s="292">
        <v>33.435995836757019835993570970</v>
      </c>
      <c r="N45" s="292">
        <v>8.185597807709428112003325110</v>
      </c>
      <c r="O45" s="292">
        <v>-13.142487708454188337062201200</v>
      </c>
      <c r="P45" s="292">
        <v>3.968485832581470859560519100</v>
      </c>
      <c r="Q45" s="292">
        <v>-0.71469725794136440762490100</v>
      </c>
      <c r="R45" s="292">
        <v>7.6611032107959083833055434900</v>
      </c>
      <c r="S45" s="292">
        <v>-31.748637492969403812369405830</v>
      </c>
      <c r="T45" s="292">
        <v>-41.534323172036302304878423270</v>
      </c>
      <c r="U45" s="292">
        <v>2.4350618737374748383094141100</v>
      </c>
      <c r="V45" s="292">
        <v>-2.7344184345281626181457467400</v>
      </c>
      <c r="W45" s="292">
        <v>-8.433221555786297626124991490</v>
      </c>
      <c r="X45" s="292">
        <v>-43.736181198689360525557974680</v>
      </c>
      <c r="Y45" s="292">
        <v>12.394720418333832504089131800</v>
      </c>
      <c r="Z45" s="292">
        <v>17.510371837747568001135119090</v>
      </c>
      <c r="AA45" s="292">
        <v>-17.950305805358565903838432440</v>
      </c>
      <c r="AB45" s="292">
        <v>78.301352703640229643747252290</v>
      </c>
      <c r="AC45" s="292">
        <v>12.419273319939691133220392310</v>
      </c>
      <c r="AD45" s="292">
        <v>-13.850920197560708006484171380</v>
      </c>
      <c r="AE45" s="292">
        <v>21.875367052057680641334657380</v>
      </c>
      <c r="AF45" s="292">
        <v>34.701564397411574802772258720</v>
      </c>
      <c r="AG45" s="293">
        <v>19.906673216633076156964306160</v>
      </c>
      <c r="AH45" s="218"/>
      <c r="AI45" s="304">
        <v>3.7723552545836132556917916100</v>
      </c>
      <c r="AJ45" s="304">
        <v>2.6558910015578232651466087500</v>
      </c>
      <c r="AK45" s="304">
        <v>2.1118921635163184781374845400</v>
      </c>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c r="BL45" s="244"/>
      <c r="BM45" s="244"/>
    </row>
    <row r="46" ht="13.5" customHeight="1">
      <c r="B46" s="176"/>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43"/>
      <c r="AF46" s="43"/>
      <c r="AG46" s="43"/>
      <c r="AI46" s="43"/>
      <c r="AJ46" s="43"/>
      <c r="AK46" s="43"/>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c r="BL46" s="244"/>
      <c r="BM46" s="244"/>
    </row>
    <row r="47" ht="18" customHeight="1">
      <c r="A47" s="8"/>
      <c r="B47" s="29"/>
      <c r="X47" s="653"/>
      <c r="Y47" s="653"/>
      <c r="Z47" s="653"/>
      <c r="AA47" s="653"/>
      <c r="AB47" s="653"/>
      <c r="AC47" s="653"/>
      <c r="AD47" s="653"/>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c r="BL47" s="244"/>
      <c r="BM47" s="244"/>
    </row>
    <row r="48" s="41" customFormat="1" ht="18">
      <c r="B48" s="615" t="s">
        <v>13</v>
      </c>
      <c r="C48" s="275" t="s">
        <v>145</v>
      </c>
      <c r="D48" s="276"/>
      <c r="E48" s="276"/>
      <c r="F48" s="276"/>
      <c r="G48" s="276"/>
      <c r="H48" s="276"/>
      <c r="I48" s="276"/>
      <c r="J48" s="276"/>
      <c r="K48" s="276"/>
      <c r="L48" s="276"/>
      <c r="M48" s="276"/>
      <c r="N48" s="276"/>
      <c r="O48" s="276"/>
      <c r="P48" s="276"/>
      <c r="Q48" s="276"/>
      <c r="R48" s="276"/>
      <c r="S48" s="277"/>
      <c r="T48" s="277"/>
      <c r="U48" s="277"/>
      <c r="V48" s="277"/>
      <c r="W48" s="277"/>
      <c r="X48" s="277"/>
      <c r="Y48" s="277"/>
      <c r="Z48" s="277"/>
      <c r="AA48" s="277"/>
      <c r="AB48" s="277"/>
      <c r="AC48" s="277"/>
      <c r="AD48" s="277"/>
      <c r="AE48" s="277"/>
      <c r="AF48" s="277"/>
      <c r="AG48" s="278"/>
      <c r="AH48" s="25"/>
      <c r="AI48" s="307" t="s">
        <v>59</v>
      </c>
      <c r="AJ48" s="307" t="s">
        <v>31</v>
      </c>
      <c r="AK48" s="307" t="s">
        <v>31</v>
      </c>
      <c r="AL48" s="25"/>
      <c r="AM48" s="248"/>
      <c r="AN48" s="248"/>
      <c r="AO48" s="253"/>
      <c r="AP48" s="253"/>
      <c r="AQ48" s="253"/>
      <c r="AR48" s="253"/>
      <c r="AS48" s="253"/>
      <c r="AT48" s="253"/>
      <c r="AU48" s="253"/>
      <c r="AV48" s="253"/>
      <c r="AW48" s="253"/>
      <c r="AX48" s="253"/>
      <c r="AY48" s="253"/>
      <c r="AZ48" s="253"/>
      <c r="BA48" s="253"/>
      <c r="BB48" s="253"/>
      <c r="BC48" s="253"/>
      <c r="BD48" s="253"/>
      <c r="BE48" s="253"/>
      <c r="BF48" s="253"/>
      <c r="BG48" s="253"/>
      <c r="BH48" s="253"/>
      <c r="BI48" s="253"/>
      <c r="BJ48" s="253"/>
      <c r="BK48" s="253"/>
      <c r="BL48" s="253"/>
      <c r="BM48" s="253"/>
    </row>
    <row r="49" s="42" customFormat="1">
      <c r="B49" s="615"/>
      <c r="C49" s="279">
        <v>1</v>
      </c>
      <c r="D49" s="280">
        <v>2</v>
      </c>
      <c r="E49" s="280">
        <v>3</v>
      </c>
      <c r="F49" s="280">
        <v>4</v>
      </c>
      <c r="G49" s="280">
        <v>5</v>
      </c>
      <c r="H49" s="280">
        <v>6</v>
      </c>
      <c r="I49" s="280">
        <v>7</v>
      </c>
      <c r="J49" s="280">
        <v>8</v>
      </c>
      <c r="K49" s="280">
        <v>9</v>
      </c>
      <c r="L49" s="280">
        <v>10</v>
      </c>
      <c r="M49" s="280">
        <v>11</v>
      </c>
      <c r="N49" s="280">
        <v>12</v>
      </c>
      <c r="O49" s="280">
        <v>13</v>
      </c>
      <c r="P49" s="280">
        <v>14</v>
      </c>
      <c r="Q49" s="280">
        <v>15</v>
      </c>
      <c r="R49" s="280">
        <v>16</v>
      </c>
      <c r="S49" s="280">
        <v>17</v>
      </c>
      <c r="T49" s="280">
        <v>18</v>
      </c>
      <c r="U49" s="280">
        <v>19</v>
      </c>
      <c r="V49" s="280">
        <v>20</v>
      </c>
      <c r="W49" s="280">
        <v>21</v>
      </c>
      <c r="X49" s="280">
        <v>22</v>
      </c>
      <c r="Y49" s="280">
        <v>23</v>
      </c>
      <c r="Z49" s="280">
        <v>24</v>
      </c>
      <c r="AA49" s="280">
        <v>25</v>
      </c>
      <c r="AB49" s="280">
        <v>26</v>
      </c>
      <c r="AC49" s="280">
        <v>27</v>
      </c>
      <c r="AD49" s="280">
        <v>28</v>
      </c>
      <c r="AE49" s="280">
        <v>29</v>
      </c>
      <c r="AF49" s="280">
        <v>30</v>
      </c>
      <c r="AG49" s="281">
        <v>31</v>
      </c>
      <c r="AH49" s="25"/>
      <c r="AI49" s="308" t="s">
        <v>31</v>
      </c>
      <c r="AJ49" s="308" t="s">
        <v>88</v>
      </c>
      <c r="AK49" s="308" t="s">
        <v>89</v>
      </c>
      <c r="AL49" s="25"/>
      <c r="AM49" s="248"/>
      <c r="AN49" s="248"/>
      <c r="AO49" s="254"/>
      <c r="AP49" s="254"/>
      <c r="AQ49" s="254"/>
      <c r="AR49" s="254"/>
      <c r="AS49" s="254"/>
      <c r="AT49" s="254"/>
      <c r="AU49" s="254"/>
      <c r="AV49" s="254"/>
      <c r="AW49" s="254"/>
      <c r="AX49" s="254"/>
      <c r="AY49" s="254"/>
      <c r="AZ49" s="254"/>
      <c r="BA49" s="254"/>
      <c r="BB49" s="254"/>
      <c r="BC49" s="254"/>
      <c r="BD49" s="254"/>
      <c r="BE49" s="254"/>
      <c r="BF49" s="254"/>
      <c r="BG49" s="254"/>
      <c r="BH49" s="254"/>
      <c r="BI49" s="254"/>
      <c r="BJ49" s="254"/>
      <c r="BK49" s="254"/>
      <c r="BL49" s="254"/>
      <c r="BM49" s="254"/>
    </row>
    <row r="50" ht="14.25">
      <c r="B50" s="404" t="s">
        <v>32</v>
      </c>
      <c r="C50" s="294">
        <v>37.05376344086021505376344086</v>
      </c>
      <c r="D50" s="295">
        <v>44.94623655913978494623655914</v>
      </c>
      <c r="E50" s="295">
        <v>13.177419354838709677419354839</v>
      </c>
      <c r="F50" s="295">
        <v>18.994623655913978494623655914</v>
      </c>
      <c r="G50" s="295">
        <v>30.870967741935483870967741935</v>
      </c>
      <c r="H50" s="295">
        <v>38.532258064516129032258064516</v>
      </c>
      <c r="I50" s="295">
        <v>32.483870967741935483870967742</v>
      </c>
      <c r="J50" s="295">
        <v>74.913978494623655913978494624</v>
      </c>
      <c r="K50" s="295">
        <v>70.241935483870967741935483871</v>
      </c>
      <c r="L50" s="295">
        <v>21.403225806451612903225806452</v>
      </c>
      <c r="M50" s="295">
        <v>37.91935483870967741935483871</v>
      </c>
      <c r="N50" s="295">
        <v>40.650537634408602150537634409</v>
      </c>
      <c r="O50" s="295">
        <v>35.05376344086021505376344086</v>
      </c>
      <c r="P50" s="295">
        <v>37.752688172043010752688172043</v>
      </c>
      <c r="Q50" s="295">
        <v>46.193548387096774193548387097</v>
      </c>
      <c r="R50" s="295">
        <v>52.10752688172043010752688172</v>
      </c>
      <c r="S50" s="295">
        <v>20.725806451612903225806451613</v>
      </c>
      <c r="T50" s="295">
        <v>27.075268817204301075268817204</v>
      </c>
      <c r="U50" s="295">
        <v>35.102150537634408602150537634</v>
      </c>
      <c r="V50" s="295">
        <v>32.215053763440860215053763441</v>
      </c>
      <c r="W50" s="295">
        <v>28.354838709677419354838709677</v>
      </c>
      <c r="X50" s="295">
        <v>39.91935483870967741935483871</v>
      </c>
      <c r="Y50" s="295">
        <v>46.822580645161290322580645161</v>
      </c>
      <c r="Z50" s="295">
        <v>16.940860215053763440860215054</v>
      </c>
      <c r="AA50" s="295">
        <v>26.440860215053763440860215054</v>
      </c>
      <c r="AB50" s="295">
        <v>25.225806451612903225806451613</v>
      </c>
      <c r="AC50" s="295">
        <v>28.741935483870967741935483871</v>
      </c>
      <c r="AD50" s="295">
        <v>28.967741935483870967741935484</v>
      </c>
      <c r="AE50" s="295">
        <v>70.005376344086021505376344086</v>
      </c>
      <c r="AF50" s="295">
        <v>99.43548387096774193548387097</v>
      </c>
      <c r="AG50" s="296">
        <v>77.381720430107526881720430108</v>
      </c>
      <c r="AH50" s="218"/>
      <c r="AI50" s="305">
        <v>39.859694762400277488727020465</v>
      </c>
      <c r="AJ50" s="305">
        <v>31.143369175627240143369175627</v>
      </c>
      <c r="AK50" s="305">
        <v>58.163978494623655913978494624</v>
      </c>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c r="BL50" s="244"/>
      <c r="BM50" s="244"/>
    </row>
    <row r="51" ht="14.25">
      <c r="B51" s="201" t="s">
        <v>26</v>
      </c>
      <c r="C51" s="297">
        <v>63.016973180076628352490421456</v>
      </c>
      <c r="D51" s="207">
        <v>47.413256704980842911877394636</v>
      </c>
      <c r="E51" s="207">
        <v>28.353984674329501915708812261</v>
      </c>
      <c r="F51" s="207">
        <v>36.764061302681992337164750958</v>
      </c>
      <c r="G51" s="207">
        <v>41.471513409961685823754789272</v>
      </c>
      <c r="H51" s="207">
        <v>44.36699233716475095785440613</v>
      </c>
      <c r="I51" s="207">
        <v>40.819080459770114942528735632</v>
      </c>
      <c r="J51" s="207">
        <v>48.899118773946360153256704981</v>
      </c>
      <c r="K51" s="207">
        <v>63.791034482758620689655172414</v>
      </c>
      <c r="L51" s="207">
        <v>48.449770114942528735632183908</v>
      </c>
      <c r="M51" s="207">
        <v>59.033659003831417624521072797</v>
      </c>
      <c r="N51" s="207">
        <v>69.826187739463601532567049808</v>
      </c>
      <c r="O51" s="207">
        <v>69.990153256704980842911877395</v>
      </c>
      <c r="P51" s="207">
        <v>58.67199233716475095785440613</v>
      </c>
      <c r="Q51" s="207">
        <v>64.670900383141762452107279693</v>
      </c>
      <c r="R51" s="207">
        <v>64.719099616858237547892720307</v>
      </c>
      <c r="S51" s="207">
        <v>44.643965517241379310344827586</v>
      </c>
      <c r="T51" s="207">
        <v>56.331034482758620689655172414</v>
      </c>
      <c r="U51" s="207">
        <v>68.430747126436781609195402299</v>
      </c>
      <c r="V51" s="207">
        <v>68.201800766283524904214559387</v>
      </c>
      <c r="W51" s="207">
        <v>52.222892720306513409961685824</v>
      </c>
      <c r="X51" s="207">
        <v>55.020823754789272030651340996</v>
      </c>
      <c r="Y51" s="207">
        <v>52.173160919540229885057471264</v>
      </c>
      <c r="Z51" s="207">
        <v>38.856743295019157088122605364</v>
      </c>
      <c r="AA51" s="207">
        <v>53.375210727969348659003831418</v>
      </c>
      <c r="AB51" s="207">
        <v>66.406091954022988505747126437</v>
      </c>
      <c r="AC51" s="207">
        <v>57.109463601532567049808429119</v>
      </c>
      <c r="AD51" s="207">
        <v>62.517758620689655172413793103</v>
      </c>
      <c r="AE51" s="207">
        <v>62.238754789272030651340996169</v>
      </c>
      <c r="AF51" s="207">
        <v>73.498448275862068965517241379</v>
      </c>
      <c r="AG51" s="298">
        <v>56.849674329501915708812260536</v>
      </c>
      <c r="AH51" s="218"/>
      <c r="AI51" s="306">
        <v>55.423688666419478432826597454</v>
      </c>
      <c r="AJ51" s="306">
        <v>53.461560846560846560846560847</v>
      </c>
      <c r="AK51" s="306">
        <v>59.54415708812260536398467433</v>
      </c>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c r="BL51" s="244"/>
      <c r="BM51" s="244"/>
    </row>
    <row r="52" ht="14.25">
      <c r="A52" s="24"/>
      <c r="B52" s="49" t="s">
        <v>93</v>
      </c>
      <c r="C52" s="291">
        <v>58.799655983098449727509337680</v>
      </c>
      <c r="D52" s="292">
        <v>94.79677137301548488143777919</v>
      </c>
      <c r="E52" s="292">
        <v>46.474664870587655177652621850</v>
      </c>
      <c r="F52" s="292">
        <v>51.666282186617366116689036830</v>
      </c>
      <c r="G52" s="292">
        <v>74.438970762257224002686189730</v>
      </c>
      <c r="H52" s="292">
        <v>86.84892987936062349923123496</v>
      </c>
      <c r="I52" s="292">
        <v>79.58011449996562640076409745</v>
      </c>
      <c r="J52" s="292">
        <v>153.20108086407712120060254185</v>
      </c>
      <c r="K52" s="292">
        <v>110.11255116549383838946901555</v>
      </c>
      <c r="L52" s="292">
        <v>44.176114263686406796668229890</v>
      </c>
      <c r="M52" s="292">
        <v>64.233448304921784339621928070</v>
      </c>
      <c r="N52" s="292">
        <v>58.216750692538503898566590900</v>
      </c>
      <c r="O52" s="292">
        <v>50.083850098591685962850492690</v>
      </c>
      <c r="P52" s="292">
        <v>64.345331849429199125219598120</v>
      </c>
      <c r="Q52" s="292">
        <v>71.428645825948969373146013780</v>
      </c>
      <c r="R52" s="292">
        <v>80.51336806316395493371816523</v>
      </c>
      <c r="S52" s="292">
        <v>46.424653839560607055397055170</v>
      </c>
      <c r="T52" s="292">
        <v>48.064568786627568337252458870</v>
      </c>
      <c r="U52" s="292">
        <v>51.295875044000940902389021610</v>
      </c>
      <c r="V52" s="292">
        <v>47.234902013553610146935196560</v>
      </c>
      <c r="W52" s="292">
        <v>54.295802535379989473766878900</v>
      </c>
      <c r="X52" s="292">
        <v>72.553175533340002009247487160</v>
      </c>
      <c r="Y52" s="292">
        <v>89.74457330159786912348847294</v>
      </c>
      <c r="Z52" s="292">
        <v>43.598250338271853981581126880</v>
      </c>
      <c r="AA52" s="292">
        <v>49.537715831786314630810528970</v>
      </c>
      <c r="AB52" s="292">
        <v>37.987187183198507344895051180</v>
      </c>
      <c r="AC52" s="292">
        <v>50.327798006346623735125196510</v>
      </c>
      <c r="AD52" s="292">
        <v>46.335221502794695708530141500</v>
      </c>
      <c r="AE52" s="292">
        <v>112.47875472618107112431773570</v>
      </c>
      <c r="AF52" s="292">
        <v>135.28922882521922042041492064</v>
      </c>
      <c r="AG52" s="293">
        <v>136.11638297451634459801664765</v>
      </c>
      <c r="AH52" s="218"/>
      <c r="AI52" s="304">
        <v>71.918155794933183210926504110</v>
      </c>
      <c r="AJ52" s="304">
        <v>58.253759677889890811927972200</v>
      </c>
      <c r="AK52" s="304">
        <v>97.68209231439070098011512206</v>
      </c>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c r="BL52" s="244"/>
      <c r="BM52" s="244"/>
    </row>
    <row r="53" ht="12" customHeight="1">
      <c r="B53" s="0"/>
      <c r="AI53" s="22"/>
      <c r="AJ53" s="22"/>
      <c r="AK53" s="22"/>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c r="BL53" s="244"/>
      <c r="BM53" s="244"/>
    </row>
    <row r="54" ht="18">
      <c r="B54" s="29" t="s">
        <v>87</v>
      </c>
      <c r="AI54" s="22"/>
      <c r="AJ54" s="22"/>
      <c r="AK54" s="22"/>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c r="BL54" s="244"/>
      <c r="BM54" s="244"/>
    </row>
    <row r="55" ht="14.25">
      <c r="B55" s="46" t="s">
        <v>32</v>
      </c>
      <c r="C55" s="286">
        <v>24.090745408562510430540470820</v>
      </c>
      <c r="D55" s="287">
        <v>72.122709491498156732837100640</v>
      </c>
      <c r="E55" s="287">
        <v>-33.487109905056452043470797040</v>
      </c>
      <c r="F55" s="287">
        <v>26.133523741908157195351806550</v>
      </c>
      <c r="G55" s="287">
        <v>13.590504451200366297141175590</v>
      </c>
      <c r="H55" s="287">
        <v>18.111404086935984572124630200</v>
      </c>
      <c r="I55" s="287">
        <v>18.493822318203838560149067840</v>
      </c>
      <c r="J55" s="287">
        <v>72.942782673352918356671537370</v>
      </c>
      <c r="K55" s="287">
        <v>22.262773722682655934294298780</v>
      </c>
      <c r="L55" s="287">
        <v>12.267343485807558956828777600</v>
      </c>
      <c r="M55" s="287">
        <v>60.587431694032947385708752170</v>
      </c>
      <c r="N55" s="287">
        <v>-2.7899202880492628396342213100</v>
      </c>
      <c r="O55" s="287">
        <v>-30.319546863306422114792987480</v>
      </c>
      <c r="P55" s="287">
        <v>10.582677165472749953500033810</v>
      </c>
      <c r="Q55" s="287">
        <v>32.225300092214011726599987060</v>
      </c>
      <c r="R55" s="287">
        <v>2.0855277016826850472989570300</v>
      </c>
      <c r="S55" s="287">
        <v>-43.771878646496842360735679910</v>
      </c>
      <c r="T55" s="287">
        <v>-45.843639100963457733268362730</v>
      </c>
      <c r="U55" s="287">
        <v>2.9973181889595527413251100800</v>
      </c>
      <c r="V55" s="287">
        <v>10.737386804513923173603474870</v>
      </c>
      <c r="W55" s="287">
        <v>-11.835506519611733897781577690</v>
      </c>
      <c r="X55" s="287">
        <v>-21.726755218216318785578747630</v>
      </c>
      <c r="Y55" s="287">
        <v>-3.1041388518800233867675193400</v>
      </c>
      <c r="Z55" s="287">
        <v>-49.968243887002257215237914360</v>
      </c>
      <c r="AA55" s="287">
        <v>-23.680943513296005580812514470</v>
      </c>
      <c r="AB55" s="287">
        <v>-41.959426026722317692922972670</v>
      </c>
      <c r="AC55" s="287">
        <v>-20.005985335967676140933369730</v>
      </c>
      <c r="AD55" s="287">
        <v>-18.400726942298955020445252160</v>
      </c>
      <c r="AE55" s="287">
        <v>34.154131465136730785569712440</v>
      </c>
      <c r="AF55" s="287">
        <v>60.840073049729711407430380570</v>
      </c>
      <c r="AG55" s="288">
        <v>84.92869073624372718626959318</v>
      </c>
      <c r="AH55" s="218"/>
      <c r="AI55" s="302">
        <v>8.876656260456819988133932520</v>
      </c>
      <c r="AJ55" s="302">
        <v>-3.6604682104071936861258363200</v>
      </c>
      <c r="AK55" s="302">
        <v>27.539050987263700086749601230</v>
      </c>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c r="BL55" s="244"/>
      <c r="BM55" s="244"/>
    </row>
    <row r="56" ht="14.25">
      <c r="B56" s="201" t="s">
        <v>26</v>
      </c>
      <c r="C56" s="289">
        <v>35.026338355039639163819287190</v>
      </c>
      <c r="D56" s="202">
        <v>28.86130097760685893005552400</v>
      </c>
      <c r="E56" s="202">
        <v>0.1680046029457465084496592500</v>
      </c>
      <c r="F56" s="202">
        <v>-4.2881424234746883537859131100</v>
      </c>
      <c r="G56" s="202">
        <v>-5.2478824465091717817706334700</v>
      </c>
      <c r="H56" s="202">
        <v>8.163002242343074746911013420</v>
      </c>
      <c r="I56" s="202">
        <v>17.877432157344710481341071530</v>
      </c>
      <c r="J56" s="202">
        <v>16.643224089980201334511408210</v>
      </c>
      <c r="K56" s="202">
        <v>43.669285875747722481326572570</v>
      </c>
      <c r="L56" s="202">
        <v>167.54180145567468984314813986</v>
      </c>
      <c r="M56" s="202">
        <v>24.724197260820781874179854930</v>
      </c>
      <c r="N56" s="202">
        <v>43.865030190676737985871214060</v>
      </c>
      <c r="O56" s="202">
        <v>44.764868619387905963582364060</v>
      </c>
      <c r="P56" s="202">
        <v>29.883131059608177655082390830</v>
      </c>
      <c r="Q56" s="202">
        <v>22.434434624616838009182689450</v>
      </c>
      <c r="R56" s="202">
        <v>27.618245699953487429806567750</v>
      </c>
      <c r="S56" s="202">
        <v>114.03871482084822596538066242</v>
      </c>
      <c r="T56" s="202">
        <v>63.127995739315035240804294490</v>
      </c>
      <c r="U56" s="202">
        <v>33.088808958121056209039304580</v>
      </c>
      <c r="V56" s="202">
        <v>42.421766987658382543764254410</v>
      </c>
      <c r="W56" s="202">
        <v>38.158869239628650754872352710</v>
      </c>
      <c r="X56" s="202">
        <v>131.91561175991863915315378929</v>
      </c>
      <c r="Y56" s="202">
        <v>50.495510729143408446321469250</v>
      </c>
      <c r="Z56" s="202">
        <v>88.03358110052716480525747006</v>
      </c>
      <c r="AA56" s="202">
        <v>85.28918079192133170985366872</v>
      </c>
      <c r="AB56" s="202">
        <v>-8.398008030741520891359001050</v>
      </c>
      <c r="AC56" s="202">
        <v>65.551959447310146969781604970</v>
      </c>
      <c r="AD56" s="202">
        <v>137.62546883559837834599147681</v>
      </c>
      <c r="AE56" s="202">
        <v>117.34723504468302080488016087</v>
      </c>
      <c r="AF56" s="202">
        <v>145.90826845304811296568577975</v>
      </c>
      <c r="AG56" s="290">
        <v>184.23149199900002122977553053</v>
      </c>
      <c r="AH56" s="218"/>
      <c r="AI56" s="303">
        <v>43.773324148158906195585419650</v>
      </c>
      <c r="AJ56" s="303">
        <v>39.500915420908670320057258750</v>
      </c>
      <c r="AK56" s="303">
        <v>52.584372168952583478239047810</v>
      </c>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c r="BL56" s="244"/>
      <c r="BM56" s="244"/>
    </row>
    <row r="57" ht="14.25">
      <c r="A57" s="24"/>
      <c r="B57" s="49" t="s">
        <v>93</v>
      </c>
      <c r="C57" s="291">
        <v>-8.098859140868824059672515310</v>
      </c>
      <c r="D57" s="292">
        <v>33.572071821034049558757662230</v>
      </c>
      <c r="E57" s="292">
        <v>-33.59866720049031456141310500</v>
      </c>
      <c r="F57" s="292">
        <v>31.784636653342817368494920280</v>
      </c>
      <c r="G57" s="292">
        <v>19.881758195814517111811871200</v>
      </c>
      <c r="H57" s="292">
        <v>9.197601433367486586288879050</v>
      </c>
      <c r="I57" s="292">
        <v>0.5229076927298188086048833200</v>
      </c>
      <c r="J57" s="292">
        <v>48.266462988168190690734708660</v>
      </c>
      <c r="K57" s="292">
        <v>-14.899852827072393031178259150</v>
      </c>
      <c r="L57" s="292">
        <v>-58.037456997424772007534240710</v>
      </c>
      <c r="M57" s="292">
        <v>28.754031070842670158955660440</v>
      </c>
      <c r="N57" s="292">
        <v>-32.429667179626596661744146900</v>
      </c>
      <c r="O57" s="292">
        <v>-51.866461938440989565240702770</v>
      </c>
      <c r="P57" s="292">
        <v>-14.859861890375507143532935780</v>
      </c>
      <c r="Q57" s="292">
        <v>7.996823359268373945140989110</v>
      </c>
      <c r="R57" s="292">
        <v>-20.007106239639896493376578220</v>
      </c>
      <c r="S57" s="292">
        <v>-73.729929465946737902764805040</v>
      </c>
      <c r="T57" s="292">
        <v>-66.801307983013581845767418300</v>
      </c>
      <c r="U57" s="292">
        <v>-22.610083450832513783042569010</v>
      </c>
      <c r="V57" s="292">
        <v>-22.246866369701932626808603210</v>
      </c>
      <c r="W57" s="292">
        <v>-36.186150070825908577050756450</v>
      </c>
      <c r="X57" s="292">
        <v>-66.249255844489009786557537310</v>
      </c>
      <c r="Y57" s="292">
        <v>-35.615447478257058730065770950</v>
      </c>
      <c r="Z57" s="292">
        <v>-73.392116546292296833842700680</v>
      </c>
      <c r="AA57" s="292">
        <v>-58.810840352118451790171515860</v>
      </c>
      <c r="AB57" s="292">
        <v>-36.638305864811848880522660930</v>
      </c>
      <c r="AC57" s="292">
        <v>-51.680418080722488342645814550</v>
      </c>
      <c r="AD57" s="292">
        <v>-65.660552525143965014447456650</v>
      </c>
      <c r="AE57" s="292">
        <v>-38.276587030243639377774517190</v>
      </c>
      <c r="AF57" s="292">
        <v>-34.593466880324739868362700480</v>
      </c>
      <c r="AG57" s="293">
        <v>-34.937297258782471416292058470</v>
      </c>
      <c r="AH57" s="218"/>
      <c r="AI57" s="304">
        <v>-24.272004625587871753555284920</v>
      </c>
      <c r="AJ57" s="304">
        <v>-30.939856918690603028889854530</v>
      </c>
      <c r="AK57" s="304">
        <v>-16.414080174533739869438848320</v>
      </c>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c r="BL57" s="244"/>
      <c r="BM57" s="244"/>
    </row>
    <row r="58" ht="13.5" customHeight="1">
      <c r="A58" s="0"/>
      <c r="B58" s="176"/>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0"/>
      <c r="AI58" s="43"/>
      <c r="AJ58" s="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c r="BL58" s="244"/>
      <c r="BM58" s="244"/>
    </row>
    <row r="59">
      <c r="A59" s="4"/>
      <c r="U59" s="4"/>
      <c r="V59" s="4"/>
      <c r="W59" s="4"/>
      <c r="X59" s="4"/>
      <c r="Y59" s="4"/>
      <c r="Z59" s="4"/>
      <c r="AA59" s="4"/>
      <c r="AB59" s="4"/>
      <c r="AC59" s="4"/>
      <c r="AD59" s="4"/>
      <c r="AE59" s="4"/>
      <c r="AF59" s="4"/>
      <c r="AG59" s="4"/>
      <c r="AH59" s="4"/>
      <c r="AI59" s="4"/>
      <c r="AJ59" s="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c r="BL59" s="244"/>
      <c r="BM59" s="244"/>
    </row>
    <row r="60" ht="15">
      <c r="A60" s="9"/>
      <c r="B60" s="654" t="s">
        <v>82</v>
      </c>
      <c r="C60" s="654"/>
      <c r="D60" s="654"/>
      <c r="E60" s="654"/>
      <c r="F60" s="654"/>
      <c r="G60" s="654"/>
      <c r="H60" s="654"/>
      <c r="I60" s="654"/>
      <c r="J60" s="654"/>
      <c r="K60" s="654"/>
      <c r="L60" s="654"/>
      <c r="M60" s="654"/>
      <c r="N60" s="654"/>
      <c r="O60" s="654"/>
      <c r="P60" s="654"/>
      <c r="Q60" s="654"/>
      <c r="R60" s="654"/>
      <c r="S60" s="654"/>
      <c r="T60" s="654"/>
      <c r="U60" s="654"/>
      <c r="V60" s="654"/>
      <c r="W60" s="654"/>
      <c r="X60" s="654"/>
      <c r="Y60" s="654"/>
      <c r="Z60" s="654"/>
      <c r="AA60" s="654"/>
      <c r="AB60" s="654"/>
      <c r="AC60" s="654"/>
      <c r="AD60" s="654"/>
      <c r="AE60" s="654"/>
      <c r="AF60" s="654"/>
      <c r="AG60" s="654"/>
      <c r="AH60" s="654"/>
      <c r="AI60" s="4"/>
      <c r="AJ60" s="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c r="BL60" s="244"/>
      <c r="BM60" s="244"/>
    </row>
    <row r="61" ht="14.25">
      <c r="A61" s="4"/>
      <c r="B61" s="53"/>
      <c r="C61" s="84">
        <v>100</v>
      </c>
      <c r="D61" s="84">
        <v>100</v>
      </c>
      <c r="E61" s="84">
        <v>100</v>
      </c>
      <c r="F61" s="84">
        <v>100</v>
      </c>
      <c r="G61" s="84">
        <v>100</v>
      </c>
      <c r="H61" s="84">
        <v>100</v>
      </c>
      <c r="I61" s="84">
        <v>100</v>
      </c>
      <c r="J61" s="84">
        <v>100</v>
      </c>
      <c r="K61" s="84">
        <v>100</v>
      </c>
      <c r="L61" s="84">
        <v>100</v>
      </c>
      <c r="M61" s="84">
        <v>100</v>
      </c>
      <c r="N61" s="84">
        <v>100</v>
      </c>
      <c r="O61" s="84">
        <v>100</v>
      </c>
      <c r="P61" s="84">
        <v>100</v>
      </c>
      <c r="Q61" s="84">
        <v>100</v>
      </c>
      <c r="R61" s="84">
        <v>100</v>
      </c>
      <c r="S61" s="84">
        <v>100</v>
      </c>
      <c r="T61" s="84">
        <v>100</v>
      </c>
      <c r="U61" s="84">
        <v>100</v>
      </c>
      <c r="V61" s="84">
        <v>100</v>
      </c>
      <c r="W61" s="84">
        <v>100</v>
      </c>
      <c r="X61" s="84">
        <v>100</v>
      </c>
      <c r="Y61" s="84">
        <v>100</v>
      </c>
      <c r="Z61" s="84">
        <v>100</v>
      </c>
      <c r="AA61" s="84">
        <v>100</v>
      </c>
      <c r="AB61" s="84">
        <v>100</v>
      </c>
      <c r="AC61" s="84">
        <v>100</v>
      </c>
      <c r="AD61" s="84">
        <v>100</v>
      </c>
      <c r="AE61" s="84">
        <v>100</v>
      </c>
      <c r="AF61" s="84">
        <v>100</v>
      </c>
      <c r="AG61" s="84">
        <v>100</v>
      </c>
      <c r="AH61" s="4"/>
      <c r="AI61" s="4"/>
      <c r="AJ61" s="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c r="BL61" s="244"/>
      <c r="BM61" s="244"/>
    </row>
    <row r="62" ht="26.1" customHeight="1">
      <c r="A62" s="4"/>
      <c r="B62" s="655" t="s">
        <v>114</v>
      </c>
      <c r="C62" s="655"/>
      <c r="D62" s="655"/>
      <c r="E62" s="655"/>
      <c r="F62" s="655"/>
      <c r="G62" s="655"/>
      <c r="H62" s="655"/>
      <c r="I62" s="655"/>
      <c r="J62" s="655"/>
      <c r="K62" s="655"/>
      <c r="L62" s="655"/>
      <c r="M62" s="655"/>
      <c r="N62" s="655"/>
      <c r="O62" s="655"/>
      <c r="P62" s="655"/>
      <c r="Q62" s="655"/>
      <c r="R62" s="655"/>
      <c r="S62" s="655"/>
      <c r="T62" s="655"/>
      <c r="U62" s="655"/>
      <c r="V62" s="655"/>
      <c r="W62" s="655"/>
      <c r="X62" s="655"/>
      <c r="Y62" s="655"/>
      <c r="Z62" s="655"/>
      <c r="AA62" s="655"/>
      <c r="AB62" s="655"/>
      <c r="AC62" s="655"/>
      <c r="AD62" s="655"/>
      <c r="AE62" s="655"/>
      <c r="AF62" s="655"/>
      <c r="AG62" s="655"/>
      <c r="AH62" s="655"/>
      <c r="AI62" s="655"/>
      <c r="AJ62" s="655"/>
      <c r="AK62" s="655"/>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c r="BL62" s="244"/>
      <c r="BM62" s="24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c r="BL63" s="244"/>
      <c r="BM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c r="BL64" s="244"/>
      <c r="BM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c r="BL65" s="244"/>
      <c r="BM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c r="BL66" s="244"/>
      <c r="BM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c r="BL67" s="244"/>
      <c r="BM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c r="BH68" s="244"/>
      <c r="BI68" s="244"/>
      <c r="BJ68" s="244"/>
      <c r="BK68" s="244"/>
      <c r="BL68" s="244"/>
      <c r="BM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c r="BH69" s="244"/>
      <c r="BI69" s="244"/>
      <c r="BJ69" s="244"/>
      <c r="BK69" s="244"/>
      <c r="BL69" s="244"/>
      <c r="BM69" s="244"/>
    </row>
    <row r="70" s="25" customFormat="1">
      <c r="A70" s="248"/>
      <c r="B70" s="248"/>
      <c r="C70" s="248"/>
      <c r="D70" s="248"/>
      <c r="E70" s="248"/>
      <c r="F70" s="248"/>
      <c r="G70" s="248"/>
      <c r="H70" s="248"/>
      <c r="I70" s="248"/>
      <c r="J70" s="248"/>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c r="BK70" s="248"/>
      <c r="BL70" s="248"/>
      <c r="BM70" s="248"/>
    </row>
    <row r="71" s="25" customFormat="1" ht="10.5" customHeight="1">
      <c r="A71" s="248"/>
      <c r="B71" s="248"/>
      <c r="C71" s="248"/>
      <c r="D71" s="248"/>
      <c r="E71" s="248"/>
      <c r="F71" s="248"/>
      <c r="G71" s="248"/>
      <c r="H71" s="248"/>
      <c r="I71" s="248"/>
      <c r="J71" s="248"/>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c r="BK71" s="248"/>
      <c r="BL71" s="248"/>
      <c r="BM71" s="248"/>
    </row>
    <row r="72" s="25" customFormat="1">
      <c r="A72" s="248"/>
      <c r="B72" s="248"/>
      <c r="C72" s="248"/>
      <c r="D72" s="248"/>
      <c r="E72" s="248"/>
      <c r="F72" s="248"/>
      <c r="G72" s="248"/>
      <c r="H72" s="248"/>
      <c r="I72" s="248"/>
      <c r="J72" s="248"/>
      <c r="K72" s="248"/>
      <c r="L72" s="248"/>
      <c r="M72" s="248"/>
      <c r="N72" s="248"/>
      <c r="O72" s="248"/>
      <c r="P72" s="248"/>
      <c r="Q72" s="248"/>
      <c r="R72" s="248"/>
      <c r="S72" s="248"/>
      <c r="T72" s="248"/>
      <c r="U72" s="248"/>
      <c r="V72" s="248"/>
      <c r="W72" s="248"/>
      <c r="X72" s="248"/>
      <c r="Y72" s="248"/>
      <c r="Z72" s="248"/>
      <c r="AA72" s="248"/>
      <c r="AB72" s="248"/>
      <c r="AC72" s="248"/>
      <c r="AD72" s="248"/>
      <c r="AE72" s="248"/>
      <c r="AF72" s="248"/>
      <c r="AG72" s="24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c r="BK72" s="248"/>
      <c r="BL72" s="248"/>
      <c r="BM72" s="248"/>
    </row>
    <row r="73" s="84" customFormat="1">
      <c r="A73" s="249"/>
      <c r="B73" s="249"/>
      <c r="C73" s="249"/>
      <c r="D73" s="249"/>
      <c r="E73" s="249"/>
      <c r="F73" s="249"/>
      <c r="G73" s="249"/>
      <c r="H73" s="249"/>
      <c r="I73" s="249"/>
      <c r="J73" s="249"/>
      <c r="K73" s="249"/>
      <c r="L73" s="249"/>
      <c r="M73" s="249"/>
      <c r="N73" s="249"/>
      <c r="O73" s="249"/>
      <c r="P73" s="249"/>
      <c r="Q73" s="249"/>
      <c r="R73" s="249"/>
      <c r="S73" s="249"/>
      <c r="T73" s="249"/>
      <c r="U73" s="249"/>
      <c r="V73" s="249"/>
      <c r="W73" s="249"/>
      <c r="X73" s="249"/>
      <c r="Y73" s="249"/>
      <c r="Z73" s="249"/>
      <c r="AA73" s="249"/>
      <c r="AB73" s="249"/>
      <c r="AC73" s="249"/>
      <c r="AD73" s="249"/>
      <c r="AE73" s="249"/>
      <c r="AF73" s="249"/>
      <c r="AG73" s="249"/>
      <c r="AH73" s="249"/>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c r="BL73" s="249"/>
      <c r="BM73" s="249"/>
    </row>
    <row r="74" s="84" customFormat="1">
      <c r="A74" s="249"/>
      <c r="B74" s="249"/>
      <c r="C74" s="249"/>
      <c r="D74" s="249"/>
      <c r="E74" s="249"/>
      <c r="F74" s="249"/>
      <c r="G74" s="249"/>
      <c r="H74" s="249"/>
      <c r="I74" s="249"/>
      <c r="J74" s="249"/>
      <c r="K74" s="249"/>
      <c r="L74" s="249"/>
      <c r="M74" s="249"/>
      <c r="N74" s="249"/>
      <c r="O74" s="249"/>
      <c r="P74" s="249"/>
      <c r="Q74" s="249"/>
      <c r="R74" s="249"/>
      <c r="S74" s="249"/>
      <c r="T74" s="249"/>
      <c r="U74" s="249"/>
      <c r="V74" s="249"/>
      <c r="W74" s="249"/>
      <c r="X74" s="249"/>
      <c r="Y74" s="249"/>
      <c r="Z74" s="249"/>
      <c r="AA74" s="249"/>
      <c r="AB74" s="249"/>
      <c r="AC74" s="249"/>
      <c r="AD74" s="249"/>
      <c r="AE74" s="249"/>
      <c r="AF74" s="249"/>
      <c r="AG74" s="249"/>
      <c r="AH74" s="249"/>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c r="BL74" s="249"/>
      <c r="BM74" s="249"/>
    </row>
    <row r="75" s="84" customFormat="1">
      <c r="A75" s="249"/>
      <c r="B75" s="249"/>
      <c r="C75" s="249"/>
      <c r="D75" s="249"/>
      <c r="E75" s="249"/>
      <c r="F75" s="249"/>
      <c r="G75" s="249"/>
      <c r="H75" s="249"/>
      <c r="I75" s="249"/>
      <c r="J75" s="249"/>
      <c r="K75" s="249"/>
      <c r="L75" s="249"/>
      <c r="M75" s="249"/>
      <c r="N75" s="249"/>
      <c r="O75" s="249"/>
      <c r="P75" s="249"/>
      <c r="Q75" s="249"/>
      <c r="R75" s="249"/>
      <c r="S75" s="249"/>
      <c r="T75" s="249"/>
      <c r="U75" s="249"/>
      <c r="V75" s="249"/>
      <c r="W75" s="249"/>
      <c r="X75" s="249"/>
      <c r="Y75" s="249"/>
      <c r="Z75" s="249"/>
      <c r="AA75" s="249"/>
      <c r="AB75" s="249"/>
      <c r="AC75" s="249"/>
      <c r="AD75" s="249"/>
      <c r="AE75" s="249"/>
      <c r="AF75" s="249"/>
      <c r="AG75" s="249"/>
      <c r="AH75" s="249"/>
      <c r="AI75" s="249"/>
      <c r="AJ75" s="249"/>
      <c r="AK75" s="249"/>
      <c r="AL75" s="249"/>
      <c r="AM75" s="249"/>
      <c r="AN75" s="249"/>
      <c r="AO75" s="249"/>
      <c r="AP75" s="249"/>
      <c r="AQ75" s="249"/>
      <c r="AR75" s="249"/>
      <c r="AS75" s="249"/>
      <c r="AT75" s="249"/>
      <c r="AU75" s="249"/>
      <c r="AV75" s="249"/>
      <c r="AW75" s="249"/>
      <c r="AX75" s="249"/>
      <c r="AY75" s="249"/>
      <c r="AZ75" s="249"/>
      <c r="BA75" s="249"/>
      <c r="BB75" s="249"/>
      <c r="BC75" s="249"/>
      <c r="BD75" s="249"/>
      <c r="BE75" s="249"/>
      <c r="BF75" s="249"/>
      <c r="BG75" s="249"/>
      <c r="BH75" s="249"/>
      <c r="BI75" s="249"/>
      <c r="BJ75" s="249"/>
      <c r="BK75" s="249"/>
      <c r="BL75" s="249"/>
      <c r="BM75" s="249"/>
    </row>
    <row r="76" s="84" customFormat="1">
      <c r="A76" s="250"/>
      <c r="B76" s="250"/>
      <c r="C76" s="250"/>
      <c r="D76" s="250"/>
      <c r="E76" s="250"/>
      <c r="F76" s="250"/>
      <c r="G76" s="250"/>
      <c r="H76" s="250"/>
      <c r="I76" s="249"/>
      <c r="J76" s="249"/>
      <c r="K76" s="249"/>
      <c r="L76" s="249"/>
      <c r="M76" s="249"/>
      <c r="N76" s="249"/>
      <c r="O76" s="249"/>
      <c r="P76" s="249"/>
      <c r="Q76" s="249"/>
      <c r="R76" s="249"/>
      <c r="S76" s="249"/>
      <c r="T76" s="249"/>
      <c r="U76" s="249"/>
      <c r="V76" s="249"/>
      <c r="W76" s="249"/>
      <c r="X76" s="249"/>
      <c r="Y76" s="249"/>
      <c r="Z76" s="249"/>
      <c r="AA76" s="249"/>
      <c r="AB76" s="249"/>
      <c r="AC76" s="249"/>
      <c r="AD76" s="249"/>
      <c r="AE76" s="249"/>
      <c r="AF76" s="249"/>
      <c r="AG76" s="249"/>
      <c r="AH76" s="249"/>
      <c r="AI76" s="249"/>
      <c r="AJ76" s="249"/>
      <c r="AK76" s="249"/>
      <c r="AL76" s="249"/>
      <c r="AM76" s="249"/>
      <c r="AN76" s="249"/>
      <c r="AO76" s="249"/>
      <c r="AP76" s="249"/>
      <c r="AQ76" s="249"/>
      <c r="AR76" s="249"/>
      <c r="AS76" s="249"/>
      <c r="AT76" s="249"/>
      <c r="AU76" s="249"/>
      <c r="AV76" s="249"/>
      <c r="AW76" s="249"/>
      <c r="AX76" s="249"/>
      <c r="AY76" s="249"/>
      <c r="AZ76" s="249"/>
      <c r="BA76" s="249"/>
      <c r="BB76" s="249"/>
      <c r="BC76" s="249"/>
      <c r="BD76" s="249"/>
      <c r="BE76" s="249"/>
      <c r="BF76" s="249"/>
      <c r="BG76" s="249"/>
      <c r="BH76" s="249"/>
      <c r="BI76" s="249"/>
      <c r="BJ76" s="249"/>
      <c r="BK76" s="249"/>
      <c r="BL76" s="249"/>
      <c r="BM76" s="249"/>
    </row>
    <row r="77" s="84" customFormat="1">
      <c r="A77" s="250"/>
      <c r="B77" s="250"/>
      <c r="C77" s="250"/>
      <c r="D77" s="250"/>
      <c r="E77" s="250"/>
      <c r="F77" s="250"/>
      <c r="G77" s="250"/>
      <c r="H77" s="250"/>
      <c r="I77" s="249"/>
      <c r="J77" s="249"/>
      <c r="K77" s="249"/>
      <c r="L77" s="249"/>
      <c r="M77" s="249"/>
      <c r="N77" s="249"/>
      <c r="O77" s="249"/>
      <c r="P77" s="249"/>
      <c r="Q77" s="249"/>
      <c r="R77" s="249"/>
      <c r="S77" s="249"/>
      <c r="T77" s="249"/>
      <c r="U77" s="249"/>
      <c r="V77" s="249"/>
      <c r="W77" s="249"/>
      <c r="X77" s="249"/>
      <c r="Y77" s="249"/>
      <c r="Z77" s="249"/>
      <c r="AA77" s="249"/>
      <c r="AB77" s="249"/>
      <c r="AC77" s="249"/>
      <c r="AD77" s="249"/>
      <c r="AE77" s="249"/>
      <c r="AF77" s="249"/>
      <c r="AG77" s="249"/>
      <c r="AH77" s="249"/>
      <c r="AI77" s="249"/>
      <c r="AJ77" s="249"/>
      <c r="AK77" s="249"/>
      <c r="AL77" s="249"/>
      <c r="AM77" s="249"/>
      <c r="AN77" s="249"/>
      <c r="AO77" s="249"/>
      <c r="AP77" s="249"/>
      <c r="AQ77" s="249"/>
      <c r="AR77" s="249"/>
      <c r="AS77" s="249"/>
      <c r="AT77" s="249"/>
      <c r="AU77" s="249"/>
      <c r="AV77" s="249"/>
      <c r="AW77" s="249"/>
      <c r="AX77" s="249"/>
      <c r="AY77" s="249"/>
      <c r="AZ77" s="249"/>
      <c r="BA77" s="249"/>
      <c r="BB77" s="249"/>
      <c r="BC77" s="249"/>
      <c r="BD77" s="249"/>
      <c r="BE77" s="249"/>
      <c r="BF77" s="249"/>
      <c r="BG77" s="249"/>
      <c r="BH77" s="249"/>
      <c r="BI77" s="249"/>
      <c r="BJ77" s="249"/>
      <c r="BK77" s="249"/>
      <c r="BL77" s="249"/>
      <c r="BM77" s="249"/>
    </row>
    <row r="78" s="84" customFormat="1">
      <c r="A78" s="250"/>
      <c r="B78" s="250"/>
      <c r="C78" s="250"/>
      <c r="D78" s="250"/>
      <c r="E78" s="250"/>
      <c r="F78" s="250"/>
      <c r="G78" s="250"/>
      <c r="H78" s="250"/>
      <c r="I78" s="249"/>
      <c r="J78" s="249"/>
      <c r="K78" s="249"/>
      <c r="L78" s="249"/>
      <c r="M78" s="249"/>
      <c r="N78" s="249"/>
      <c r="O78" s="249"/>
      <c r="P78" s="249"/>
      <c r="Q78" s="249"/>
      <c r="R78" s="249"/>
      <c r="S78" s="249"/>
      <c r="T78" s="249"/>
      <c r="U78" s="249"/>
      <c r="V78" s="249"/>
      <c r="W78" s="249"/>
      <c r="X78" s="249"/>
      <c r="Y78" s="249"/>
      <c r="Z78" s="249"/>
      <c r="AA78" s="249"/>
      <c r="AB78" s="249"/>
      <c r="AC78" s="249"/>
      <c r="AD78" s="249"/>
      <c r="AE78" s="249"/>
      <c r="AF78" s="249"/>
      <c r="AG78" s="249"/>
      <c r="AH78" s="249"/>
      <c r="AI78" s="249"/>
      <c r="AJ78" s="249"/>
      <c r="AK78" s="249"/>
      <c r="AL78" s="249"/>
      <c r="AM78" s="249"/>
      <c r="AN78" s="249"/>
      <c r="AO78" s="249"/>
      <c r="AP78" s="249"/>
      <c r="AQ78" s="249"/>
      <c r="AR78" s="249"/>
      <c r="AS78" s="249"/>
      <c r="AT78" s="249"/>
      <c r="AU78" s="249"/>
      <c r="AV78" s="249"/>
      <c r="AW78" s="249"/>
      <c r="AX78" s="249"/>
      <c r="AY78" s="249"/>
      <c r="AZ78" s="249"/>
      <c r="BA78" s="249"/>
      <c r="BB78" s="249"/>
      <c r="BC78" s="249"/>
      <c r="BD78" s="249"/>
      <c r="BE78" s="249"/>
      <c r="BF78" s="249"/>
      <c r="BG78" s="249"/>
      <c r="BH78" s="249"/>
      <c r="BI78" s="249"/>
      <c r="BJ78" s="249"/>
      <c r="BK78" s="249"/>
      <c r="BL78" s="249"/>
      <c r="BM78" s="249"/>
    </row>
    <row r="79" s="84" customFormat="1">
      <c r="A79" s="249"/>
      <c r="B79" s="249"/>
      <c r="C79" s="249"/>
      <c r="D79" s="249"/>
      <c r="E79" s="249"/>
      <c r="F79" s="249"/>
      <c r="G79" s="249"/>
      <c r="H79" s="249"/>
      <c r="I79" s="249"/>
      <c r="J79" s="249"/>
      <c r="K79" s="249"/>
      <c r="L79" s="249"/>
      <c r="M79" s="249"/>
      <c r="N79" s="249"/>
      <c r="O79" s="249"/>
      <c r="P79" s="249"/>
      <c r="Q79" s="249"/>
      <c r="R79" s="249"/>
      <c r="S79" s="249"/>
      <c r="T79" s="249"/>
      <c r="U79" s="249"/>
      <c r="V79" s="249"/>
      <c r="W79" s="249"/>
      <c r="X79" s="249"/>
      <c r="Y79" s="249"/>
      <c r="Z79" s="249"/>
      <c r="AA79" s="249"/>
      <c r="AB79" s="249"/>
      <c r="AC79" s="249"/>
      <c r="AD79" s="249"/>
      <c r="AE79" s="249"/>
      <c r="AF79" s="249"/>
      <c r="AG79" s="249"/>
      <c r="AH79" s="249"/>
      <c r="AI79" s="249"/>
      <c r="AJ79" s="249"/>
      <c r="AK79" s="249"/>
      <c r="AL79" s="249"/>
      <c r="AM79" s="249"/>
      <c r="AN79" s="249"/>
      <c r="AO79" s="249"/>
      <c r="AP79" s="249"/>
      <c r="AQ79" s="249"/>
      <c r="AR79" s="249"/>
      <c r="AS79" s="249"/>
      <c r="AT79" s="249"/>
      <c r="AU79" s="249"/>
      <c r="AV79" s="249"/>
      <c r="AW79" s="249"/>
      <c r="AX79" s="249"/>
      <c r="AY79" s="249"/>
      <c r="AZ79" s="249"/>
      <c r="BA79" s="249"/>
      <c r="BB79" s="249"/>
      <c r="BC79" s="249"/>
      <c r="BD79" s="249"/>
      <c r="BE79" s="249"/>
      <c r="BF79" s="249"/>
      <c r="BG79" s="249"/>
      <c r="BH79" s="249"/>
      <c r="BI79" s="249"/>
      <c r="BJ79" s="249"/>
      <c r="BK79" s="249"/>
      <c r="BL79" s="249"/>
      <c r="BM79" s="249"/>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c r="BL80" s="244"/>
      <c r="BM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c r="BL81" s="244"/>
      <c r="BM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c r="BL82" s="244"/>
      <c r="BM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c r="BL83" s="244"/>
      <c r="BM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c r="BL84" s="244"/>
      <c r="BM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c r="BL85" s="244"/>
      <c r="BM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c r="BL86" s="244"/>
      <c r="BM86" s="244"/>
    </row>
    <row r="87">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c r="BL87" s="244"/>
      <c r="BM87" s="244"/>
    </row>
    <row r="88">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c r="BL88" s="244"/>
      <c r="BM88" s="244"/>
    </row>
    <row r="89">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c r="BL89" s="244"/>
      <c r="BM89" s="244"/>
    </row>
    <row r="90">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c r="BL90" s="244"/>
      <c r="BM90" s="244"/>
    </row>
    <row r="9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c r="BL91" s="244"/>
      <c r="BM91" s="244"/>
    </row>
    <row r="92">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c r="BL92" s="244"/>
      <c r="BM92" s="244"/>
    </row>
    <row r="93">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c r="BL93" s="244"/>
      <c r="BM93" s="244"/>
    </row>
    <row r="94">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c r="BL94" s="244"/>
      <c r="BM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c r="BL95" s="244"/>
      <c r="BM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c r="BL96" s="244"/>
      <c r="BM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c r="BL97" s="244"/>
      <c r="BM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c r="BL98" s="244"/>
      <c r="BM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c r="BL99" s="244"/>
      <c r="BM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c r="BL100" s="244"/>
      <c r="BM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row>
  </sheetData>
  <mergeCells count="8">
    <mergeCell ref="B62:AK62"/>
    <mergeCell ref="T4:AI4"/>
    <mergeCell ref="B48:B49"/>
    <mergeCell ref="X22:AD22"/>
    <mergeCell ref="X35:AD35"/>
    <mergeCell ref="X47:AD47"/>
    <mergeCell ref="B24:B25"/>
    <mergeCell ref="B36:B37"/>
  </mergeCells>
  <phoneticPr fontId="0" type="noConversion"/>
  <printOptions horizontalCentered="1" verticalCentered="1"/>
  <pageMargins left="0.25" right="0.25" top="0.25" bottom="0.25" header="0" footer="0"/>
  <pageSetup scale="45" orientation="landscape" r:id="rId1"/>
  <headerFooter alignWithMargins="0">
    <oddHeader/>
    <oddFooter/>
  </headerFooter>
  <drawing r:id="rId30"/>
</worksheet>
</file>

<file path=xl/worksheets/sheet3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105"/>
  <sheetViews>
    <sheetView showGridLines="0" zoomScale="75"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123</v>
      </c>
      <c r="B1" s="39"/>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5" customHeight="1">
      <c r="A2" s="10" t="s">
        <v>141</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7.1" customHeight="1">
      <c r="A3" s="10" t="s">
        <v>142</v>
      </c>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7.1" customHeight="1">
      <c r="A4" t="s">
        <v>143</v>
      </c>
      <c r="B4" s="442"/>
      <c r="C4" s="211"/>
      <c r="D4" s="212"/>
      <c r="E4" s="212"/>
      <c r="F4" s="212"/>
      <c r="G4" s="212"/>
      <c r="H4" s="212"/>
      <c r="I4" s="212"/>
      <c r="J4" s="212"/>
      <c r="K4" s="212"/>
      <c r="L4" s="212"/>
      <c r="M4" s="212"/>
      <c r="N4" s="212"/>
      <c r="O4" s="212"/>
      <c r="P4" s="212"/>
      <c r="Q4" s="212"/>
      <c r="R4" s="665" t="s">
        <v>146</v>
      </c>
      <c r="S4" s="665"/>
      <c r="T4" s="665"/>
      <c r="U4" s="665"/>
      <c r="V4" s="665"/>
      <c r="W4" s="665"/>
      <c r="X4" s="665"/>
      <c r="Y4" s="665"/>
      <c r="Z4" s="665"/>
      <c r="AA4" s="665"/>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row>
    <row r="7" ht="15.75">
      <c r="D7" s="621" t="s">
        <v>54</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5.75">
      <c r="D8" s="619" t="s">
        <v>21</v>
      </c>
      <c r="E8" s="619"/>
      <c r="F8" s="619"/>
      <c r="G8" s="619" t="s">
        <v>24</v>
      </c>
      <c r="H8" s="619"/>
      <c r="I8" s="619"/>
      <c r="J8" s="619" t="s">
        <v>25</v>
      </c>
      <c r="K8" s="619"/>
      <c r="L8" s="619"/>
      <c r="M8" s="619" t="s">
        <v>23</v>
      </c>
      <c r="N8" s="619"/>
      <c r="O8" s="619"/>
      <c r="Q8" s="619" t="s">
        <v>21</v>
      </c>
      <c r="R8" s="619"/>
      <c r="S8" s="619"/>
      <c r="T8" s="619" t="s">
        <v>24</v>
      </c>
      <c r="U8" s="619"/>
      <c r="V8" s="619"/>
      <c r="W8" s="619" t="s">
        <v>25</v>
      </c>
      <c r="X8" s="619"/>
      <c r="Y8" s="619"/>
      <c r="Z8" s="619" t="s">
        <v>23</v>
      </c>
      <c r="AA8" s="619"/>
      <c r="AB8" s="619"/>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27" customHeight="1">
      <c r="A9" s="92"/>
      <c r="D9" s="339" t="s">
        <v>63</v>
      </c>
      <c r="E9" s="340" t="s">
        <v>26</v>
      </c>
      <c r="F9" s="341" t="s">
        <v>147</v>
      </c>
      <c r="G9" s="339" t="s">
        <v>63</v>
      </c>
      <c r="H9" s="340" t="s">
        <v>26</v>
      </c>
      <c r="I9" s="341" t="s">
        <v>147</v>
      </c>
      <c r="J9" s="340" t="s">
        <v>63</v>
      </c>
      <c r="K9" s="340" t="s">
        <v>26</v>
      </c>
      <c r="L9" s="341" t="s">
        <v>147</v>
      </c>
      <c r="M9" s="339" t="s">
        <v>63</v>
      </c>
      <c r="N9" s="340" t="s">
        <v>26</v>
      </c>
      <c r="O9" s="341" t="s">
        <v>147</v>
      </c>
      <c r="P9" s="96"/>
      <c r="Q9" s="339" t="s">
        <v>63</v>
      </c>
      <c r="R9" s="340" t="s">
        <v>26</v>
      </c>
      <c r="S9" s="341" t="s">
        <v>147</v>
      </c>
      <c r="T9" s="339" t="s">
        <v>63</v>
      </c>
      <c r="U9" s="340" t="s">
        <v>26</v>
      </c>
      <c r="V9" s="341" t="s">
        <v>147</v>
      </c>
      <c r="W9" s="340" t="s">
        <v>63</v>
      </c>
      <c r="X9" s="340" t="s">
        <v>26</v>
      </c>
      <c r="Y9" s="341" t="s">
        <v>147</v>
      </c>
      <c r="Z9" s="339" t="s">
        <v>63</v>
      </c>
      <c r="AA9" s="340" t="s">
        <v>26</v>
      </c>
      <c r="AB9" s="341" t="s">
        <v>147</v>
      </c>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5.6" customHeight="1">
      <c r="A10" s="92" t="s">
        <v>145</v>
      </c>
      <c r="B10" s="342">
        <v>10</v>
      </c>
      <c r="C10" s="350" t="s">
        <v>49</v>
      </c>
      <c r="D10" s="354">
        <v>22.580645161290322580645161290</v>
      </c>
      <c r="E10" s="355"/>
      <c r="F10" s="356">
        <v>51.221471523763088853288755770</v>
      </c>
      <c r="G10" s="354">
        <v>0</v>
      </c>
      <c r="H10" s="355"/>
      <c r="I10" s="356">
        <v>7.7945717536161222168048106600</v>
      </c>
      <c r="J10" s="355">
        <v>1.6129032258064516129032258100</v>
      </c>
      <c r="K10" s="355"/>
      <c r="L10" s="356">
        <v>0.3036846137772515149404471700</v>
      </c>
      <c r="M10" s="354">
        <v>24.193548387096774193548387100</v>
      </c>
      <c r="N10" s="355">
        <v>56.896551724137931034482758620</v>
      </c>
      <c r="O10" s="356">
        <v>59.319727891156462585034013610</v>
      </c>
      <c r="P10" s="4"/>
      <c r="Q10" s="354">
        <v>23.529411764524221453287464380</v>
      </c>
      <c r="R10" s="355"/>
      <c r="S10" s="356">
        <v>12.934550626122534570958041810</v>
      </c>
      <c r="T10" s="354">
        <v>0</v>
      </c>
      <c r="U10" s="355"/>
      <c r="V10" s="356">
        <v>926.8451260988560649724590664</v>
      </c>
      <c r="W10" s="355">
        <v>50.000000000600000000002400330</v>
      </c>
      <c r="X10" s="355"/>
      <c r="Y10" s="356">
        <v>60.027811880643806715270109460</v>
      </c>
      <c r="Z10" s="354">
        <v>24.999999999854166666666836820</v>
      </c>
      <c r="AA10" s="355">
        <v>143.44262295059618382155355104</v>
      </c>
      <c r="AB10" s="356">
        <v>28.109696376056062645272026980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5.6" customHeight="1">
      <c r="A11" s="92"/>
      <c r="B11" s="344">
        <v>11</v>
      </c>
      <c r="C11" s="351" t="s">
        <v>47</v>
      </c>
      <c r="D11" s="327">
        <v>37.634408602150537634408602150</v>
      </c>
      <c r="E11" s="171"/>
      <c r="F11" s="328">
        <v>71.156828322726940238460975790</v>
      </c>
      <c r="G11" s="327">
        <v>0</v>
      </c>
      <c r="H11" s="171"/>
      <c r="I11" s="328">
        <v>8.975568722112500914344232320</v>
      </c>
      <c r="J11" s="171">
        <v>1.075268817204301075268817200</v>
      </c>
      <c r="K11" s="171"/>
      <c r="L11" s="328">
        <v>0.1850632726208763075122522100</v>
      </c>
      <c r="M11" s="327">
        <v>38.709677419354838709677419350</v>
      </c>
      <c r="N11" s="171">
        <v>65.517241379310344827586206900</v>
      </c>
      <c r="O11" s="328">
        <v>80.31746031746031746031746032</v>
      </c>
      <c r="P11" s="4"/>
      <c r="Q11" s="327">
        <v>66.666666666595238095238125850</v>
      </c>
      <c r="R11" s="171"/>
      <c r="S11" s="328">
        <v>19.295340856278708827292949950</v>
      </c>
      <c r="T11" s="327">
        <v>-100</v>
      </c>
      <c r="U11" s="171"/>
      <c r="V11" s="328">
        <v>20.739531773804796678169607520</v>
      </c>
      <c r="W11" s="171">
        <v>-33.333333333066666666665600270</v>
      </c>
      <c r="X11" s="171"/>
      <c r="Y11" s="328">
        <v>-30.294703313346069937841124060</v>
      </c>
      <c r="Z11" s="327">
        <v>50.000000000018750000000002330</v>
      </c>
      <c r="AA11" s="171">
        <v>55.454545454662752066115790990</v>
      </c>
      <c r="AB11" s="328">
        <v>19.259259259277328843995513400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5.6" customHeight="1">
      <c r="A12" s="92"/>
      <c r="B12" s="346">
        <v>12</v>
      </c>
      <c r="C12" s="352" t="s">
        <v>48</v>
      </c>
      <c r="D12" s="359">
        <v>40.322580645161290322580645160</v>
      </c>
      <c r="E12" s="170"/>
      <c r="F12" s="360">
        <v>66.434430915223232150002858290</v>
      </c>
      <c r="G12" s="359">
        <v>0</v>
      </c>
      <c r="H12" s="170"/>
      <c r="I12" s="360">
        <v>21.588873644695973627546256600</v>
      </c>
      <c r="J12" s="170">
        <v>1.075268817204301075268817200</v>
      </c>
      <c r="K12" s="170"/>
      <c r="L12" s="360">
        <v>0.1853122201261456963737876100</v>
      </c>
      <c r="M12" s="359">
        <v>41.397849462365591397849462370</v>
      </c>
      <c r="N12" s="170">
        <v>73.371647509578544061302681990</v>
      </c>
      <c r="O12" s="360">
        <v>88.20861678004535147392290249</v>
      </c>
      <c r="P12" s="4"/>
      <c r="Q12" s="359">
        <v>33.928571428662308673469449420</v>
      </c>
      <c r="R12" s="170"/>
      <c r="S12" s="360">
        <v>-5.1290142075231804735597653100</v>
      </c>
      <c r="T12" s="359">
        <v>-100</v>
      </c>
      <c r="U12" s="170"/>
      <c r="V12" s="360">
        <v>313.85037076068044082120945463</v>
      </c>
      <c r="W12" s="170">
        <v>0.000000000400000000001599600</v>
      </c>
      <c r="X12" s="170"/>
      <c r="Y12" s="360">
        <v>4.7947290646855771460251514300</v>
      </c>
      <c r="Z12" s="359">
        <v>2.666666666568106666666761300</v>
      </c>
      <c r="AA12" s="170">
        <v>64.377682403324831918068188730</v>
      </c>
      <c r="AB12" s="360">
        <v>16.957306073340999627924672940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15.6" customHeight="1">
      <c r="A13" s="92"/>
      <c r="B13" s="344">
        <v>13</v>
      </c>
      <c r="C13" s="351" t="s">
        <v>50</v>
      </c>
      <c r="D13" s="327">
        <v>34.946236559139784946236559140</v>
      </c>
      <c r="E13" s="171"/>
      <c r="F13" s="328">
        <v>68.043091367538599779465390250</v>
      </c>
      <c r="G13" s="327">
        <v>0</v>
      </c>
      <c r="H13" s="171"/>
      <c r="I13" s="328">
        <v>17.886153363650619413517327900</v>
      </c>
      <c r="J13" s="171">
        <v>1.6129032258064516129032258100</v>
      </c>
      <c r="K13" s="171"/>
      <c r="L13" s="328">
        <v>0.2839071962484225303732909200</v>
      </c>
      <c r="M13" s="327">
        <v>36.559139784946236559139784950</v>
      </c>
      <c r="N13" s="171">
        <v>73.563218390804597701149425290</v>
      </c>
      <c r="O13" s="328">
        <v>86.21315192743764172335600907</v>
      </c>
      <c r="P13" s="4"/>
      <c r="Q13" s="327">
        <v>1.562500000111083984375121500</v>
      </c>
      <c r="R13" s="171"/>
      <c r="S13" s="328">
        <v>-2.6525569674394299582166990300</v>
      </c>
      <c r="T13" s="327">
        <v>-100</v>
      </c>
      <c r="U13" s="171"/>
      <c r="V13" s="328">
        <v>399.30233001155662415600986134</v>
      </c>
      <c r="W13" s="171">
        <v>0.0000000004000000000016002200</v>
      </c>
      <c r="X13" s="171"/>
      <c r="Y13" s="328">
        <v>8.314262068014826271467565780</v>
      </c>
      <c r="Z13" s="327">
        <v>-20.000000000030117647058812180</v>
      </c>
      <c r="AA13" s="171">
        <v>44.360902255724845949460167390</v>
      </c>
      <c r="AB13" s="328">
        <v>16.912669126753821661832887960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5.6" customHeight="1">
      <c r="A14" s="92"/>
      <c r="B14" s="346">
        <v>14</v>
      </c>
      <c r="C14" s="352" t="s">
        <v>51</v>
      </c>
      <c r="D14" s="359">
        <v>42.473118279569892473118279570</v>
      </c>
      <c r="E14" s="170"/>
      <c r="F14" s="360">
        <v>61.370933375636491450718376050</v>
      </c>
      <c r="G14" s="359">
        <v>0</v>
      </c>
      <c r="H14" s="170"/>
      <c r="I14" s="360">
        <v>9.099160468942949836541841240</v>
      </c>
      <c r="J14" s="170">
        <v>0.537634408602150537634408600</v>
      </c>
      <c r="K14" s="170"/>
      <c r="L14" s="360">
        <v>0.0967995794568398918781046900</v>
      </c>
      <c r="M14" s="359">
        <v>43.010752688172043010752688170</v>
      </c>
      <c r="N14" s="170">
        <v>64.367816091954022988505747130</v>
      </c>
      <c r="O14" s="360">
        <v>70.56689342403628117913832200</v>
      </c>
      <c r="P14" s="4"/>
      <c r="Q14" s="359">
        <v>64.583333333353906250000002570</v>
      </c>
      <c r="R14" s="170"/>
      <c r="S14" s="360">
        <v>12.088199794738194083318300380</v>
      </c>
      <c r="T14" s="359">
        <v>-100</v>
      </c>
      <c r="U14" s="170"/>
      <c r="V14" s="360">
        <v>73.229397158631287824455921440</v>
      </c>
      <c r="W14" s="170">
        <v>-66.666666666533333333332800130</v>
      </c>
      <c r="X14" s="170"/>
      <c r="Y14" s="360">
        <v>-63.756970098246855931444821230</v>
      </c>
      <c r="Z14" s="359">
        <v>21.212121212264462809917524660</v>
      </c>
      <c r="AA14" s="170">
        <v>48.017621145422701779580446180</v>
      </c>
      <c r="AB14" s="360">
        <v>17.080511662977119204004481670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5.6" customHeight="1">
      <c r="A15" s="92"/>
      <c r="B15" s="344">
        <v>15</v>
      </c>
      <c r="C15" s="351" t="s">
        <v>52</v>
      </c>
      <c r="D15" s="327">
        <v>45.698924731182795698924731180</v>
      </c>
      <c r="E15" s="171"/>
      <c r="F15" s="328">
        <v>57.343358395989974937343358390</v>
      </c>
      <c r="G15" s="327">
        <v>0</v>
      </c>
      <c r="H15" s="171"/>
      <c r="I15" s="328">
        <v>8.414017499890076067361385920</v>
      </c>
      <c r="J15" s="171">
        <v>1.6129032258064516129032258100</v>
      </c>
      <c r="K15" s="171"/>
      <c r="L15" s="328">
        <v>0.2743701358659807413270017100</v>
      </c>
      <c r="M15" s="327">
        <v>47.311827956989247311827956990</v>
      </c>
      <c r="N15" s="171">
        <v>69.348659003831417624521072800</v>
      </c>
      <c r="O15" s="328">
        <v>66.031746031746031746031746030</v>
      </c>
      <c r="P15" s="4"/>
      <c r="Q15" s="327">
        <v>46.551724138047265160523278860</v>
      </c>
      <c r="R15" s="171"/>
      <c r="S15" s="328">
        <v>5.6747004518134734572633307800</v>
      </c>
      <c r="T15" s="327">
        <v>-100</v>
      </c>
      <c r="U15" s="171"/>
      <c r="V15" s="328">
        <v>94.31608361381489292093990825</v>
      </c>
      <c r="W15" s="171">
        <v>0</v>
      </c>
      <c r="X15" s="171"/>
      <c r="Y15" s="328">
        <v>0</v>
      </c>
      <c r="Z15" s="327">
        <v>49.15254237300775639184153200</v>
      </c>
      <c r="AA15" s="171">
        <v>37.121212121152909779614350640</v>
      </c>
      <c r="AB15" s="328">
        <v>12.693498451993194605526750380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5.6" customHeight="1">
      <c r="A16" s="92"/>
      <c r="B16" s="346">
        <v>16</v>
      </c>
      <c r="C16" s="352" t="s">
        <v>53</v>
      </c>
      <c r="D16" s="359">
        <v>54.301075268817204301075268820</v>
      </c>
      <c r="E16" s="170"/>
      <c r="F16" s="360">
        <v>62.294483010595542564852027770</v>
      </c>
      <c r="G16" s="359">
        <v>0</v>
      </c>
      <c r="H16" s="170"/>
      <c r="I16" s="360">
        <v>7.8205195121526871618212502400</v>
      </c>
      <c r="J16" s="170">
        <v>1.075268817204301075268817200</v>
      </c>
      <c r="K16" s="170"/>
      <c r="L16" s="360">
        <v>0.1797820577506364864786494300</v>
      </c>
      <c r="M16" s="359">
        <v>55.376344086021505376344086020</v>
      </c>
      <c r="N16" s="170">
        <v>69.540229885057471264367816090</v>
      </c>
      <c r="O16" s="360">
        <v>70.294784580498866213151927440</v>
      </c>
      <c r="P16" s="4"/>
      <c r="Q16" s="359">
        <v>21.686746987893163013499810530</v>
      </c>
      <c r="R16" s="170"/>
      <c r="S16" s="360">
        <v>4.8847264000788804262153632200</v>
      </c>
      <c r="T16" s="359">
        <v>-100</v>
      </c>
      <c r="U16" s="170"/>
      <c r="V16" s="360">
        <v>17.651096931904459199985225620</v>
      </c>
      <c r="W16" s="170">
        <v>0.000000000400000000001599600</v>
      </c>
      <c r="X16" s="170"/>
      <c r="Y16" s="360">
        <v>4.1279823451633648961741566400</v>
      </c>
      <c r="Z16" s="359">
        <v>6.1855670103267934955893322500</v>
      </c>
      <c r="AA16" s="170">
        <v>42.913385826823417446834912410</v>
      </c>
      <c r="AB16" s="360">
        <v>6.1643835617041893413398729300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15.6" customHeight="1">
      <c r="A17" s="92"/>
      <c r="B17" s="344">
        <v>17</v>
      </c>
      <c r="C17" s="351" t="s">
        <v>49</v>
      </c>
      <c r="D17" s="327">
        <v>22.043010752688172043010752690</v>
      </c>
      <c r="E17" s="171"/>
      <c r="F17" s="328">
        <v>45.351473922902494331065759640</v>
      </c>
      <c r="G17" s="327">
        <v>0</v>
      </c>
      <c r="H17" s="171"/>
      <c r="I17" s="328">
        <v>4.3335852859662383471907281400</v>
      </c>
      <c r="J17" s="171">
        <v>1.075268817204301075268817200</v>
      </c>
      <c r="K17" s="171"/>
      <c r="L17" s="328">
        <v>0.2015621063240110859158478200</v>
      </c>
      <c r="M17" s="327">
        <v>23.118279569892473118279569890</v>
      </c>
      <c r="N17" s="171">
        <v>50.383141762452107279693486590</v>
      </c>
      <c r="O17" s="328">
        <v>49.886621315192743764172335600</v>
      </c>
      <c r="P17" s="4"/>
      <c r="Q17" s="327">
        <v>10.810810810697005113221446330</v>
      </c>
      <c r="R17" s="171"/>
      <c r="S17" s="328">
        <v>12.580516445419512316848666910</v>
      </c>
      <c r="T17" s="327">
        <v>-100</v>
      </c>
      <c r="U17" s="171"/>
      <c r="V17" s="328">
        <v>-6.9130169695345992347383758600</v>
      </c>
      <c r="W17" s="171">
        <v>100.00000000080000000000319920</v>
      </c>
      <c r="X17" s="171"/>
      <c r="Y17" s="328">
        <v>112.15172881723524896962243918</v>
      </c>
      <c r="Z17" s="327">
        <v>-10.416666666655468749999998610</v>
      </c>
      <c r="AA17" s="171">
        <v>132.74336283233213250841979107</v>
      </c>
      <c r="AB17" s="328">
        <v>10.775427996075549998022507810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5.6" customHeight="1">
      <c r="A18" s="92"/>
      <c r="B18" s="346">
        <v>18</v>
      </c>
      <c r="C18" s="352" t="s">
        <v>47</v>
      </c>
      <c r="D18" s="359">
        <v>28.494623655913978494623655910</v>
      </c>
      <c r="E18" s="170"/>
      <c r="F18" s="360">
        <v>67.109037900874635568513119530</v>
      </c>
      <c r="G18" s="359">
        <v>0</v>
      </c>
      <c r="H18" s="170"/>
      <c r="I18" s="360">
        <v>8.213022351797862001943634600</v>
      </c>
      <c r="J18" s="170">
        <v>1.6129032258064516129032258100</v>
      </c>
      <c r="K18" s="170"/>
      <c r="L18" s="360">
        <v>0.3241982507288629737609329400</v>
      </c>
      <c r="M18" s="359">
        <v>30.107526881720430107526881720</v>
      </c>
      <c r="N18" s="170">
        <v>63.218390804597701149425287360</v>
      </c>
      <c r="O18" s="360">
        <v>75.646258503401360544217687070</v>
      </c>
      <c r="P18" s="4"/>
      <c r="Q18" s="359">
        <v>65.624999999699804687500544080</v>
      </c>
      <c r="R18" s="170"/>
      <c r="S18" s="360">
        <v>18.425898499958625304876288210</v>
      </c>
      <c r="T18" s="359">
        <v>-100</v>
      </c>
      <c r="U18" s="170"/>
      <c r="V18" s="360">
        <v>-29.667945586220124628011964750</v>
      </c>
      <c r="W18" s="170">
        <v>50.000000000600000000002400330</v>
      </c>
      <c r="X18" s="170"/>
      <c r="Y18" s="360">
        <v>79.069112255227068161990789740</v>
      </c>
      <c r="Z18" s="359">
        <v>7.6923076923532544378698417600</v>
      </c>
      <c r="AA18" s="170">
        <v>89.65517241398275862068984484</v>
      </c>
      <c r="AB18" s="360">
        <v>10.390469887500859568984736990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5.6" customHeight="1">
      <c r="A19" s="92"/>
      <c r="B19" s="344">
        <v>19</v>
      </c>
      <c r="C19" s="351" t="s">
        <v>48</v>
      </c>
      <c r="D19" s="327">
        <v>34.946236559139784946236559140</v>
      </c>
      <c r="E19" s="171"/>
      <c r="F19" s="328">
        <v>74.896938651055006708135138430</v>
      </c>
      <c r="G19" s="327">
        <v>0</v>
      </c>
      <c r="H19" s="171"/>
      <c r="I19" s="328">
        <v>9.362117331381875838516892300</v>
      </c>
      <c r="J19" s="171">
        <v>1.075268817204301075268817200</v>
      </c>
      <c r="K19" s="171"/>
      <c r="L19" s="328">
        <v>0.1853884620075618977924137100</v>
      </c>
      <c r="M19" s="327">
        <v>36.021505376344086021505376340</v>
      </c>
      <c r="N19" s="171">
        <v>69.348659003831417624521072800</v>
      </c>
      <c r="O19" s="328">
        <v>84.44444444444444444444444444</v>
      </c>
      <c r="P19" s="4"/>
      <c r="Q19" s="327">
        <v>75.675675675495252008765707580</v>
      </c>
      <c r="R19" s="171"/>
      <c r="S19" s="328">
        <v>6.5098802345652269107419790300</v>
      </c>
      <c r="T19" s="327">
        <v>-100</v>
      </c>
      <c r="U19" s="171"/>
      <c r="V19" s="328">
        <v>14.995557506038107129159473510</v>
      </c>
      <c r="W19" s="171">
        <v>0.000000000400000000001599600</v>
      </c>
      <c r="X19" s="171"/>
      <c r="Y19" s="328">
        <v>3.6098587386097715197519560600</v>
      </c>
      <c r="Z19" s="327">
        <v>9.836065573874926095135815490</v>
      </c>
      <c r="AA19" s="171">
        <v>45.381526104379135820390003930</v>
      </c>
      <c r="AB19" s="328">
        <v>7.3817762399253770508814179500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5.6" customHeight="1">
      <c r="A20" s="92"/>
      <c r="B20" s="346">
        <v>20</v>
      </c>
      <c r="C20" s="352" t="s">
        <v>50</v>
      </c>
      <c r="D20" s="359">
        <v>33.333333333333333333333333330</v>
      </c>
      <c r="E20" s="170"/>
      <c r="F20" s="360">
        <v>71.039821961267105450068658550</v>
      </c>
      <c r="G20" s="359">
        <v>0</v>
      </c>
      <c r="H20" s="170"/>
      <c r="I20" s="360">
        <v>9.359660337452846567861483340</v>
      </c>
      <c r="J20" s="170">
        <v>1.6129032258064516129032258100</v>
      </c>
      <c r="K20" s="170"/>
      <c r="L20" s="360">
        <v>0.280789810123585397035844500</v>
      </c>
      <c r="M20" s="359">
        <v>34.946236559139784946236559140</v>
      </c>
      <c r="N20" s="170">
        <v>69.540229885057471264367816090</v>
      </c>
      <c r="O20" s="360">
        <v>80.68027210884353741496598639</v>
      </c>
      <c r="P20" s="4"/>
      <c r="Q20" s="359">
        <v>106.66666666621200000000100025</v>
      </c>
      <c r="R20" s="170"/>
      <c r="S20" s="360">
        <v>7.3522862996791623416125372200</v>
      </c>
      <c r="T20" s="359">
        <v>-100</v>
      </c>
      <c r="U20" s="170"/>
      <c r="V20" s="360">
        <v>40.496184967436248263679652400</v>
      </c>
      <c r="W20" s="170">
        <v>200.00000000120000000000480066</v>
      </c>
      <c r="X20" s="170"/>
      <c r="Y20" s="360">
        <v>216.11641613877022335519951732</v>
      </c>
      <c r="Z20" s="359">
        <v>16.071428571507334183673522830</v>
      </c>
      <c r="AA20" s="170">
        <v>45.200000000040656000000011380</v>
      </c>
      <c r="AB20" s="360">
        <v>10.634328358250236689685914260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15.6" customHeight="1">
      <c r="A21" s="92"/>
      <c r="B21" s="344">
        <v>21</v>
      </c>
      <c r="C21" s="351" t="s">
        <v>51</v>
      </c>
      <c r="D21" s="327">
        <v>30.107526881720430107526881720</v>
      </c>
      <c r="E21" s="171"/>
      <c r="F21" s="328">
        <v>56.343511529421509852038227770</v>
      </c>
      <c r="G21" s="327">
        <v>0</v>
      </c>
      <c r="H21" s="171"/>
      <c r="I21" s="328">
        <v>8.402102596492681293724998880</v>
      </c>
      <c r="J21" s="171">
        <v>1.075268817204301075268817200</v>
      </c>
      <c r="K21" s="171"/>
      <c r="L21" s="328">
        <v>0.1976965316821807363229411500</v>
      </c>
      <c r="M21" s="327">
        <v>31.182795698924731182795698920</v>
      </c>
      <c r="N21" s="171">
        <v>60.153256704980842911877394640</v>
      </c>
      <c r="O21" s="328">
        <v>64.943310657596371882086167800</v>
      </c>
      <c r="P21" s="4"/>
      <c r="Q21" s="327">
        <v>123.99999999922944000000265072</v>
      </c>
      <c r="R21" s="171"/>
      <c r="S21" s="328">
        <v>5.3077803359123612236811094600</v>
      </c>
      <c r="T21" s="327">
        <v>-100</v>
      </c>
      <c r="U21" s="171"/>
      <c r="V21" s="328">
        <v>86.00268959510902043660909991</v>
      </c>
      <c r="W21" s="171">
        <v>-33.333333333066666666665600270</v>
      </c>
      <c r="X21" s="171"/>
      <c r="Y21" s="328">
        <v>-34.351991914875039584478810030</v>
      </c>
      <c r="Z21" s="327">
        <v>5.4545454546106446280992138400</v>
      </c>
      <c r="AA21" s="171">
        <v>51.317198543406777090603090320</v>
      </c>
      <c r="AB21" s="328">
        <v>11.353032659318535055109651730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15.6" customHeight="1">
      <c r="A22" s="92"/>
      <c r="B22" s="346">
        <v>22</v>
      </c>
      <c r="C22" s="352" t="s">
        <v>52</v>
      </c>
      <c r="D22" s="359">
        <v>40.860215053763440860215053760</v>
      </c>
      <c r="E22" s="170"/>
      <c r="F22" s="360">
        <v>59.609205384281372123317412070</v>
      </c>
      <c r="G22" s="359">
        <v>0</v>
      </c>
      <c r="H22" s="170"/>
      <c r="I22" s="360">
        <v>7.54667824576639166304819800</v>
      </c>
      <c r="J22" s="170">
        <v>1.075268817204301075268817200</v>
      </c>
      <c r="K22" s="170"/>
      <c r="L22" s="360">
        <v>0.1910551454624402952670429900</v>
      </c>
      <c r="M22" s="359">
        <v>41.935483870967741935483870970</v>
      </c>
      <c r="N22" s="170">
        <v>60.344827586206896551724137930</v>
      </c>
      <c r="O22" s="360">
        <v>67.346938775510204081632653060</v>
      </c>
      <c r="P22" s="4"/>
      <c r="Q22" s="359">
        <v>99.99999999982105263157910746</v>
      </c>
      <c r="R22" s="170"/>
      <c r="S22" s="360">
        <v>41.156253524538037330046825810</v>
      </c>
      <c r="T22" s="359">
        <v>-100</v>
      </c>
      <c r="U22" s="170"/>
      <c r="V22" s="360">
        <v>-16.773393926688032295486808110</v>
      </c>
      <c r="W22" s="170">
        <v>100.00000000080000000000319920</v>
      </c>
      <c r="X22" s="170"/>
      <c r="Y22" s="360">
        <v>121.23528187675785936283528863</v>
      </c>
      <c r="Z22" s="359">
        <v>9.859154929441301329101537550</v>
      </c>
      <c r="AA22" s="170">
        <v>83.13953488361658328826398590</v>
      </c>
      <c r="AB22" s="360">
        <v>31.067961165172323670297205990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ht="15.6" customHeight="1">
      <c r="A23" s="92"/>
      <c r="B23" s="344">
        <v>23</v>
      </c>
      <c r="C23" s="351" t="s">
        <v>53</v>
      </c>
      <c r="D23" s="327">
        <v>43.548387096774193548387096770</v>
      </c>
      <c r="E23" s="171"/>
      <c r="F23" s="328">
        <v>59.549342525213838886761138770</v>
      </c>
      <c r="G23" s="327">
        <v>0</v>
      </c>
      <c r="H23" s="171"/>
      <c r="I23" s="328">
        <v>7.0742827962284109354197443100</v>
      </c>
      <c r="J23" s="171">
        <v>1.075268817204301075268817200</v>
      </c>
      <c r="K23" s="171"/>
      <c r="L23" s="328">
        <v>0.1790957669931243274789808700</v>
      </c>
      <c r="M23" s="327">
        <v>44.623655913978494623655913980</v>
      </c>
      <c r="N23" s="171">
        <v>59.386973180076628352490421460</v>
      </c>
      <c r="O23" s="328">
        <v>66.802721088435374149659863950</v>
      </c>
      <c r="P23" s="4"/>
      <c r="Q23" s="327">
        <v>92.85714285706020408163268847</v>
      </c>
      <c r="R23" s="171"/>
      <c r="S23" s="328">
        <v>34.982548827647886788467316760</v>
      </c>
      <c r="T23" s="327">
        <v>-100</v>
      </c>
      <c r="U23" s="171"/>
      <c r="V23" s="328">
        <v>-35.021280777267551973177258330</v>
      </c>
      <c r="W23" s="171">
        <v>0.000000000400000000001599600</v>
      </c>
      <c r="X23" s="171"/>
      <c r="Y23" s="328">
        <v>-5.4107251912209622942976452200</v>
      </c>
      <c r="Z23" s="327">
        <v>-3.488372093054678204434819400</v>
      </c>
      <c r="AA23" s="171">
        <v>68.478260869535916824196602460</v>
      </c>
      <c r="AB23" s="328">
        <v>21.035332785477541862778026880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c r="BB23" s="244"/>
      <c r="BC23" s="244"/>
      <c r="BD23" s="244"/>
      <c r="BE23" s="244"/>
      <c r="BF23" s="244"/>
      <c r="BG23" s="244"/>
    </row>
    <row r="24" ht="15.6" customHeight="1">
      <c r="A24" s="92"/>
      <c r="B24" s="346">
        <v>24</v>
      </c>
      <c r="C24" s="352" t="s">
        <v>49</v>
      </c>
      <c r="D24" s="359">
        <v>14.516129032258064516129032260</v>
      </c>
      <c r="E24" s="170"/>
      <c r="F24" s="360">
        <v>43.236132659691556934664704090</v>
      </c>
      <c r="G24" s="359">
        <v>0</v>
      </c>
      <c r="H24" s="170"/>
      <c r="I24" s="360">
        <v>6.5390990704273912293962419300</v>
      </c>
      <c r="J24" s="170">
        <v>1.6129032258064516129032258100</v>
      </c>
      <c r="K24" s="170"/>
      <c r="L24" s="360">
        <v>0.2927954807654055774356526200</v>
      </c>
      <c r="M24" s="359">
        <v>16.129032258064516129032258060</v>
      </c>
      <c r="N24" s="170">
        <v>45.210727969348659003831417620</v>
      </c>
      <c r="O24" s="360">
        <v>50.068027210884353741496598640</v>
      </c>
      <c r="P24" s="4"/>
      <c r="Q24" s="359">
        <v>-6.8965517243626634958377452800</v>
      </c>
      <c r="R24" s="170"/>
      <c r="S24" s="360">
        <v>36.976540969455613907605805660</v>
      </c>
      <c r="T24" s="359">
        <v>-100</v>
      </c>
      <c r="U24" s="170"/>
      <c r="V24" s="360">
        <v>2.990810359334402673350144800</v>
      </c>
      <c r="W24" s="170">
        <v>200.00000000120000000000480066</v>
      </c>
      <c r="X24" s="170"/>
      <c r="Y24" s="360">
        <v>222.80701770687719306477999605</v>
      </c>
      <c r="Z24" s="359">
        <v>-53.124999999948730468749943940</v>
      </c>
      <c r="AA24" s="170">
        <v>107.01754385936583564173630638</v>
      </c>
      <c r="AB24" s="360">
        <v>31.742243436727450857536702070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5.6" customHeight="1">
      <c r="A25" s="92"/>
      <c r="B25" s="344">
        <v>25</v>
      </c>
      <c r="C25" s="351" t="s">
        <v>47</v>
      </c>
      <c r="D25" s="327">
        <v>26.881720430107526881720430110</v>
      </c>
      <c r="E25" s="171"/>
      <c r="F25" s="328">
        <v>67.561290322580645161290322580</v>
      </c>
      <c r="G25" s="327">
        <v>0</v>
      </c>
      <c r="H25" s="171"/>
      <c r="I25" s="328">
        <v>7.701792114695340501792114700</v>
      </c>
      <c r="J25" s="171">
        <v>1.6129032258064516129032258100</v>
      </c>
      <c r="K25" s="171"/>
      <c r="L25" s="328">
        <v>0.2924731182795698924731182800</v>
      </c>
      <c r="M25" s="327">
        <v>28.494623655913978494623655910</v>
      </c>
      <c r="N25" s="171">
        <v>57.088122605363984674329501920</v>
      </c>
      <c r="O25" s="328">
        <v>75.555555555555555555555555560</v>
      </c>
      <c r="P25" s="4"/>
      <c r="Q25" s="327">
        <v>78.571428570956632653062471770</v>
      </c>
      <c r="R25" s="171"/>
      <c r="S25" s="328">
        <v>27.471050116407030480864548760</v>
      </c>
      <c r="T25" s="327">
        <v>-100</v>
      </c>
      <c r="U25" s="171"/>
      <c r="V25" s="328">
        <v>-5.8622416137150203927375266500</v>
      </c>
      <c r="W25" s="171">
        <v>50.000000000600000000002400330</v>
      </c>
      <c r="X25" s="171"/>
      <c r="Y25" s="328">
        <v>64.443172883337825915677657210</v>
      </c>
      <c r="Z25" s="327">
        <v>-14.516129032172580645161204850</v>
      </c>
      <c r="AA25" s="171">
        <v>70.285714285507996734694127470</v>
      </c>
      <c r="AB25" s="328">
        <v>23.133776792287440409175312700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5.6" customHeight="1">
      <c r="A26" s="93"/>
      <c r="B26" s="346">
        <v>26</v>
      </c>
      <c r="C26" s="352" t="s">
        <v>48</v>
      </c>
      <c r="D26" s="359">
        <v>24.193548387096774193548387100</v>
      </c>
      <c r="E26" s="170"/>
      <c r="F26" s="360">
        <v>74.693984386059095801650067170</v>
      </c>
      <c r="G26" s="359">
        <v>0</v>
      </c>
      <c r="H26" s="170"/>
      <c r="I26" s="360">
        <v>6.4242579638844151716438440300</v>
      </c>
      <c r="J26" s="170">
        <v>1.6129032258064516129032258100</v>
      </c>
      <c r="K26" s="170"/>
      <c r="L26" s="360">
        <v>0.2876533416664663509691273400</v>
      </c>
      <c r="M26" s="359">
        <v>25.806451612903225806451612900</v>
      </c>
      <c r="N26" s="170">
        <v>68.007662835249042145593869730</v>
      </c>
      <c r="O26" s="360">
        <v>81.40589569160997732426303855</v>
      </c>
      <c r="P26" s="4"/>
      <c r="Q26" s="359">
        <v>4.6511627906636019469983886100</v>
      </c>
      <c r="R26" s="170"/>
      <c r="S26" s="360">
        <v>22.644757114908236361700783270</v>
      </c>
      <c r="T26" s="359">
        <v>-100</v>
      </c>
      <c r="U26" s="170"/>
      <c r="V26" s="360">
        <v>-40.773362994069498956546785080</v>
      </c>
      <c r="W26" s="170">
        <v>50.000000000600000000002400330</v>
      </c>
      <c r="X26" s="170"/>
      <c r="Y26" s="360">
        <v>61.768277222147499107305553870</v>
      </c>
      <c r="Z26" s="359">
        <v>-38.461538461585798816568010930</v>
      </c>
      <c r="AA26" s="170">
        <v>73.170731707497846519928802630</v>
      </c>
      <c r="AB26" s="360">
        <v>13.177805800793371103396852830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5.6" customHeight="1">
      <c r="A27" s="93"/>
      <c r="B27" s="344">
        <v>27</v>
      </c>
      <c r="C27" s="351" t="s">
        <v>50</v>
      </c>
      <c r="D27" s="327">
        <v>29.032258064516129032258064520</v>
      </c>
      <c r="E27" s="171"/>
      <c r="F27" s="328">
        <v>70.81865445798091099557693800</v>
      </c>
      <c r="G27" s="327">
        <v>0</v>
      </c>
      <c r="H27" s="171"/>
      <c r="I27" s="328">
        <v>3.9978272677892449755567626300</v>
      </c>
      <c r="J27" s="171">
        <v>1.6129032258064516129032258100</v>
      </c>
      <c r="K27" s="171"/>
      <c r="L27" s="328">
        <v>0.2855590905563746411111973300</v>
      </c>
      <c r="M27" s="327">
        <v>30.645161290322580645161290320</v>
      </c>
      <c r="N27" s="171">
        <v>62.260536398467432950191570880</v>
      </c>
      <c r="O27" s="328">
        <v>75.102040816326530612244897960</v>
      </c>
      <c r="P27" s="4"/>
      <c r="Q27" s="327">
        <v>54.285714285511510204081899180</v>
      </c>
      <c r="R27" s="171"/>
      <c r="S27" s="328">
        <v>26.938836228179493886226451260</v>
      </c>
      <c r="T27" s="327">
        <v>-100</v>
      </c>
      <c r="U27" s="171"/>
      <c r="V27" s="328">
        <v>-56.801779180794375413695921550</v>
      </c>
      <c r="W27" s="171">
        <v>0.0000000004000000000016002200</v>
      </c>
      <c r="X27" s="171"/>
      <c r="Y27" s="328">
        <v>9.024081114745321081541010130</v>
      </c>
      <c r="Z27" s="327">
        <v>-19.718309859254433644118107190</v>
      </c>
      <c r="AA27" s="171">
        <v>86.78160919558908045977030172</v>
      </c>
      <c r="AB27" s="328">
        <v>14.999999999964062500000011230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5.6" customHeight="1">
      <c r="A28" s="92"/>
      <c r="B28" s="346">
        <v>28</v>
      </c>
      <c r="C28" s="352" t="s">
        <v>51</v>
      </c>
      <c r="D28" s="359">
        <v>32.258064516129032258064516130</v>
      </c>
      <c r="E28" s="170"/>
      <c r="F28" s="360">
        <v>61.394905610505961075636798690</v>
      </c>
      <c r="G28" s="359">
        <v>0</v>
      </c>
      <c r="H28" s="170"/>
      <c r="I28" s="360">
        <v>1.4502733608780935687158298900</v>
      </c>
      <c r="J28" s="170">
        <v>1.075268817204301075268817200</v>
      </c>
      <c r="K28" s="170"/>
      <c r="L28" s="360">
        <v>0.1933697814504124758287773200</v>
      </c>
      <c r="M28" s="359">
        <v>33.333333333333333333333333330</v>
      </c>
      <c r="N28" s="170">
        <v>62.452107279693486590038314180</v>
      </c>
      <c r="O28" s="360">
        <v>63.038548752834467120181405900</v>
      </c>
      <c r="P28" s="4"/>
      <c r="Q28" s="359">
        <v>57.894736841963988919667716440</v>
      </c>
      <c r="R28" s="170"/>
      <c r="S28" s="360">
        <v>39.575470878972268212457487710</v>
      </c>
      <c r="T28" s="359">
        <v>-100</v>
      </c>
      <c r="U28" s="170"/>
      <c r="V28" s="360">
        <v>-77.338528405515172660423496340</v>
      </c>
      <c r="W28" s="170">
        <v>0.000000000400000000001599600</v>
      </c>
      <c r="X28" s="170"/>
      <c r="Y28" s="360">
        <v>7.2642988529062792768344516600</v>
      </c>
      <c r="Z28" s="359">
        <v>-15.068493150778007130793667950</v>
      </c>
      <c r="AA28" s="170">
        <v>113.07189542473633217993084305</v>
      </c>
      <c r="AB28" s="360">
        <v>24.663677130134287840093369900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5.6" customHeight="1">
      <c r="A29" s="92"/>
      <c r="B29" s="344">
        <v>29</v>
      </c>
      <c r="C29" s="351" t="s">
        <v>52</v>
      </c>
      <c r="D29" s="327">
        <v>52.150537634408602150537634410</v>
      </c>
      <c r="E29" s="171"/>
      <c r="F29" s="328">
        <v>64.774294597564111555275030980</v>
      </c>
      <c r="G29" s="327">
        <v>0</v>
      </c>
      <c r="H29" s="171"/>
      <c r="I29" s="328">
        <v>3.3534375949692591813357645500</v>
      </c>
      <c r="J29" s="171">
        <v>2.1505376344086021505376344100</v>
      </c>
      <c r="K29" s="171"/>
      <c r="L29" s="328">
        <v>0.3529934310493957032985015300</v>
      </c>
      <c r="M29" s="327">
        <v>54.301075268817204301075268820</v>
      </c>
      <c r="N29" s="171">
        <v>66.858237547892720306513409960</v>
      </c>
      <c r="O29" s="328">
        <v>68.480725623582766439909297050</v>
      </c>
      <c r="P29" s="4"/>
      <c r="Q29" s="327">
        <v>110.86956521738213610586011383</v>
      </c>
      <c r="R29" s="171"/>
      <c r="S29" s="328">
        <v>58.202255579962881651697385390</v>
      </c>
      <c r="T29" s="327">
        <v>-100</v>
      </c>
      <c r="U29" s="171"/>
      <c r="V29" s="328">
        <v>-66.876366974312178461516034510</v>
      </c>
      <c r="W29" s="171">
        <v>100.00000000080000000000320013</v>
      </c>
      <c r="X29" s="171"/>
      <c r="Y29" s="328">
        <v>96.99844901540516820789887124</v>
      </c>
      <c r="Z29" s="327">
        <v>14.772727272701188016528931550</v>
      </c>
      <c r="AA29" s="171">
        <v>126.62337662347080452015520864</v>
      </c>
      <c r="AB29" s="328">
        <v>33.628318584018172918787709650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15.6" customHeight="1">
      <c r="A30" s="92"/>
      <c r="B30" s="346">
        <v>30</v>
      </c>
      <c r="C30" s="352" t="s">
        <v>53</v>
      </c>
      <c r="D30" s="359">
        <v>67.741935483870967741935483870</v>
      </c>
      <c r="E30" s="170"/>
      <c r="F30" s="360">
        <v>73.369914003337183930175843920</v>
      </c>
      <c r="G30" s="359">
        <v>0</v>
      </c>
      <c r="H30" s="170"/>
      <c r="I30" s="360">
        <v>3.5457579258118341676293158800</v>
      </c>
      <c r="J30" s="170">
        <v>1.075268817204301075268817200</v>
      </c>
      <c r="K30" s="170"/>
      <c r="L30" s="360">
        <v>0.1818337397852222650066315800</v>
      </c>
      <c r="M30" s="359">
        <v>68.817204301075268817204301080</v>
      </c>
      <c r="N30" s="170">
        <v>73.946360153256704980842911880</v>
      </c>
      <c r="O30" s="360">
        <v>77.097505668934240362811791380</v>
      </c>
      <c r="P30" s="4"/>
      <c r="Q30" s="359">
        <v>96.87500000021533203125023552</v>
      </c>
      <c r="R30" s="170"/>
      <c r="S30" s="360">
        <v>58.015266378602190101747375710</v>
      </c>
      <c r="T30" s="359">
        <v>-100</v>
      </c>
      <c r="U30" s="170"/>
      <c r="V30" s="360">
        <v>-70.30278967263970554297644700</v>
      </c>
      <c r="W30" s="170">
        <v>0.000000000400000000001599600</v>
      </c>
      <c r="X30" s="170"/>
      <c r="Y30" s="360">
        <v>2.7980357197121466391014133300</v>
      </c>
      <c r="Z30" s="359">
        <v>14.285714285791836734693930180</v>
      </c>
      <c r="AA30" s="170">
        <v>135.36585365833279298036900454</v>
      </c>
      <c r="AB30" s="360">
        <v>31.680867544465167599558685320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5.6" customHeight="1">
      <c r="A31" s="92"/>
      <c r="B31" s="344">
        <v>31</v>
      </c>
      <c r="C31" s="351" t="s">
        <v>49</v>
      </c>
      <c r="D31" s="327">
        <v>65.591397849462365591397849460</v>
      </c>
      <c r="E31" s="171"/>
      <c r="F31" s="328">
        <v>63.625730994152046783625730990</v>
      </c>
      <c r="G31" s="327">
        <v>0</v>
      </c>
      <c r="H31" s="171"/>
      <c r="I31" s="328">
        <v>0.9468114731272626009468114700</v>
      </c>
      <c r="J31" s="171">
        <v>1.075268817204301075268817200</v>
      </c>
      <c r="K31" s="171"/>
      <c r="L31" s="328">
        <v>0.1893622946254525201893622900</v>
      </c>
      <c r="M31" s="327">
        <v>66.666666666666666666666666670</v>
      </c>
      <c r="N31" s="171">
        <v>62.835249042145593869731800770</v>
      </c>
      <c r="O31" s="328">
        <v>64.761904761904761904761904760</v>
      </c>
      <c r="P31" s="4"/>
      <c r="Q31" s="327">
        <v>165.21739130433629489603024624</v>
      </c>
      <c r="R31" s="171"/>
      <c r="S31" s="328">
        <v>77.498230449523883148811212260</v>
      </c>
      <c r="T31" s="327">
        <v>-100</v>
      </c>
      <c r="U31" s="171"/>
      <c r="V31" s="328">
        <v>-89.75553993707173013743015569</v>
      </c>
      <c r="W31" s="171">
        <v>0.000000000400000000001599600</v>
      </c>
      <c r="X31" s="171"/>
      <c r="Y31" s="328">
        <v>9.615722645460606767181763840</v>
      </c>
      <c r="Z31" s="327">
        <v>45.882352941121550173010401310</v>
      </c>
      <c r="AA31" s="171">
        <v>168.85245901614662725073927524</v>
      </c>
      <c r="AB31" s="328">
        <v>43.086172344552457620652256910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5.6" customHeight="1">
      <c r="A32" s="92" t="s">
        <v>148</v>
      </c>
      <c r="B32" s="666">
        <v>1</v>
      </c>
      <c r="C32" s="667" t="s">
        <v>47</v>
      </c>
      <c r="D32" s="668">
        <v>11.290322580645161290322580650</v>
      </c>
      <c r="E32" s="669"/>
      <c r="F32" s="670">
        <v>36.489051547670740028534210040</v>
      </c>
      <c r="G32" s="668">
        <v>0</v>
      </c>
      <c r="H32" s="669"/>
      <c r="I32" s="670">
        <v>0.2252410589362391359786062300</v>
      </c>
      <c r="J32" s="669">
        <v>1.6129032258064516129032258100</v>
      </c>
      <c r="K32" s="669"/>
      <c r="L32" s="670">
        <v>0.3378615884043587039679093500</v>
      </c>
      <c r="M32" s="668">
        <v>12.903225806451612903225806450</v>
      </c>
      <c r="N32" s="669">
        <v>39.272030651340996168582375480</v>
      </c>
      <c r="O32" s="670">
        <v>37.052154195011337868480725620</v>
      </c>
      <c r="P32" s="4"/>
      <c r="Q32" s="668">
        <v>-27.586206896726516052318246310</v>
      </c>
      <c r="R32" s="669"/>
      <c r="S32" s="670">
        <v>28.176086527416088830795631920</v>
      </c>
      <c r="T32" s="668">
        <v>-100</v>
      </c>
      <c r="U32" s="669"/>
      <c r="V32" s="670">
        <v>-95.93845322527245838351905317</v>
      </c>
      <c r="W32" s="669">
        <v>0</v>
      </c>
      <c r="X32" s="669"/>
      <c r="Y32" s="670">
        <v>0</v>
      </c>
      <c r="Z32" s="668">
        <v>-60.655737704880623488309558630</v>
      </c>
      <c r="AA32" s="669">
        <v>120.43010752716614637530387030</v>
      </c>
      <c r="AB32" s="670">
        <v>8.933333333259258666666717030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5.6" customHeight="1">
      <c r="A33" s="92"/>
      <c r="B33" s="344">
        <v>2</v>
      </c>
      <c r="C33" s="351" t="s">
        <v>48</v>
      </c>
      <c r="D33" s="327">
        <v>22.580645161290322580645161290</v>
      </c>
      <c r="E33" s="171"/>
      <c r="F33" s="328">
        <v>57.244719128450538995829667300</v>
      </c>
      <c r="G33" s="327">
        <v>0</v>
      </c>
      <c r="H33" s="171"/>
      <c r="I33" s="328">
        <v>3.1537157449730680915899482800</v>
      </c>
      <c r="J33" s="171">
        <v>1.075268817204301075268817200</v>
      </c>
      <c r="K33" s="171"/>
      <c r="L33" s="328">
        <v>0.1911342875741253388842392900</v>
      </c>
      <c r="M33" s="327">
        <v>23.655913978494623655913978490</v>
      </c>
      <c r="N33" s="171">
        <v>43.295019157088122605363984670</v>
      </c>
      <c r="O33" s="328">
        <v>60.589569160997732426303854880</v>
      </c>
      <c r="P33" s="4"/>
      <c r="Q33" s="327">
        <v>-40.845070422608530053560710560</v>
      </c>
      <c r="R33" s="171"/>
      <c r="S33" s="328">
        <v>13.817167801106091957805284050</v>
      </c>
      <c r="T33" s="327">
        <v>0</v>
      </c>
      <c r="U33" s="171"/>
      <c r="V33" s="328">
        <v>0.8795883325527677784065706200</v>
      </c>
      <c r="W33" s="171">
        <v>0.000000000400000000001599600</v>
      </c>
      <c r="X33" s="171"/>
      <c r="Y33" s="328">
        <v>3.9365455647253577270886772600</v>
      </c>
      <c r="Z33" s="327">
        <v>-39.726027397326327641208409520</v>
      </c>
      <c r="AA33" s="171">
        <v>77.952755905576266352532728390</v>
      </c>
      <c r="AB33" s="328">
        <v>13.028764805352873474365945350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15.6" customHeight="1">
      <c r="A34" s="92"/>
      <c r="B34" s="346">
        <v>3</v>
      </c>
      <c r="C34" s="352" t="s">
        <v>50</v>
      </c>
      <c r="D34" s="359">
        <v>19.892473118279569892473118280</v>
      </c>
      <c r="E34" s="170"/>
      <c r="F34" s="360">
        <v>63.227745085764367096531864280</v>
      </c>
      <c r="G34" s="359">
        <v>4.3010752688172043010752688200</v>
      </c>
      <c r="H34" s="170"/>
      <c r="I34" s="360">
        <v>5.0582196068611493677225491400</v>
      </c>
      <c r="J34" s="170">
        <v>2.1505376344086021505376344100</v>
      </c>
      <c r="K34" s="170"/>
      <c r="L34" s="360">
        <v>0.4215183005717624473102124300</v>
      </c>
      <c r="M34" s="359">
        <v>26.344086021505376344086021510</v>
      </c>
      <c r="N34" s="170">
        <v>53.831417624521072796934865900</v>
      </c>
      <c r="O34" s="360">
        <v>68.707482993197278911564625850</v>
      </c>
      <c r="P34" s="4"/>
      <c r="Q34" s="359">
        <v>-53.164556962058516263419300290</v>
      </c>
      <c r="R34" s="170"/>
      <c r="S34" s="360">
        <v>9.878823988010107796995084100</v>
      </c>
      <c r="T34" s="359">
        <v>300.00000000160000000000640026</v>
      </c>
      <c r="U34" s="170"/>
      <c r="V34" s="360">
        <v>1.9367054823437171172808202700</v>
      </c>
      <c r="W34" s="170">
        <v>33.333333333866666666668800090</v>
      </c>
      <c r="X34" s="170"/>
      <c r="Y34" s="360">
        <v>61.399783699893385926910755980</v>
      </c>
      <c r="Z34" s="359">
        <v>-41.666666666691666666666655940</v>
      </c>
      <c r="AA34" s="170">
        <v>59.659090909021965392562013240</v>
      </c>
      <c r="AB34" s="360">
        <v>9.465317919070003435213338470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5.6" customHeight="1">
      <c r="A35" s="92"/>
      <c r="B35" s="344">
        <v>4</v>
      </c>
      <c r="C35" s="351" t="s">
        <v>51</v>
      </c>
      <c r="D35" s="327">
        <v>18.279569892473118279569892470</v>
      </c>
      <c r="E35" s="171"/>
      <c r="F35" s="328">
        <v>58.850302739786569300383821700</v>
      </c>
      <c r="G35" s="327">
        <v>0</v>
      </c>
      <c r="H35" s="171"/>
      <c r="I35" s="328">
        <v>5.9434908396142065021910813300</v>
      </c>
      <c r="J35" s="171">
        <v>1.075268817204301075268817200</v>
      </c>
      <c r="K35" s="171"/>
      <c r="L35" s="328">
        <v>0.1948685521184985738423305400</v>
      </c>
      <c r="M35" s="327">
        <v>19.354838709677419354838709680</v>
      </c>
      <c r="N35" s="171">
        <v>58.620689655172413793103448280</v>
      </c>
      <c r="O35" s="328">
        <v>64.988662131519274376417233560</v>
      </c>
      <c r="P35" s="4"/>
      <c r="Q35" s="327">
        <v>-64.210526315786459833795013600</v>
      </c>
      <c r="R35" s="171"/>
      <c r="S35" s="328">
        <v>12.211807928217160292211523130</v>
      </c>
      <c r="T35" s="327">
        <v>-100</v>
      </c>
      <c r="U35" s="171"/>
      <c r="V35" s="328">
        <v>-18.512853766539507967500801650</v>
      </c>
      <c r="W35" s="171">
        <v>-33.333333333066666666665600270</v>
      </c>
      <c r="X35" s="171"/>
      <c r="Y35" s="328">
        <v>-25.192128041816857800562800690</v>
      </c>
      <c r="Z35" s="327">
        <v>-63.999999999989919999999997170</v>
      </c>
      <c r="AA35" s="171">
        <v>69.060773480739574494063097500</v>
      </c>
      <c r="AB35" s="328">
        <v>8.314436885865457294028722600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5.6" customHeight="1">
      <c r="A36" s="92"/>
      <c r="B36" s="346">
        <v>5</v>
      </c>
      <c r="C36" s="352" t="s">
        <v>52</v>
      </c>
      <c r="D36" s="359">
        <v>29.569892473118279569892473120</v>
      </c>
      <c r="E36" s="170"/>
      <c r="F36" s="360">
        <v>52.689019966564678421600479450</v>
      </c>
      <c r="G36" s="359">
        <v>0</v>
      </c>
      <c r="H36" s="170"/>
      <c r="I36" s="360">
        <v>10.147514956523567696011944190</v>
      </c>
      <c r="J36" s="170">
        <v>1.6129032258064516129032258100</v>
      </c>
      <c r="K36" s="170"/>
      <c r="L36" s="360">
        <v>0.2927167775920259912311137700</v>
      </c>
      <c r="M36" s="359">
        <v>31.182795698924731182795698920</v>
      </c>
      <c r="N36" s="170">
        <v>58.045977011494252873563218390</v>
      </c>
      <c r="O36" s="360">
        <v>63.129251700680272108843537410</v>
      </c>
      <c r="P36" s="4"/>
      <c r="Q36" s="359">
        <v>-31.250000000044687499999970950</v>
      </c>
      <c r="R36" s="170"/>
      <c r="S36" s="360">
        <v>2.6048815106813365484396006500</v>
      </c>
      <c r="T36" s="359">
        <v>-100</v>
      </c>
      <c r="U36" s="170"/>
      <c r="V36" s="360">
        <v>3.1765901262764446395677674100</v>
      </c>
      <c r="W36" s="170">
        <v>50.000000000600000000002400330</v>
      </c>
      <c r="X36" s="170"/>
      <c r="Y36" s="360">
        <v>68.158000220542628178575006900</v>
      </c>
      <c r="Z36" s="359">
        <v>-54.687500000016284179687494150</v>
      </c>
      <c r="AA36" s="170">
        <v>53.030303030136088154270154570</v>
      </c>
      <c r="AB36" s="360">
        <v>2.8824833702665768604874161200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5.6" customHeight="1">
      <c r="A37" s="92"/>
      <c r="B37" s="348">
        <v>6</v>
      </c>
      <c r="C37" s="353" t="s">
        <v>53</v>
      </c>
      <c r="D37" s="329">
        <v>31.182795698924731182795698920</v>
      </c>
      <c r="E37" s="330"/>
      <c r="F37" s="332">
        <v>55.253084284561282139974633920</v>
      </c>
      <c r="G37" s="329">
        <v>0</v>
      </c>
      <c r="H37" s="330"/>
      <c r="I37" s="332">
        <v>7.3457857719358930012683039300</v>
      </c>
      <c r="J37" s="330">
        <v>1.075268817204301075268817200</v>
      </c>
      <c r="K37" s="330"/>
      <c r="L37" s="332">
        <v>0.2129213267227795072831392400</v>
      </c>
      <c r="M37" s="329">
        <v>32.258064516129032258064516130</v>
      </c>
      <c r="N37" s="330">
        <v>60.344827586206896551724137930</v>
      </c>
      <c r="O37" s="332">
        <v>62.811791383219954648526077100</v>
      </c>
      <c r="P37" s="4"/>
      <c r="Q37" s="329">
        <v>-27.500000000047124999999969380</v>
      </c>
      <c r="R37" s="330"/>
      <c r="S37" s="332">
        <v>12.273419877535204780186192050</v>
      </c>
      <c r="T37" s="329">
        <v>-100</v>
      </c>
      <c r="U37" s="330"/>
      <c r="V37" s="332">
        <v>-13.839965252258389063763569270</v>
      </c>
      <c r="W37" s="330">
        <v>100.00000000080000000000319920</v>
      </c>
      <c r="X37" s="330"/>
      <c r="Y37" s="332">
        <v>152.23662338748123709567126956</v>
      </c>
      <c r="Z37" s="329">
        <v>-52.755905511829623659247311170</v>
      </c>
      <c r="AA37" s="330">
        <v>55.940594059256175865111407430</v>
      </c>
      <c r="AB37" s="332">
        <v>8.627450980393434832756632080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1" customHeight="1">
      <c r="B38" s="54"/>
      <c r="C38"/>
      <c r="D38" s="88"/>
      <c r="E38" s="88"/>
      <c r="F38" s="88"/>
      <c r="G38" s="88"/>
      <c r="H38" s="88"/>
      <c r="I38" s="88"/>
      <c r="J38" s="88"/>
      <c r="K38" s="88"/>
      <c r="L38" s="88"/>
      <c r="M38" s="88"/>
      <c r="N38" s="88"/>
      <c r="O38" s="88"/>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15.6" customHeight="1">
      <c r="A39" s="54"/>
      <c r="B39" s="53"/>
      <c r="C39" s="53" t="s">
        <v>14</v>
      </c>
      <c r="D39" s="354">
        <v>31.182795698924731182795698920</v>
      </c>
      <c r="E39" s="355"/>
      <c r="F39" s="356">
        <v>50.858702275127296725661237620</v>
      </c>
      <c r="G39" s="354">
        <v>0</v>
      </c>
      <c r="H39" s="355"/>
      <c r="I39" s="356">
        <v>4.9035168957842535985846480500</v>
      </c>
      <c r="J39" s="355">
        <v>1.3440860215053763440860215100</v>
      </c>
      <c r="K39" s="355"/>
      <c r="L39" s="356">
        <v>0.2468511238730301746203274800</v>
      </c>
      <c r="M39" s="354">
        <v>32.526881720430107526881720430</v>
      </c>
      <c r="N39" s="355">
        <v>53.831417624521072796934865900</v>
      </c>
      <c r="O39" s="356">
        <v>56.009070294784580498866213150</v>
      </c>
      <c r="P39" s="4"/>
      <c r="Q39" s="354">
        <v>58.904109588866954400450556740</v>
      </c>
      <c r="R39" s="355"/>
      <c r="S39" s="356">
        <v>32.921304885908819193367067770</v>
      </c>
      <c r="T39" s="354">
        <v>-100</v>
      </c>
      <c r="U39" s="355"/>
      <c r="V39" s="356">
        <v>-6.6258281832716662857642350100</v>
      </c>
      <c r="W39" s="355">
        <v>66.666666667333333333336000570</v>
      </c>
      <c r="X39" s="355"/>
      <c r="Y39" s="356">
        <v>80.10693846423742220554978753</v>
      </c>
      <c r="Z39" s="354">
        <v>3.8626609441239882849196617400</v>
      </c>
      <c r="AA39" s="355">
        <v>138.64118895931981554356547151</v>
      </c>
      <c r="AB39" s="356">
        <v>28.311688311669648170011809090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15.6" customHeight="1">
      <c r="A40" s="54"/>
      <c r="C40" s="53" t="s">
        <v>15</v>
      </c>
      <c r="D40" s="327">
        <v>26.075268817204301075268817200</v>
      </c>
      <c r="E40" s="171"/>
      <c r="F40" s="328">
        <v>60.579052023463240249199656990</v>
      </c>
      <c r="G40" s="327">
        <v>0</v>
      </c>
      <c r="H40" s="171"/>
      <c r="I40" s="328">
        <v>6.2789060618854856385146469600</v>
      </c>
      <c r="J40" s="171">
        <v>1.4784946236559139784946236600</v>
      </c>
      <c r="K40" s="171"/>
      <c r="L40" s="328">
        <v>0.284899057508416969428553200</v>
      </c>
      <c r="M40" s="327">
        <v>27.553763440860215053763440860</v>
      </c>
      <c r="N40" s="171">
        <v>56.273946360153256704980842920</v>
      </c>
      <c r="O40" s="328">
        <v>67.142857142857142857142857140</v>
      </c>
      <c r="P40" s="4"/>
      <c r="Q40" s="327">
        <v>48.091603053606945982169070630</v>
      </c>
      <c r="R40" s="171"/>
      <c r="S40" s="328">
        <v>22.515364051108915971323875020</v>
      </c>
      <c r="T40" s="327">
        <v>-100</v>
      </c>
      <c r="U40" s="171"/>
      <c r="V40" s="328">
        <v>-23.517574506195111277539820870</v>
      </c>
      <c r="W40" s="171">
        <v>57.142857135134693877930524050</v>
      </c>
      <c r="X40" s="171"/>
      <c r="Y40" s="328">
        <v>82.51150317686663684261665513</v>
      </c>
      <c r="Z40" s="327">
        <v>-8.071748879016107301574441220</v>
      </c>
      <c r="AA40" s="171">
        <v>77.492447129975858197716365600</v>
      </c>
      <c r="AB40" s="328">
        <v>16.140419690175408342548481800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15.6" customHeight="1">
      <c r="A41" s="54"/>
      <c r="B41" s="22"/>
      <c r="C41" s="53" t="s">
        <v>16</v>
      </c>
      <c r="D41" s="359">
        <v>30.510752688172043010752688170</v>
      </c>
      <c r="E41" s="170"/>
      <c r="F41" s="360">
        <v>68.317518270196968413904432800</v>
      </c>
      <c r="G41" s="359">
        <v>0</v>
      </c>
      <c r="H41" s="170"/>
      <c r="I41" s="360">
        <v>10.132241171233833182324235300</v>
      </c>
      <c r="J41" s="170">
        <v>1.2096774193548387096774193500</v>
      </c>
      <c r="K41" s="170"/>
      <c r="L41" s="360">
        <v>0.2123720778435748210048919900</v>
      </c>
      <c r="M41" s="359">
        <v>31.720430107526881720430107530</v>
      </c>
      <c r="N41" s="170">
        <v>63.505747126436781609195402300</v>
      </c>
      <c r="O41" s="360">
        <v>78.662131519274376417233560090</v>
      </c>
      <c r="P41" s="4"/>
      <c r="Q41" s="359">
        <v>9.661835748639697542533293550</v>
      </c>
      <c r="R41" s="170"/>
      <c r="S41" s="360">
        <v>8.637362635993055050419410710</v>
      </c>
      <c r="T41" s="359">
        <v>-100</v>
      </c>
      <c r="U41" s="170"/>
      <c r="V41" s="360">
        <v>48.289360498848433595310699570</v>
      </c>
      <c r="W41" s="170">
        <v>12.500000000450000000001799550</v>
      </c>
      <c r="X41" s="170"/>
      <c r="Y41" s="360">
        <v>18.399509809068322578392888150</v>
      </c>
      <c r="Z41" s="359">
        <v>-17.770034843196406415034781470</v>
      </c>
      <c r="AA41" s="170">
        <v>62.899262899270904140683010860</v>
      </c>
      <c r="AB41" s="360">
        <v>12.538523925342523901705547200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15.6" customHeight="1">
      <c r="A42" s="54"/>
      <c r="B42" s="22"/>
      <c r="C42" s="53" t="s">
        <v>17</v>
      </c>
      <c r="D42" s="327">
        <v>29.301075268817204301075268820</v>
      </c>
      <c r="E42" s="171"/>
      <c r="F42" s="328">
        <v>68.282328218137745830410712770</v>
      </c>
      <c r="G42" s="327">
        <v>1.075268817204301075268817200</v>
      </c>
      <c r="H42" s="171"/>
      <c r="I42" s="328">
        <v>9.075465143938465081164530750</v>
      </c>
      <c r="J42" s="171">
        <v>1.7473118279569892473118279600</v>
      </c>
      <c r="K42" s="171"/>
      <c r="L42" s="328">
        <v>0.3179435993750362539576362900</v>
      </c>
      <c r="M42" s="327">
        <v>32.123655913978494623655913980</v>
      </c>
      <c r="N42" s="171">
        <v>64.798850574712643678160919540</v>
      </c>
      <c r="O42" s="328">
        <v>77.675736961451247165532879820</v>
      </c>
      <c r="P42" s="4"/>
      <c r="Q42" s="327">
        <v>4.8076923077366494082840424400</v>
      </c>
      <c r="R42" s="171"/>
      <c r="S42" s="328">
        <v>9.512635079090908561077745320</v>
      </c>
      <c r="T42" s="327">
        <v>-89.74358974354871794871778466</v>
      </c>
      <c r="U42" s="171"/>
      <c r="V42" s="328">
        <v>48.408198259451145091365602240</v>
      </c>
      <c r="W42" s="171">
        <v>30.000000000520000000002080220</v>
      </c>
      <c r="X42" s="171"/>
      <c r="Y42" s="328">
        <v>45.507584294702160711604144110</v>
      </c>
      <c r="Z42" s="327">
        <v>-19.256756756839682249817299780</v>
      </c>
      <c r="AA42" s="171">
        <v>56.235565820014420045976180400</v>
      </c>
      <c r="AB42" s="328">
        <v>13.090128755423797426026269270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5.6" customHeight="1">
      <c r="A43" s="54"/>
      <c r="B43" s="22"/>
      <c r="C43" s="53" t="s">
        <v>18</v>
      </c>
      <c r="D43" s="359">
        <v>30.779569892473118279569892470</v>
      </c>
      <c r="E43" s="170"/>
      <c r="F43" s="360">
        <v>59.489913313837632919694306050</v>
      </c>
      <c r="G43" s="359">
        <v>0</v>
      </c>
      <c r="H43" s="170"/>
      <c r="I43" s="360">
        <v>6.2237568164819828002934378400</v>
      </c>
      <c r="J43" s="170">
        <v>0.9408602150537634408602150500</v>
      </c>
      <c r="K43" s="170"/>
      <c r="L43" s="360">
        <v>0.1706836111769829194680384200</v>
      </c>
      <c r="M43" s="359">
        <v>31.720430107526881720430107530</v>
      </c>
      <c r="N43" s="170">
        <v>61.398467432950191570881226060</v>
      </c>
      <c r="O43" s="360">
        <v>65.884353741496598639455782310</v>
      </c>
      <c r="P43" s="4"/>
      <c r="Q43" s="359">
        <v>11.165048543732491280987857270</v>
      </c>
      <c r="R43" s="170"/>
      <c r="S43" s="360">
        <v>16.254454613098675005441126100</v>
      </c>
      <c r="T43" s="359">
        <v>-100</v>
      </c>
      <c r="U43" s="170"/>
      <c r="V43" s="360">
        <v>6.1016775076062492202112798300</v>
      </c>
      <c r="W43" s="170">
        <v>-36.363636365533884297464080800</v>
      </c>
      <c r="X43" s="170"/>
      <c r="Y43" s="360">
        <v>-32.335342813267492859664116490</v>
      </c>
      <c r="Z43" s="359">
        <v>-19.727891156547771761765840450</v>
      </c>
      <c r="AA43" s="170">
        <v>66.816065696983843266470631160</v>
      </c>
      <c r="AB43" s="360">
        <v>15.000989511194676543423014620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ht="15.6" customHeight="1">
      <c r="A44" s="54"/>
      <c r="B44" s="22"/>
      <c r="C44" s="53" t="s">
        <v>19</v>
      </c>
      <c r="D44" s="327">
        <v>42.069892473118279569892473120</v>
      </c>
      <c r="E44" s="171"/>
      <c r="F44" s="328">
        <v>58.603969586100034259384070220</v>
      </c>
      <c r="G44" s="327">
        <v>0</v>
      </c>
      <c r="H44" s="171"/>
      <c r="I44" s="328">
        <v>7.3654120742873236519393231700</v>
      </c>
      <c r="J44" s="171">
        <v>1.6129032258064516129032258100</v>
      </c>
      <c r="K44" s="171"/>
      <c r="L44" s="328">
        <v>0.27778387249246068278091500</v>
      </c>
      <c r="M44" s="327">
        <v>43.682795698924731182795698920</v>
      </c>
      <c r="N44" s="171">
        <v>63.649425287356321839080459770</v>
      </c>
      <c r="O44" s="328">
        <v>66.247165532879818594104308390</v>
      </c>
      <c r="P44" s="4"/>
      <c r="Q44" s="327">
        <v>40.990990991082444606768990420</v>
      </c>
      <c r="R44" s="171"/>
      <c r="S44" s="328">
        <v>24.168433206441750993998923400</v>
      </c>
      <c r="T44" s="327">
        <v>-100</v>
      </c>
      <c r="U44" s="171"/>
      <c r="V44" s="328">
        <v>-11.677212649937708119906592780</v>
      </c>
      <c r="W44" s="171">
        <v>139.99999998310400000118947893</v>
      </c>
      <c r="X44" s="171"/>
      <c r="Y44" s="328">
        <v>152.75096660994063043806612116</v>
      </c>
      <c r="Z44" s="327">
        <v>-6.0693641618779444685756205100</v>
      </c>
      <c r="AA44" s="171">
        <v>68.654822335170920405060807390</v>
      </c>
      <c r="AB44" s="328">
        <v>19.050529747354174014582249900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ht="15.6" customHeight="1">
      <c r="A45" s="54"/>
      <c r="B45" s="22"/>
      <c r="C45" s="53" t="s">
        <v>20</v>
      </c>
      <c r="D45" s="364">
        <v>49.193548387096774193548387100</v>
      </c>
      <c r="E45" s="365"/>
      <c r="F45" s="366">
        <v>62.616705955926961880440911100</v>
      </c>
      <c r="G45" s="364">
        <v>0</v>
      </c>
      <c r="H45" s="365"/>
      <c r="I45" s="366">
        <v>6.4465865015322063165346535900</v>
      </c>
      <c r="J45" s="365">
        <v>1.075268817204301075268817200</v>
      </c>
      <c r="K45" s="365"/>
      <c r="L45" s="366">
        <v>0.1884082228129406465618502800</v>
      </c>
      <c r="M45" s="364">
        <v>50.268817204301075268817204300</v>
      </c>
      <c r="N45" s="365">
        <v>65.804597701149425287356321840</v>
      </c>
      <c r="O45" s="366">
        <v>69.251700680272108843537414970</v>
      </c>
      <c r="P45" s="4"/>
      <c r="Q45" s="364">
        <v>36.059479553883113832036597320</v>
      </c>
      <c r="R45" s="365"/>
      <c r="S45" s="366">
        <v>25.764926928583361489757967750</v>
      </c>
      <c r="T45" s="364">
        <v>-100</v>
      </c>
      <c r="U45" s="365"/>
      <c r="V45" s="366">
        <v>-32.140723685904551917181137400</v>
      </c>
      <c r="W45" s="365">
        <v>14.285714280097959183949471260</v>
      </c>
      <c r="X45" s="365"/>
      <c r="Y45" s="366">
        <v>20.911470859908657463848690260</v>
      </c>
      <c r="Z45" s="364">
        <v>-11.374407582896385975157770800</v>
      </c>
      <c r="AA45" s="365">
        <v>70.895522388222944976609645800</v>
      </c>
      <c r="AB45" s="366">
        <v>16.498188060357938755902461030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ht="20.25" customHeight="1">
      <c r="B46" s="54"/>
      <c r="C46"/>
      <c r="D46" s="88"/>
      <c r="E46" s="88"/>
      <c r="F46" s="88"/>
      <c r="G46" s="88"/>
      <c r="H46" s="88"/>
      <c r="I46" s="88"/>
      <c r="J46" s="88"/>
      <c r="K46" s="88"/>
      <c r="L46" s="88"/>
      <c r="M46" s="88"/>
      <c r="N46" s="88"/>
      <c r="O46" s="88"/>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ht="15.6" customHeight="1">
      <c r="A47" s="22"/>
      <c r="B47" s="22"/>
      <c r="C47" s="53" t="s">
        <v>72</v>
      </c>
      <c r="D47" s="354">
        <v>28.341013824884792626728110600</v>
      </c>
      <c r="E47" s="355"/>
      <c r="F47" s="356">
        <v>55.339950535278603252354343950</v>
      </c>
      <c r="G47" s="354">
        <v>0.6144393241167434715821812600</v>
      </c>
      <c r="H47" s="355"/>
      <c r="I47" s="356">
        <v>4.6886827788530551993870349400</v>
      </c>
      <c r="J47" s="355">
        <v>1.3824884792626728110599078300</v>
      </c>
      <c r="K47" s="355"/>
      <c r="L47" s="356">
        <v>0.262911875372714726101186700</v>
      </c>
      <c r="M47" s="354">
        <v>30.337941628264208909370199690</v>
      </c>
      <c r="N47" s="355">
        <v>53.749315818281335522714833060</v>
      </c>
      <c r="O47" s="356">
        <v>60.291545189504373177842565600</v>
      </c>
      <c r="P47" s="4"/>
      <c r="Q47" s="354">
        <v>-23.124999999990390624999998800</v>
      </c>
      <c r="R47" s="355"/>
      <c r="S47" s="356">
        <v>19.134240842658505391816669980</v>
      </c>
      <c r="T47" s="354">
        <v>-95.15151515151215426997244993</v>
      </c>
      <c r="U47" s="355"/>
      <c r="V47" s="356">
        <v>-32.371279743709034806357202170</v>
      </c>
      <c r="W47" s="355">
        <v>38.461538460111242603565006780</v>
      </c>
      <c r="X47" s="355"/>
      <c r="Y47" s="356">
        <v>61.893237389390164773274402540</v>
      </c>
      <c r="Z47" s="354">
        <v>-39.969604863219330013580805690</v>
      </c>
      <c r="AA47" s="355">
        <v>78.707916287477208579890248390</v>
      </c>
      <c r="AB47" s="356">
        <v>12.595281306651715903439088880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ht="15.6" customHeight="1">
      <c r="A48" s="22"/>
      <c r="B48" s="22"/>
      <c r="C48" s="53" t="s">
        <v>61</v>
      </c>
      <c r="D48" s="327">
        <v>34.158986175115207373271889400</v>
      </c>
      <c r="E48" s="171"/>
      <c r="F48" s="328">
        <v>61.249741377541411468385046790</v>
      </c>
      <c r="G48" s="327">
        <v>0.1536098310291858678955453100</v>
      </c>
      <c r="H48" s="171"/>
      <c r="I48" s="328">
        <v>7.2036978093062214670507822400</v>
      </c>
      <c r="J48" s="171">
        <v>1.3440860215053763440860215100</v>
      </c>
      <c r="K48" s="171"/>
      <c r="L48" s="328">
        <v>0.2427059378689203525460303800</v>
      </c>
      <c r="M48" s="327">
        <v>35.656682027649769585253456220</v>
      </c>
      <c r="N48" s="171">
        <v>61.323207443897099069512862620</v>
      </c>
      <c r="O48" s="328">
        <v>68.696145124716553287981859410</v>
      </c>
      <c r="P48" s="4"/>
      <c r="Q48" s="327">
        <v>28.077753779901220792185760900</v>
      </c>
      <c r="R48" s="171"/>
      <c r="S48" s="328">
        <v>18.732839853592328759540416740</v>
      </c>
      <c r="T48" s="327">
        <v>-98.78419452888013968828815317</v>
      </c>
      <c r="U48" s="171"/>
      <c r="V48" s="328">
        <v>0.6223396199048781624076400200</v>
      </c>
      <c r="W48" s="171">
        <v>29.629629635506172839772576580</v>
      </c>
      <c r="X48" s="171"/>
      <c r="Y48" s="328">
        <v>40.523406839912112770327674140</v>
      </c>
      <c r="Z48" s="327">
        <v>-11.613517372592173306108991780</v>
      </c>
      <c r="AA48" s="171">
        <v>73.247912442860097426408741290</v>
      </c>
      <c r="AB48" s="328">
        <v>16.596107323587831358198172220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ht="15.6" customHeight="1">
      <c r="A49" s="54"/>
      <c r="B49" s="22"/>
      <c r="C49" s="53" t="s">
        <v>31</v>
      </c>
      <c r="D49" s="364">
        <v>37.859868192854665279223031560</v>
      </c>
      <c r="E49" s="365"/>
      <c r="F49" s="366">
        <v>63.454279053400842567121474140</v>
      </c>
      <c r="G49" s="364">
        <v>0</v>
      </c>
      <c r="H49" s="365"/>
      <c r="I49" s="366">
        <v>7.1761857353634721297486431700</v>
      </c>
      <c r="J49" s="365">
        <v>1.4047866805411030176899063500</v>
      </c>
      <c r="K49" s="365"/>
      <c r="L49" s="366">
        <v>0.2495001004171643463600779900</v>
      </c>
      <c r="M49" s="364">
        <v>39.264654873395768296912937910</v>
      </c>
      <c r="N49" s="365">
        <v>58.929674947472500308985292300</v>
      </c>
      <c r="O49" s="366">
        <v>70.879964889181479043230195300</v>
      </c>
      <c r="P49" s="4"/>
      <c r="Q49" s="364">
        <v>52.978276103947144199194100260</v>
      </c>
      <c r="R49" s="365"/>
      <c r="S49" s="366">
        <v>15.013907893376954580913968720</v>
      </c>
      <c r="T49" s="364">
        <v>-100</v>
      </c>
      <c r="U49" s="365"/>
      <c r="V49" s="366">
        <v>20.959407296816425153976996180</v>
      </c>
      <c r="W49" s="365">
        <v>37.288135591605458201685183490</v>
      </c>
      <c r="X49" s="365"/>
      <c r="Y49" s="366">
        <v>41.441618940937617327804053680</v>
      </c>
      <c r="Z49" s="364">
        <v>14.285714285785130165140304960</v>
      </c>
      <c r="AA49" s="365">
        <v>56.609159991018578862497321760</v>
      </c>
      <c r="AB49" s="366">
        <v>15.665584415665984562730108220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ht="24.95" customHeight="1">
      <c r="D52" s="655" t="s">
        <v>114</v>
      </c>
      <c r="E52" s="655"/>
      <c r="F52" s="655"/>
      <c r="G52" s="655"/>
      <c r="H52" s="655"/>
      <c r="I52" s="655"/>
      <c r="J52" s="655"/>
      <c r="K52" s="655"/>
      <c r="L52" s="655"/>
      <c r="M52" s="655"/>
      <c r="N52" s="655"/>
      <c r="O52" s="655"/>
      <c r="P52" s="655"/>
      <c r="Q52" s="655"/>
      <c r="R52" s="655"/>
      <c r="S52" s="655"/>
      <c r="T52" s="655"/>
      <c r="U52" s="655"/>
      <c r="V52" s="655"/>
      <c r="W52" s="655"/>
      <c r="X52" s="655"/>
      <c r="Y52" s="655"/>
      <c r="Z52" s="655"/>
      <c r="AA52" s="655"/>
      <c r="AB52" s="655"/>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row>
  </sheetData>
  <mergeCells count="12">
    <mergeCell ref="D8:F8"/>
    <mergeCell ref="M8:O8"/>
    <mergeCell ref="D52:AB52"/>
    <mergeCell ref="R4:AA4"/>
    <mergeCell ref="J8:L8"/>
    <mergeCell ref="G8:I8"/>
    <mergeCell ref="Q7:AB7"/>
    <mergeCell ref="D7:O7"/>
    <mergeCell ref="Q8:S8"/>
    <mergeCell ref="T8:V8"/>
    <mergeCell ref="W8:Y8"/>
    <mergeCell ref="Z8:AB8"/>
  </mergeCells>
  <phoneticPr fontId="0" type="noConversion"/>
  <printOptions horizontalCentered="1" verticalCentered="1"/>
  <pageMargins left="0.25" right="0.25" top="0.25" bottom="0.25" header="0.17" footer="0.28"/>
  <pageSetup scale="67" orientation="landscape" r:id="rId1"/>
  <headerFooter alignWithMargins="0">
    <oddHeader/>
    <oddFooter/>
  </headerFooter>
  <drawing r:id="rId34"/>
</worksheet>
</file>

<file path=xl/worksheets/sheet3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A105"/>
  <sheetViews>
    <sheetView showGridLines="0" zoomScaleNormal="100"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127</v>
      </c>
      <c r="B1" s="39"/>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row>
    <row r="2" ht="15" customHeight="1">
      <c r="A2" s="10" t="s">
        <v>141</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row>
    <row r="3" ht="17.1" customHeight="1">
      <c r="A3" s="10" t="s">
        <v>142</v>
      </c>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row>
    <row r="4" ht="17.1" customHeight="1">
      <c r="A4" t="s">
        <v>143</v>
      </c>
      <c r="B4" s="442"/>
      <c r="C4" s="211"/>
      <c r="D4" s="212"/>
      <c r="E4" s="212"/>
      <c r="F4" s="212"/>
      <c r="G4" s="212"/>
      <c r="H4" s="212"/>
      <c r="I4" s="212"/>
      <c r="J4" s="212"/>
      <c r="K4" s="212"/>
      <c r="L4" s="212"/>
      <c r="M4" s="212"/>
      <c r="N4" s="212"/>
      <c r="O4" s="212"/>
      <c r="P4" s="212"/>
      <c r="Q4" s="212"/>
      <c r="R4" s="675" t="s">
        <v>146</v>
      </c>
      <c r="S4" s="675"/>
      <c r="T4" s="675"/>
      <c r="U4" s="675"/>
      <c r="V4" s="675"/>
      <c r="W4" s="675"/>
      <c r="X4" s="675"/>
      <c r="Y4" s="675"/>
      <c r="Z4" s="675"/>
      <c r="AA4" s="675"/>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c r="AZ6" s="244"/>
      <c r="BA6" s="244"/>
    </row>
    <row r="7" ht="15.75">
      <c r="D7" s="621" t="s">
        <v>12</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row>
    <row r="8" ht="15.75">
      <c r="D8" s="676" t="s">
        <v>21</v>
      </c>
      <c r="E8" s="676"/>
      <c r="F8" s="676"/>
      <c r="G8" s="676" t="s">
        <v>24</v>
      </c>
      <c r="H8" s="676"/>
      <c r="I8" s="676"/>
      <c r="J8" s="676" t="s">
        <v>25</v>
      </c>
      <c r="K8" s="676"/>
      <c r="L8" s="676"/>
      <c r="M8" s="676" t="s">
        <v>23</v>
      </c>
      <c r="N8" s="676"/>
      <c r="O8" s="676"/>
      <c r="Q8" s="676" t="s">
        <v>21</v>
      </c>
      <c r="R8" s="676"/>
      <c r="S8" s="676"/>
      <c r="T8" s="676" t="s">
        <v>24</v>
      </c>
      <c r="U8" s="676"/>
      <c r="V8" s="676"/>
      <c r="W8" s="676" t="s">
        <v>25</v>
      </c>
      <c r="X8" s="676"/>
      <c r="Y8" s="676"/>
      <c r="Z8" s="676" t="s">
        <v>23</v>
      </c>
      <c r="AA8" s="676"/>
      <c r="AB8" s="676"/>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row>
    <row r="9" ht="27" customHeight="1">
      <c r="A9" s="92"/>
      <c r="D9" s="339" t="s">
        <v>63</v>
      </c>
      <c r="E9" s="340" t="s">
        <v>26</v>
      </c>
      <c r="F9" s="341" t="s">
        <v>147</v>
      </c>
      <c r="G9" s="339" t="s">
        <v>63</v>
      </c>
      <c r="H9" s="340" t="s">
        <v>26</v>
      </c>
      <c r="I9" s="341" t="s">
        <v>147</v>
      </c>
      <c r="J9" s="339" t="s">
        <v>63</v>
      </c>
      <c r="K9" s="340" t="s">
        <v>26</v>
      </c>
      <c r="L9" s="341" t="s">
        <v>147</v>
      </c>
      <c r="M9" s="339" t="s">
        <v>63</v>
      </c>
      <c r="N9" s="340" t="s">
        <v>26</v>
      </c>
      <c r="O9" s="341" t="s">
        <v>147</v>
      </c>
      <c r="P9" s="96"/>
      <c r="Q9" s="339" t="s">
        <v>63</v>
      </c>
      <c r="R9" s="340" t="s">
        <v>26</v>
      </c>
      <c r="S9" s="341" t="s">
        <v>147</v>
      </c>
      <c r="T9" s="339" t="s">
        <v>63</v>
      </c>
      <c r="U9" s="340" t="s">
        <v>26</v>
      </c>
      <c r="V9" s="341" t="s">
        <v>147</v>
      </c>
      <c r="W9" s="339" t="s">
        <v>63</v>
      </c>
      <c r="X9" s="340" t="s">
        <v>26</v>
      </c>
      <c r="Y9" s="341" t="s">
        <v>147</v>
      </c>
      <c r="Z9" s="339" t="s">
        <v>63</v>
      </c>
      <c r="AA9" s="340" t="s">
        <v>26</v>
      </c>
      <c r="AB9" s="341" t="s">
        <v>147</v>
      </c>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row>
    <row r="10" ht="15.6" customHeight="1">
      <c r="A10" s="92" t="s">
        <v>145</v>
      </c>
      <c r="B10" s="342">
        <v>10</v>
      </c>
      <c r="C10" s="343" t="s">
        <v>49</v>
      </c>
      <c r="D10" s="374">
        <v>88.23809523809523809523809524</v>
      </c>
      <c r="E10" s="382"/>
      <c r="F10" s="375">
        <v>116.47446566990213377901450735</v>
      </c>
      <c r="G10" s="374">
        <v>0</v>
      </c>
      <c r="H10" s="382"/>
      <c r="I10" s="375">
        <v>132.95241303766830660127003964</v>
      </c>
      <c r="J10" s="374">
        <v>91.66666666666666666666666667</v>
      </c>
      <c r="K10" s="382"/>
      <c r="L10" s="375">
        <v>87.85081901243919341827039535</v>
      </c>
      <c r="M10" s="374">
        <v>88.46666666666666666666666667</v>
      </c>
      <c r="N10" s="382">
        <v>85.15414141414141414141414141</v>
      </c>
      <c r="O10" s="375">
        <v>118.49311926605504587155963303</v>
      </c>
      <c r="P10" s="4"/>
      <c r="Q10" s="354">
        <v>-10.791102048923495633351508200</v>
      </c>
      <c r="R10" s="355"/>
      <c r="S10" s="356">
        <v>4.9974502997831637003136108200</v>
      </c>
      <c r="T10" s="354">
        <v>0</v>
      </c>
      <c r="U10" s="355"/>
      <c r="V10" s="356">
        <v>0.7325824725791967332300127400</v>
      </c>
      <c r="W10" s="354">
        <v>0.1821493624772313296903460900</v>
      </c>
      <c r="X10" s="355"/>
      <c r="Y10" s="356">
        <v>-2.613681499989432059191510700</v>
      </c>
      <c r="Z10" s="354">
        <v>-10.186125211505922165820642970</v>
      </c>
      <c r="AA10" s="355">
        <v>9.899325850634951820221768200</v>
      </c>
      <c r="AB10" s="356">
        <v>6.5671958588299352557124206200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row>
    <row r="11" ht="15.6" customHeight="1">
      <c r="A11" s="92"/>
      <c r="B11" s="344">
        <v>11</v>
      </c>
      <c r="C11" s="345" t="s">
        <v>47</v>
      </c>
      <c r="D11" s="370">
        <v>97.9</v>
      </c>
      <c r="E11" s="172"/>
      <c r="F11" s="371">
        <v>135.08545590449055033512770001</v>
      </c>
      <c r="G11" s="370">
        <v>0</v>
      </c>
      <c r="H11" s="172"/>
      <c r="I11" s="371">
        <v>138.2107591214907386812807217</v>
      </c>
      <c r="J11" s="370">
        <v>100</v>
      </c>
      <c r="K11" s="172"/>
      <c r="L11" s="371">
        <v>94.92631618483751081274679603</v>
      </c>
      <c r="M11" s="370">
        <v>97.95833333333333333333333333</v>
      </c>
      <c r="N11" s="172">
        <v>90.10400584795321637426900584</v>
      </c>
      <c r="O11" s="371">
        <v>135.34217955957086391869000565</v>
      </c>
      <c r="P11" s="4"/>
      <c r="Q11" s="327">
        <v>5.3227459016177617323972094800</v>
      </c>
      <c r="R11" s="171"/>
      <c r="S11" s="328">
        <v>9.064054946439182742700776910</v>
      </c>
      <c r="T11" s="327">
        <v>-100</v>
      </c>
      <c r="U11" s="171"/>
      <c r="V11" s="328">
        <v>-3.727839693159465877007510200</v>
      </c>
      <c r="W11" s="327">
        <v>27.118644067742746337259431040</v>
      </c>
      <c r="X11" s="171"/>
      <c r="Y11" s="328">
        <v>26.880450418177232215925084750</v>
      </c>
      <c r="Z11" s="327">
        <v>7.0582877959927140255009107400</v>
      </c>
      <c r="AA11" s="171">
        <v>-19.768060241497390246014176010</v>
      </c>
      <c r="AB11" s="328">
        <v>7.5506556035217425516745970200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row>
    <row r="12" ht="15.6" customHeight="1">
      <c r="A12" s="92"/>
      <c r="B12" s="346">
        <v>12</v>
      </c>
      <c r="C12" s="347" t="s">
        <v>48</v>
      </c>
      <c r="D12" s="378">
        <v>98.2</v>
      </c>
      <c r="E12" s="173"/>
      <c r="F12" s="379">
        <v>146.08122731631454442045313276</v>
      </c>
      <c r="G12" s="378">
        <v>0</v>
      </c>
      <c r="H12" s="173"/>
      <c r="I12" s="379">
        <v>142.67445368358236775135039601</v>
      </c>
      <c r="J12" s="378">
        <v>98</v>
      </c>
      <c r="K12" s="173"/>
      <c r="L12" s="379">
        <v>90.46759255257892825065493717</v>
      </c>
      <c r="M12" s="378">
        <v>98.19480519480519480519480519</v>
      </c>
      <c r="N12" s="173">
        <v>95.16780678851174934725848564</v>
      </c>
      <c r="O12" s="379">
        <v>145.13059125964010282776349614</v>
      </c>
      <c r="P12" s="4"/>
      <c r="Q12" s="359">
        <v>-6.9351836182473101301939763800</v>
      </c>
      <c r="R12" s="170"/>
      <c r="S12" s="360">
        <v>7.7978267871813106794185100100</v>
      </c>
      <c r="T12" s="359">
        <v>-100</v>
      </c>
      <c r="U12" s="170"/>
      <c r="V12" s="360">
        <v>17.786012067900862953613019770</v>
      </c>
      <c r="W12" s="359">
        <v>5.3763440860215053763440860200</v>
      </c>
      <c r="X12" s="170"/>
      <c r="Y12" s="360">
        <v>1.9500376661725745340894296700</v>
      </c>
      <c r="Z12" s="359">
        <v>-5.3148574233990424038930912100</v>
      </c>
      <c r="AA12" s="170">
        <v>-12.478976411519958158106361560</v>
      </c>
      <c r="AB12" s="360">
        <v>7.976437889950214129516562960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row>
    <row r="13" ht="15.6" customHeight="1">
      <c r="A13" s="92"/>
      <c r="B13" s="344">
        <v>13</v>
      </c>
      <c r="C13" s="345" t="s">
        <v>50</v>
      </c>
      <c r="D13" s="370">
        <v>95.78461538461538461538461538</v>
      </c>
      <c r="E13" s="172"/>
      <c r="F13" s="371">
        <v>140.35490831892604725678594392</v>
      </c>
      <c r="G13" s="370">
        <v>0</v>
      </c>
      <c r="H13" s="172"/>
      <c r="I13" s="371">
        <v>147.12810719852012955871042956</v>
      </c>
      <c r="J13" s="370">
        <v>98</v>
      </c>
      <c r="K13" s="172"/>
      <c r="L13" s="371">
        <v>91.32089412321939076057888731</v>
      </c>
      <c r="M13" s="370">
        <v>95.88235294117647058823529412</v>
      </c>
      <c r="N13" s="172">
        <v>95.14286458333333333333333333</v>
      </c>
      <c r="O13" s="371">
        <v>141.59863229879011046817464492</v>
      </c>
      <c r="P13" s="4"/>
      <c r="Q13" s="327">
        <v>-15.129234603137413603978743120</v>
      </c>
      <c r="R13" s="171"/>
      <c r="S13" s="328">
        <v>7.5896282757987220891424690600</v>
      </c>
      <c r="T13" s="327">
        <v>-100</v>
      </c>
      <c r="U13" s="171"/>
      <c r="V13" s="328">
        <v>26.246767865020950811115769040</v>
      </c>
      <c r="W13" s="327">
        <v>1.7301038062635744303827901600</v>
      </c>
      <c r="X13" s="171"/>
      <c r="Y13" s="328">
        <v>-1.6944608226948832785464775500</v>
      </c>
      <c r="Z13" s="327">
        <v>-12.899433579157230002441133430</v>
      </c>
      <c r="AA13" s="171">
        <v>0.2798308665718525773177667900</v>
      </c>
      <c r="AB13" s="328">
        <v>9.220679176558851466631209200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row>
    <row r="14" ht="15.6" customHeight="1">
      <c r="A14" s="92"/>
      <c r="B14" s="346">
        <v>14</v>
      </c>
      <c r="C14" s="347" t="s">
        <v>51</v>
      </c>
      <c r="D14" s="378">
        <v>87.65822784810126582278481013</v>
      </c>
      <c r="E14" s="173"/>
      <c r="F14" s="379">
        <v>126.08207614720697420475138353</v>
      </c>
      <c r="G14" s="378">
        <v>0</v>
      </c>
      <c r="H14" s="173"/>
      <c r="I14" s="379">
        <v>130.65218787843568606520696207</v>
      </c>
      <c r="J14" s="378">
        <v>97</v>
      </c>
      <c r="K14" s="173"/>
      <c r="L14" s="379">
        <v>91.11178960425059927667740575</v>
      </c>
      <c r="M14" s="378">
        <v>87.775000000</v>
      </c>
      <c r="N14" s="173">
        <v>91.15113095238095238095238095</v>
      </c>
      <c r="O14" s="379">
        <v>126.62339331619537275064267352</v>
      </c>
      <c r="P14" s="4"/>
      <c r="Q14" s="359">
        <v>-9.240833979501447235763613820</v>
      </c>
      <c r="R14" s="170"/>
      <c r="S14" s="360">
        <v>4.1023911744737859192572205800</v>
      </c>
      <c r="T14" s="359">
        <v>-100</v>
      </c>
      <c r="U14" s="170"/>
      <c r="V14" s="360">
        <v>16.337978416206890729852394110</v>
      </c>
      <c r="W14" s="359">
        <v>7.3800738007776310235427223700</v>
      </c>
      <c r="X14" s="170"/>
      <c r="Y14" s="360">
        <v>4.0441997755825435061274999900</v>
      </c>
      <c r="Z14" s="359">
        <v>-8.769291338562563308326612220</v>
      </c>
      <c r="AA14" s="170">
        <v>-12.251575147194763375523552280</v>
      </c>
      <c r="AB14" s="360">
        <v>5.3464271871028655559226329700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row>
    <row r="15" ht="15.6" customHeight="1">
      <c r="A15" s="92"/>
      <c r="B15" s="344">
        <v>15</v>
      </c>
      <c r="C15" s="345" t="s">
        <v>52</v>
      </c>
      <c r="D15" s="370">
        <v>97.42352941176470588235294118</v>
      </c>
      <c r="E15" s="172"/>
      <c r="F15" s="371">
        <v>121.94466991341991341991341991</v>
      </c>
      <c r="G15" s="370">
        <v>0</v>
      </c>
      <c r="H15" s="172"/>
      <c r="I15" s="371">
        <v>137.27438545213767441107161077</v>
      </c>
      <c r="J15" s="370">
        <v>103.66666666666666666666666667</v>
      </c>
      <c r="K15" s="172"/>
      <c r="L15" s="371">
        <v>103.34135071319923014838269075</v>
      </c>
      <c r="M15" s="370">
        <v>97.63636363636363636363636364</v>
      </c>
      <c r="N15" s="172">
        <v>93.25472375690607734806629834</v>
      </c>
      <c r="O15" s="371">
        <v>123.82074175824175824175824176</v>
      </c>
      <c r="P15" s="4"/>
      <c r="Q15" s="327">
        <v>-11.640895920562070297569895200</v>
      </c>
      <c r="R15" s="171"/>
      <c r="S15" s="328">
        <v>3.9663448077796906768643464900</v>
      </c>
      <c r="T15" s="327">
        <v>-100</v>
      </c>
      <c r="U15" s="171"/>
      <c r="V15" s="328">
        <v>25.566923688858363493552023400</v>
      </c>
      <c r="W15" s="327">
        <v>0</v>
      </c>
      <c r="X15" s="171"/>
      <c r="Y15" s="328">
        <v>0</v>
      </c>
      <c r="Z15" s="327">
        <v>-11.348946528970552174755630470</v>
      </c>
      <c r="AA15" s="171">
        <v>-10.710799058241907603814966880</v>
      </c>
      <c r="AB15" s="328">
        <v>6.0985126452747317773019205300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row>
    <row r="16" ht="15.6" customHeight="1">
      <c r="A16" s="92"/>
      <c r="B16" s="346">
        <v>16</v>
      </c>
      <c r="C16" s="347" t="s">
        <v>53</v>
      </c>
      <c r="D16" s="378">
        <v>93.98019801980198019801980198</v>
      </c>
      <c r="E16" s="173"/>
      <c r="F16" s="379">
        <v>111.44728902169783181126886442</v>
      </c>
      <c r="G16" s="378">
        <v>0</v>
      </c>
      <c r="H16" s="173"/>
      <c r="I16" s="379">
        <v>125.95773122840180083841896889</v>
      </c>
      <c r="J16" s="378">
        <v>100</v>
      </c>
      <c r="K16" s="173"/>
      <c r="L16" s="379">
        <v>91.89369070751326350475849302</v>
      </c>
      <c r="M16" s="378">
        <v>94.09708737864077669902912621</v>
      </c>
      <c r="N16" s="173">
        <v>93.06713498622589531680440772</v>
      </c>
      <c r="O16" s="379">
        <v>113.01161290322580645161290323</v>
      </c>
      <c r="P16" s="4"/>
      <c r="Q16" s="359">
        <v>-2.5199145757944379201251881800</v>
      </c>
      <c r="R16" s="170"/>
      <c r="S16" s="360">
        <v>-3.1517286963190068965640363700</v>
      </c>
      <c r="T16" s="359">
        <v>-100</v>
      </c>
      <c r="U16" s="170"/>
      <c r="V16" s="360">
        <v>4.4783148532254426444640706600</v>
      </c>
      <c r="W16" s="359">
        <v>3.6269430051813471502590673600</v>
      </c>
      <c r="X16" s="170"/>
      <c r="Y16" s="360">
        <v>-3.6246939938761187516693924900</v>
      </c>
      <c r="Z16" s="359">
        <v>-3.8612020673311722454368103100</v>
      </c>
      <c r="AA16" s="170">
        <v>-10.702384551569286357253414660</v>
      </c>
      <c r="AB16" s="360">
        <v>-2.2164938106303813020702417800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row>
    <row r="17" ht="15.6" customHeight="1">
      <c r="A17" s="92"/>
      <c r="B17" s="344">
        <v>17</v>
      </c>
      <c r="C17" s="345" t="s">
        <v>49</v>
      </c>
      <c r="D17" s="370">
        <v>89.0487804878048780487804878</v>
      </c>
      <c r="E17" s="172"/>
      <c r="F17" s="371">
        <v>115.43168661590442472153515366</v>
      </c>
      <c r="G17" s="370">
        <v>0</v>
      </c>
      <c r="H17" s="172"/>
      <c r="I17" s="371">
        <v>124.01328081911355184933291377</v>
      </c>
      <c r="J17" s="370">
        <v>102</v>
      </c>
      <c r="K17" s="172"/>
      <c r="L17" s="371">
        <v>94.75997381056307289393278045</v>
      </c>
      <c r="M17" s="370">
        <v>89.65116279069767441860465116</v>
      </c>
      <c r="N17" s="172">
        <v>88.60893536121673003802281369</v>
      </c>
      <c r="O17" s="371">
        <v>116.09363636363636363636363636</v>
      </c>
      <c r="P17" s="4"/>
      <c r="Q17" s="327">
        <v>-35.723666054433386016112728290</v>
      </c>
      <c r="R17" s="171"/>
      <c r="S17" s="328">
        <v>0.6820553112955744920068726100</v>
      </c>
      <c r="T17" s="327">
        <v>-100</v>
      </c>
      <c r="U17" s="171"/>
      <c r="V17" s="328">
        <v>4.0155966104820989442835545900</v>
      </c>
      <c r="W17" s="327">
        <v>-30.612244897959183673469387760</v>
      </c>
      <c r="X17" s="171"/>
      <c r="Y17" s="328">
        <v>-31.378162760357454963754778470</v>
      </c>
      <c r="Z17" s="327">
        <v>-37.233725000663759736099582330</v>
      </c>
      <c r="AA17" s="171">
        <v>-8.036597814615697050712939800</v>
      </c>
      <c r="AB17" s="328">
        <v>0.800046262925469698602326500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row>
    <row r="18" ht="15.6" customHeight="1">
      <c r="A18" s="92"/>
      <c r="B18" s="346">
        <v>18</v>
      </c>
      <c r="C18" s="347" t="s">
        <v>47</v>
      </c>
      <c r="D18" s="378">
        <v>89.47169811320754716981132075</v>
      </c>
      <c r="E18" s="173"/>
      <c r="F18" s="379">
        <v>130.06284449050452535459718414</v>
      </c>
      <c r="G18" s="378">
        <v>0</v>
      </c>
      <c r="H18" s="173"/>
      <c r="I18" s="379">
        <v>131.44143781955466884841045144</v>
      </c>
      <c r="J18" s="378">
        <v>98</v>
      </c>
      <c r="K18" s="173"/>
      <c r="L18" s="379">
        <v>89.8472677019129197488033262</v>
      </c>
      <c r="M18" s="378">
        <v>89.92857142857142857142857143</v>
      </c>
      <c r="N18" s="173">
        <v>89.10545454545454545454545454</v>
      </c>
      <c r="O18" s="379">
        <v>130.04016786570743405275779376</v>
      </c>
      <c r="P18" s="4"/>
      <c r="Q18" s="359">
        <v>-50.250315558251233545891185680</v>
      </c>
      <c r="R18" s="170"/>
      <c r="S18" s="360">
        <v>0.7127290241164336786073408100</v>
      </c>
      <c r="T18" s="359">
        <v>-100</v>
      </c>
      <c r="U18" s="170"/>
      <c r="V18" s="360">
        <v>-9.342604677658110915151850030</v>
      </c>
      <c r="W18" s="359">
        <v>-40.963855421686746987951807230</v>
      </c>
      <c r="X18" s="170"/>
      <c r="Y18" s="360">
        <v>-43.207932719159780203790436120</v>
      </c>
      <c r="Z18" s="359">
        <v>-49.711950593759353238980959220</v>
      </c>
      <c r="AA18" s="170">
        <v>-13.987056791997526873030462910</v>
      </c>
      <c r="AB18" s="360">
        <v>-1.4244250011918181711400503100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row>
    <row r="19" ht="15.6" customHeight="1">
      <c r="A19" s="92"/>
      <c r="B19" s="344">
        <v>19</v>
      </c>
      <c r="C19" s="345" t="s">
        <v>48</v>
      </c>
      <c r="D19" s="370">
        <v>97.23076923076923076923076923</v>
      </c>
      <c r="E19" s="172"/>
      <c r="F19" s="371">
        <v>144.07386966712352028670927456</v>
      </c>
      <c r="G19" s="370">
        <v>0</v>
      </c>
      <c r="H19" s="172"/>
      <c r="I19" s="371">
        <v>131.36910644338773097203421623</v>
      </c>
      <c r="J19" s="370">
        <v>104.5</v>
      </c>
      <c r="K19" s="172"/>
      <c r="L19" s="371">
        <v>97.87768134665648782608606065</v>
      </c>
      <c r="M19" s="370">
        <v>97.44776119402985074626865672</v>
      </c>
      <c r="N19" s="172">
        <v>98.67638121546961325966850828</v>
      </c>
      <c r="O19" s="371">
        <v>142.56390977443609022556390977</v>
      </c>
      <c r="P19" s="4"/>
      <c r="Q19" s="327">
        <v>-10.597950757032030177096148760</v>
      </c>
      <c r="R19" s="171"/>
      <c r="S19" s="328">
        <v>3.0340562187557248342055570400</v>
      </c>
      <c r="T19" s="327">
        <v>-100</v>
      </c>
      <c r="U19" s="171"/>
      <c r="V19" s="328">
        <v>6.3693354077359883948915079800</v>
      </c>
      <c r="W19" s="327">
        <v>16.111111111111111111111111110</v>
      </c>
      <c r="X19" s="171"/>
      <c r="Y19" s="328">
        <v>13.438829269822868766828181190</v>
      </c>
      <c r="Z19" s="327">
        <v>-6.226322245859332190840814100</v>
      </c>
      <c r="AA19" s="171">
        <v>-8.455487760887269997561785400</v>
      </c>
      <c r="AB19" s="328">
        <v>3.2929361950551687069739138900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row>
    <row r="20" ht="15.6" customHeight="1">
      <c r="A20" s="92"/>
      <c r="B20" s="346">
        <v>20</v>
      </c>
      <c r="C20" s="347" t="s">
        <v>50</v>
      </c>
      <c r="D20" s="378">
        <v>91.79032258064516129032258065</v>
      </c>
      <c r="E20" s="173"/>
      <c r="F20" s="379">
        <v>141.83227071441506700189970914</v>
      </c>
      <c r="G20" s="378">
        <v>0</v>
      </c>
      <c r="H20" s="173"/>
      <c r="I20" s="379">
        <v>132.96187059535231553220322419</v>
      </c>
      <c r="J20" s="378">
        <v>100.33333333333333333333333333</v>
      </c>
      <c r="K20" s="173"/>
      <c r="L20" s="379">
        <v>94.5196803391456402040365842</v>
      </c>
      <c r="M20" s="378">
        <v>92.18461538461538461538461538</v>
      </c>
      <c r="N20" s="173">
        <v>98.07531680440771349862258953</v>
      </c>
      <c r="O20" s="379">
        <v>140.63856098931984260820685779</v>
      </c>
      <c r="P20" s="4"/>
      <c r="Q20" s="359">
        <v>-7.407206542693989016669452600</v>
      </c>
      <c r="R20" s="170"/>
      <c r="S20" s="360">
        <v>4.7161202030042884056939364600</v>
      </c>
      <c r="T20" s="359">
        <v>-100</v>
      </c>
      <c r="U20" s="170"/>
      <c r="V20" s="360">
        <v>21.193647190241247581814893280</v>
      </c>
      <c r="W20" s="359">
        <v>10.256410256410256410256410250</v>
      </c>
      <c r="X20" s="170"/>
      <c r="Y20" s="360">
        <v>8.471872973574745308038982210</v>
      </c>
      <c r="Z20" s="359">
        <v>-4.5954821375261220021892725700</v>
      </c>
      <c r="AA20" s="170">
        <v>-1.9133836173850092544435223600</v>
      </c>
      <c r="AB20" s="360">
        <v>5.7155974527420554615188338400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row>
    <row r="21" ht="15.6" customHeight="1">
      <c r="A21" s="92"/>
      <c r="B21" s="344">
        <v>21</v>
      </c>
      <c r="C21" s="345" t="s">
        <v>51</v>
      </c>
      <c r="D21" s="370">
        <v>90.66071428571428571428571429</v>
      </c>
      <c r="E21" s="172"/>
      <c r="F21" s="371">
        <v>124.23559062329925312633495346</v>
      </c>
      <c r="G21" s="370">
        <v>0</v>
      </c>
      <c r="H21" s="172"/>
      <c r="I21" s="371">
        <v>126.48956983818607410282665874</v>
      </c>
      <c r="J21" s="370">
        <v>98.5</v>
      </c>
      <c r="K21" s="172"/>
      <c r="L21" s="371">
        <v>93.73640675077119007133264298</v>
      </c>
      <c r="M21" s="370">
        <v>90.93103448275862068965517241</v>
      </c>
      <c r="N21" s="172">
        <v>86.81640127388535031847133757</v>
      </c>
      <c r="O21" s="371">
        <v>124.43435754189944134078212291</v>
      </c>
      <c r="P21" s="4"/>
      <c r="Q21" s="327">
        <v>-23.609104915980547932014059410</v>
      </c>
      <c r="R21" s="171"/>
      <c r="S21" s="328">
        <v>5.488307762514932430343375400</v>
      </c>
      <c r="T21" s="327">
        <v>-100</v>
      </c>
      <c r="U21" s="171"/>
      <c r="V21" s="328">
        <v>28.507598984192023988368278900</v>
      </c>
      <c r="W21" s="327">
        <v>4.7872340425531914893617021300</v>
      </c>
      <c r="X21" s="171"/>
      <c r="Y21" s="328">
        <v>1.7157614024067052421008589200</v>
      </c>
      <c r="Z21" s="327">
        <v>-16.395738940932861532059247320</v>
      </c>
      <c r="AA21" s="171">
        <v>-8.695858389335938739472742690</v>
      </c>
      <c r="AB21" s="328">
        <v>7.1402829435448272458622944200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row>
    <row r="22" ht="15.6" customHeight="1">
      <c r="A22" s="92"/>
      <c r="B22" s="346">
        <v>22</v>
      </c>
      <c r="C22" s="347" t="s">
        <v>52</v>
      </c>
      <c r="D22" s="378">
        <v>95.15789473684210526315789474</v>
      </c>
      <c r="E22" s="173"/>
      <c r="F22" s="379">
        <v>122.3871880367306516347123219</v>
      </c>
      <c r="G22" s="378">
        <v>0</v>
      </c>
      <c r="H22" s="173"/>
      <c r="I22" s="379">
        <v>124.96314606762728363053715094</v>
      </c>
      <c r="J22" s="378">
        <v>96.5</v>
      </c>
      <c r="K22" s="173"/>
      <c r="L22" s="379">
        <v>93.04195175764787545242699192</v>
      </c>
      <c r="M22" s="378">
        <v>95.19230769230769230769230769</v>
      </c>
      <c r="N22" s="173">
        <v>91.17736507936507936507936508</v>
      </c>
      <c r="O22" s="379">
        <v>122.59259259259259259259259259</v>
      </c>
      <c r="P22" s="4"/>
      <c r="Q22" s="359">
        <v>-29.236790606639772366067835570</v>
      </c>
      <c r="R22" s="170"/>
      <c r="S22" s="360">
        <v>9.198885769013492767529227940</v>
      </c>
      <c r="T22" s="359">
        <v>-100</v>
      </c>
      <c r="U22" s="170"/>
      <c r="V22" s="360">
        <v>3.7708862823945505228225011800</v>
      </c>
      <c r="W22" s="359">
        <v>-20.901639344262295081967213110</v>
      </c>
      <c r="X22" s="170"/>
      <c r="Y22" s="360">
        <v>-24.069809164653199142113900950</v>
      </c>
      <c r="Z22" s="359">
        <v>-28.751277185803277055450936050</v>
      </c>
      <c r="AA22" s="170">
        <v>26.633286421176428336957810740</v>
      </c>
      <c r="AB22" s="360">
        <v>7.946878425287075855048999660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row>
    <row r="23" ht="15.6" customHeight="1">
      <c r="A23" s="92"/>
      <c r="B23" s="344">
        <v>23</v>
      </c>
      <c r="C23" s="345" t="s">
        <v>53</v>
      </c>
      <c r="D23" s="370">
        <v>104.87654320987654320987654321</v>
      </c>
      <c r="E23" s="172"/>
      <c r="F23" s="371">
        <v>119.58835188301984530228293361</v>
      </c>
      <c r="G23" s="370">
        <v>0</v>
      </c>
      <c r="H23" s="172"/>
      <c r="I23" s="371">
        <v>130.72401735761820130213866651</v>
      </c>
      <c r="J23" s="370">
        <v>107</v>
      </c>
      <c r="K23" s="172"/>
      <c r="L23" s="371">
        <v>100.17315916271839865895912863</v>
      </c>
      <c r="M23" s="370">
        <v>104.92771084337349397590361446</v>
      </c>
      <c r="N23" s="172">
        <v>87.85287096774193548387096774</v>
      </c>
      <c r="O23" s="371">
        <v>120.71554650373387644263408011</v>
      </c>
      <c r="P23" s="4"/>
      <c r="Q23" s="327">
        <v>2.0105329971244770760719328300</v>
      </c>
      <c r="R23" s="171"/>
      <c r="S23" s="328">
        <v>4.3817761942273700847302261200</v>
      </c>
      <c r="T23" s="327">
        <v>-100</v>
      </c>
      <c r="U23" s="171"/>
      <c r="V23" s="328">
        <v>14.777961096682093282154605930</v>
      </c>
      <c r="W23" s="327">
        <v>15.675675675675675675675675680</v>
      </c>
      <c r="X23" s="171"/>
      <c r="Y23" s="328">
        <v>8.942792486698088928312397760</v>
      </c>
      <c r="Z23" s="327">
        <v>0.3981211896763742712941401400</v>
      </c>
      <c r="AA23" s="171">
        <v>-10.673632341394871539024187320</v>
      </c>
      <c r="AB23" s="328">
        <v>5.5598572245088212811101832200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row>
    <row r="24" ht="15.6" customHeight="1">
      <c r="A24" s="92"/>
      <c r="B24" s="346">
        <v>24</v>
      </c>
      <c r="C24" s="347" t="s">
        <v>49</v>
      </c>
      <c r="D24" s="378">
        <v>103.14814814814814814814814815</v>
      </c>
      <c r="E24" s="173"/>
      <c r="F24" s="379">
        <v>118.00840075920142601337835523</v>
      </c>
      <c r="G24" s="378">
        <v>0</v>
      </c>
      <c r="H24" s="173"/>
      <c r="I24" s="379">
        <v>128.58863761033730543724901274</v>
      </c>
      <c r="J24" s="378">
        <v>122</v>
      </c>
      <c r="K24" s="173"/>
      <c r="L24" s="379">
        <v>111.53263198502728508532188351</v>
      </c>
      <c r="M24" s="378">
        <v>105.03333333333333333333333333</v>
      </c>
      <c r="N24" s="173">
        <v>85.94584745762711864406779662</v>
      </c>
      <c r="O24" s="379">
        <v>119.35235507246376811594202899</v>
      </c>
      <c r="P24" s="4"/>
      <c r="Q24" s="359">
        <v>14.302495082070394678347849120</v>
      </c>
      <c r="R24" s="170"/>
      <c r="S24" s="360">
        <v>4.5967348751116549421424986100</v>
      </c>
      <c r="T24" s="359">
        <v>-100</v>
      </c>
      <c r="U24" s="170"/>
      <c r="V24" s="360">
        <v>13.990423520612535440552432310</v>
      </c>
      <c r="W24" s="359">
        <v>31.182795698924731182795698920</v>
      </c>
      <c r="X24" s="170"/>
      <c r="Y24" s="360">
        <v>22.031687164075917356570805960</v>
      </c>
      <c r="Z24" s="359">
        <v>6.7344130411770932571186620100</v>
      </c>
      <c r="AA24" s="170">
        <v>-9.170219298993886213838714530</v>
      </c>
      <c r="AB24" s="360">
        <v>5.8383847098063206720035373800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row>
    <row r="25" ht="15.6" customHeight="1">
      <c r="A25" s="92"/>
      <c r="B25" s="344">
        <v>25</v>
      </c>
      <c r="C25" s="345" t="s">
        <v>47</v>
      </c>
      <c r="D25" s="370">
        <v>92.48</v>
      </c>
      <c r="E25" s="172"/>
      <c r="F25" s="371">
        <v>131.48777567357115740886427075</v>
      </c>
      <c r="G25" s="370">
        <v>0</v>
      </c>
      <c r="H25" s="172"/>
      <c r="I25" s="371">
        <v>133.82837457806761751062155079</v>
      </c>
      <c r="J25" s="370">
        <v>98</v>
      </c>
      <c r="K25" s="172"/>
      <c r="L25" s="371">
        <v>90.68702634428004330566582461</v>
      </c>
      <c r="M25" s="370">
        <v>92.79245283018867924528301887</v>
      </c>
      <c r="N25" s="172">
        <v>93.49617449664429530201342281</v>
      </c>
      <c r="O25" s="371">
        <v>131.56842737094837935174069628</v>
      </c>
      <c r="P25" s="4"/>
      <c r="Q25" s="327">
        <v>-8.950773558342883480607128800</v>
      </c>
      <c r="R25" s="171"/>
      <c r="S25" s="328">
        <v>3.5179799771131953307361967100</v>
      </c>
      <c r="T25" s="327">
        <v>-100</v>
      </c>
      <c r="U25" s="171"/>
      <c r="V25" s="328">
        <v>32.618559756720047207125512830</v>
      </c>
      <c r="W25" s="327">
        <v>2.0833333333333333333333333300</v>
      </c>
      <c r="X25" s="171"/>
      <c r="Y25" s="328">
        <v>-3.5596207944129994699074146800</v>
      </c>
      <c r="Z25" s="327">
        <v>-10.721103732620848304124773640</v>
      </c>
      <c r="AA25" s="171">
        <v>8.810760532115742868498992470</v>
      </c>
      <c r="AB25" s="328">
        <v>6.5825732753098469771504105300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row>
    <row r="26" ht="15.6" customHeight="1">
      <c r="A26" s="92"/>
      <c r="B26" s="346">
        <v>26</v>
      </c>
      <c r="C26" s="347" t="s">
        <v>48</v>
      </c>
      <c r="D26" s="378">
        <v>97.55555555555555555555555556</v>
      </c>
      <c r="E26" s="173"/>
      <c r="F26" s="379">
        <v>143.3405984695808300671165042</v>
      </c>
      <c r="G26" s="378">
        <v>0</v>
      </c>
      <c r="H26" s="173"/>
      <c r="I26" s="379">
        <v>123.24206346026348740316000023</v>
      </c>
      <c r="J26" s="378">
        <v>100.66666666666666666666666667</v>
      </c>
      <c r="K26" s="173"/>
      <c r="L26" s="379">
        <v>93.46976693485405765266837005</v>
      </c>
      <c r="M26" s="378">
        <v>97.750000000</v>
      </c>
      <c r="N26" s="173">
        <v>97.64501408450704225352112676</v>
      </c>
      <c r="O26" s="379">
        <v>141.57827298050139275766016713</v>
      </c>
      <c r="P26" s="4"/>
      <c r="Q26" s="359">
        <v>-8.488462284281787898385121810</v>
      </c>
      <c r="R26" s="170"/>
      <c r="S26" s="360">
        <v>4.6285462725817725195075765300</v>
      </c>
      <c r="T26" s="359">
        <v>-100</v>
      </c>
      <c r="U26" s="170"/>
      <c r="V26" s="360">
        <v>-14.003177267859681394881523760</v>
      </c>
      <c r="W26" s="359">
        <v>7.6648841354723707664884135500</v>
      </c>
      <c r="X26" s="170"/>
      <c r="Y26" s="360">
        <v>10.180535215008869348528844630</v>
      </c>
      <c r="Z26" s="359">
        <v>-5.6840672933957654792907955900</v>
      </c>
      <c r="AA26" s="170">
        <v>-47.103075060027752837857900830</v>
      </c>
      <c r="AB26" s="360">
        <v>2.7253076350479371621704674800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row>
    <row r="27" ht="15.6" customHeight="1">
      <c r="A27" s="92"/>
      <c r="B27" s="344">
        <v>27</v>
      </c>
      <c r="C27" s="345" t="s">
        <v>50</v>
      </c>
      <c r="D27" s="370">
        <v>93.44444444444444444444444444</v>
      </c>
      <c r="E27" s="172"/>
      <c r="F27" s="371">
        <v>133.2194383020051676172232617</v>
      </c>
      <c r="G27" s="370">
        <v>0</v>
      </c>
      <c r="H27" s="172"/>
      <c r="I27" s="371">
        <v>173.04387193673863056343356547</v>
      </c>
      <c r="J27" s="370">
        <v>100</v>
      </c>
      <c r="K27" s="172"/>
      <c r="L27" s="371">
        <v>93.35700220093798951399113359</v>
      </c>
      <c r="M27" s="370">
        <v>93.78947368421052631578947368</v>
      </c>
      <c r="N27" s="172">
        <v>91.72658461538461538461538462</v>
      </c>
      <c r="O27" s="371">
        <v>135.18780193236714975845410628</v>
      </c>
      <c r="P27" s="4"/>
      <c r="Q27" s="327">
        <v>-3.8919907271644291665346106500</v>
      </c>
      <c r="R27" s="171"/>
      <c r="S27" s="328">
        <v>2.9160811908183611670110313700</v>
      </c>
      <c r="T27" s="327">
        <v>-100</v>
      </c>
      <c r="U27" s="171"/>
      <c r="V27" s="328">
        <v>49.581462131885297835612830740</v>
      </c>
      <c r="W27" s="327">
        <v>17.187500000045776367187517880</v>
      </c>
      <c r="X27" s="171"/>
      <c r="Y27" s="328">
        <v>12.332156313964128967285246130</v>
      </c>
      <c r="Z27" s="327">
        <v>-0.3583326114386894347207425900</v>
      </c>
      <c r="AA27" s="171">
        <v>-11.366027865218059251125069640</v>
      </c>
      <c r="AB27" s="328">
        <v>6.1887002768715206698951665900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row>
    <row r="28" ht="15.6" customHeight="1">
      <c r="A28" s="92"/>
      <c r="B28" s="346">
        <v>28</v>
      </c>
      <c r="C28" s="347" t="s">
        <v>51</v>
      </c>
      <c r="D28" s="378">
        <v>86.53333333333333333333333333</v>
      </c>
      <c r="E28" s="173"/>
      <c r="F28" s="379">
        <v>119.38935469973590359658986286</v>
      </c>
      <c r="G28" s="378">
        <v>0</v>
      </c>
      <c r="H28" s="173"/>
      <c r="I28" s="379">
        <v>310.1208172468842667929645175</v>
      </c>
      <c r="J28" s="378">
        <v>98</v>
      </c>
      <c r="K28" s="173"/>
      <c r="L28" s="379">
        <v>89.95217074840565749519689044</v>
      </c>
      <c r="M28" s="378">
        <v>86.90322580645161290322580645</v>
      </c>
      <c r="N28" s="173">
        <v>100.10512269938650306748466257</v>
      </c>
      <c r="O28" s="379">
        <v>123.68705035971223021582733813</v>
      </c>
      <c r="P28" s="4"/>
      <c r="Q28" s="359">
        <v>1.5210455901588568085336351500</v>
      </c>
      <c r="R28" s="170"/>
      <c r="S28" s="360">
        <v>2.8924384728308896721988670500</v>
      </c>
      <c r="T28" s="359">
        <v>-100</v>
      </c>
      <c r="U28" s="170"/>
      <c r="V28" s="360">
        <v>200.93606137459989134535082840</v>
      </c>
      <c r="W28" s="359">
        <v>9.497206703910614525139664800</v>
      </c>
      <c r="X28" s="170"/>
      <c r="Y28" s="360">
        <v>2.4324877073199862600795552800</v>
      </c>
      <c r="Z28" s="359">
        <v>-3.9234365610721052493250372700</v>
      </c>
      <c r="AA28" s="170">
        <v>11.523609606949731478403245390</v>
      </c>
      <c r="AB28" s="360">
        <v>8.222407972051575631603741550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row>
    <row r="29" ht="15.6" customHeight="1">
      <c r="A29" s="92"/>
      <c r="B29" s="344">
        <v>29</v>
      </c>
      <c r="C29" s="345" t="s">
        <v>52</v>
      </c>
      <c r="D29" s="370">
        <v>129.28865979381443298969072165</v>
      </c>
      <c r="E29" s="172"/>
      <c r="F29" s="371">
        <v>128.78330118663005906484562036</v>
      </c>
      <c r="G29" s="370">
        <v>0</v>
      </c>
      <c r="H29" s="172"/>
      <c r="I29" s="371">
        <v>127.23948601610994697559806167</v>
      </c>
      <c r="J29" s="370">
        <v>120</v>
      </c>
      <c r="K29" s="172"/>
      <c r="L29" s="371">
        <v>116.62553894139926798165370074</v>
      </c>
      <c r="M29" s="370">
        <v>128.92079207920792079207920792</v>
      </c>
      <c r="N29" s="172">
        <v>93.09063037249283667621776505</v>
      </c>
      <c r="O29" s="371">
        <v>128.64503311258278145695364238</v>
      </c>
      <c r="P29" s="4"/>
      <c r="Q29" s="327">
        <v>15.481133019749138900738828810</v>
      </c>
      <c r="R29" s="171"/>
      <c r="S29" s="328">
        <v>16.062147651786907775662073870</v>
      </c>
      <c r="T29" s="327">
        <v>-100</v>
      </c>
      <c r="U29" s="171"/>
      <c r="V29" s="328">
        <v>3.6912037894287343709584880900</v>
      </c>
      <c r="W29" s="327">
        <v>23.076923076923076923076923080</v>
      </c>
      <c r="X29" s="171"/>
      <c r="Y29" s="328">
        <v>21.252963902150267113902419110</v>
      </c>
      <c r="Z29" s="327">
        <v>16.886768009124475159515818240</v>
      </c>
      <c r="AA29" s="171">
        <v>-4.0931971435979366254733517100</v>
      </c>
      <c r="AB29" s="328">
        <v>13.613823694557820379619491750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row>
    <row r="30" ht="15.6" customHeight="1">
      <c r="A30" s="92"/>
      <c r="B30" s="346">
        <v>30</v>
      </c>
      <c r="C30" s="347" t="s">
        <v>53</v>
      </c>
      <c r="D30" s="378">
        <v>145.08730158730158730158730159</v>
      </c>
      <c r="E30" s="173"/>
      <c r="F30" s="379">
        <v>136.59467715611676794369957639</v>
      </c>
      <c r="G30" s="378">
        <v>0</v>
      </c>
      <c r="H30" s="173"/>
      <c r="I30" s="379">
        <v>128.12886625714890912942173268</v>
      </c>
      <c r="J30" s="378">
        <v>107</v>
      </c>
      <c r="K30" s="173"/>
      <c r="L30" s="379">
        <v>104.65487549248040669349714044</v>
      </c>
      <c r="M30" s="378">
        <v>144.492187500</v>
      </c>
      <c r="N30" s="173">
        <v>99.39427461139896373056994818</v>
      </c>
      <c r="O30" s="379">
        <v>136.13</v>
      </c>
      <c r="P30" s="4"/>
      <c r="Q30" s="359">
        <v>44.365474216220484877201295110</v>
      </c>
      <c r="R30" s="170"/>
      <c r="S30" s="360">
        <v>18.552292511948670509183523310</v>
      </c>
      <c r="T30" s="359">
        <v>-100</v>
      </c>
      <c r="U30" s="170"/>
      <c r="V30" s="360">
        <v>4.3039634381702902491066957500</v>
      </c>
      <c r="W30" s="359">
        <v>15.675675675675675675675675680</v>
      </c>
      <c r="X30" s="170"/>
      <c r="Y30" s="360">
        <v>13.108729403076125263392729300</v>
      </c>
      <c r="Z30" s="359">
        <v>40.735063918660364232264507330</v>
      </c>
      <c r="AA30" s="170">
        <v>4.4791606899255544713069671900</v>
      </c>
      <c r="AB30" s="360">
        <v>16.644651082559429966584813400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row>
    <row r="31" ht="15.6" customHeight="1">
      <c r="A31" s="92"/>
      <c r="B31" s="344">
        <v>31</v>
      </c>
      <c r="C31" s="345" t="s">
        <v>49</v>
      </c>
      <c r="D31" s="370">
        <v>116.36885245901639344262295082</v>
      </c>
      <c r="E31" s="172"/>
      <c r="F31" s="371">
        <v>117.64536590384432464434526977</v>
      </c>
      <c r="G31" s="370">
        <v>0</v>
      </c>
      <c r="H31" s="172"/>
      <c r="I31" s="371">
        <v>125.40178056167706281970531426</v>
      </c>
      <c r="J31" s="370">
        <v>98</v>
      </c>
      <c r="K31" s="172"/>
      <c r="L31" s="371">
        <v>93.81201904614009279642076945</v>
      </c>
      <c r="M31" s="370">
        <v>116.07258064516129032258064516</v>
      </c>
      <c r="N31" s="172">
        <v>90.47417682926829268292682926</v>
      </c>
      <c r="O31" s="371">
        <v>117.68907563025210084033613445</v>
      </c>
      <c r="P31" s="4"/>
      <c r="Q31" s="327">
        <v>36.624992677728122726745238810</v>
      </c>
      <c r="R31" s="171"/>
      <c r="S31" s="328">
        <v>6.8899361103647689894551377700</v>
      </c>
      <c r="T31" s="327">
        <v>-100</v>
      </c>
      <c r="U31" s="171"/>
      <c r="V31" s="328">
        <v>8.777644576116115798069247510</v>
      </c>
      <c r="W31" s="327">
        <v>8.888888888888888888888888890</v>
      </c>
      <c r="X31" s="171"/>
      <c r="Y31" s="328">
        <v>7.5290810908540435079119011700</v>
      </c>
      <c r="Z31" s="327">
        <v>26.765634778795310960146511960</v>
      </c>
      <c r="AA31" s="171">
        <v>5.7202500730114314314526665900</v>
      </c>
      <c r="AB31" s="328">
        <v>5.9869674685946533639100517500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row>
    <row r="32" ht="15.6" customHeight="1">
      <c r="A32" s="92" t="s">
        <v>148</v>
      </c>
      <c r="B32" s="666">
        <v>1</v>
      </c>
      <c r="C32" s="677" t="s">
        <v>47</v>
      </c>
      <c r="D32" s="678">
        <v>89.0952380952380952380952381</v>
      </c>
      <c r="E32" s="679"/>
      <c r="F32" s="680">
        <v>115.13503254299266251270927754</v>
      </c>
      <c r="G32" s="678">
        <v>0</v>
      </c>
      <c r="H32" s="679"/>
      <c r="I32" s="680">
        <v>125.60498636779815080325993414</v>
      </c>
      <c r="J32" s="678">
        <v>105.66666666666666666666666667</v>
      </c>
      <c r="K32" s="679"/>
      <c r="L32" s="680">
        <v>98.31303871257287359168740524</v>
      </c>
      <c r="M32" s="678">
        <v>91.16666666666666666666666667</v>
      </c>
      <c r="N32" s="679">
        <v>88.56004878048780487804878048</v>
      </c>
      <c r="O32" s="680">
        <v>115.0452876376988984088127295</v>
      </c>
      <c r="P32" s="4"/>
      <c r="Q32" s="668">
        <v>20.119102964296833147732505890</v>
      </c>
      <c r="R32" s="669"/>
      <c r="S32" s="670">
        <v>0.9848910746413282907148104300</v>
      </c>
      <c r="T32" s="668">
        <v>-100</v>
      </c>
      <c r="U32" s="669"/>
      <c r="V32" s="670">
        <v>15.756801282802668094451867040</v>
      </c>
      <c r="W32" s="668">
        <v>0</v>
      </c>
      <c r="X32" s="669"/>
      <c r="Y32" s="670">
        <v>0</v>
      </c>
      <c r="Z32" s="668">
        <v>4.0053612617881190506928433900</v>
      </c>
      <c r="AA32" s="669">
        <v>-10.604051034382041024484392750</v>
      </c>
      <c r="AB32" s="670">
        <v>1.7067821776707377894586371800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row>
    <row r="33" ht="15.6" customHeight="1">
      <c r="A33" s="92"/>
      <c r="B33" s="344">
        <v>2</v>
      </c>
      <c r="C33" s="345" t="s">
        <v>48</v>
      </c>
      <c r="D33" s="370">
        <v>95.5952380952380952380952381</v>
      </c>
      <c r="E33" s="172"/>
      <c r="F33" s="371">
        <v>127.65445534817499078347010394</v>
      </c>
      <c r="G33" s="370">
        <v>0</v>
      </c>
      <c r="H33" s="172"/>
      <c r="I33" s="371">
        <v>125.09909771087820857778289154</v>
      </c>
      <c r="J33" s="370">
        <v>106</v>
      </c>
      <c r="K33" s="172"/>
      <c r="L33" s="371">
        <v>99.0261696747345493562083174</v>
      </c>
      <c r="M33" s="370">
        <v>96.06818181818181818181818182</v>
      </c>
      <c r="N33" s="172">
        <v>83.26159292035398230088495576</v>
      </c>
      <c r="O33" s="371">
        <v>127.43113772455089820359281437</v>
      </c>
      <c r="P33" s="4"/>
      <c r="Q33" s="327">
        <v>-1.7051136168116943506729524600</v>
      </c>
      <c r="R33" s="171"/>
      <c r="S33" s="328">
        <v>6.7963570993707528179598861900</v>
      </c>
      <c r="T33" s="327">
        <v>0</v>
      </c>
      <c r="U33" s="171"/>
      <c r="V33" s="328">
        <v>1.3586262802812942297800927600</v>
      </c>
      <c r="W33" s="327">
        <v>15.846994535519125683060109290</v>
      </c>
      <c r="X33" s="171"/>
      <c r="Y33" s="328">
        <v>12.755221292255605419054742040</v>
      </c>
      <c r="Z33" s="327">
        <v>-1.0584470552440112770261767300</v>
      </c>
      <c r="AA33" s="171">
        <v>-11.597561661449047997574045810</v>
      </c>
      <c r="AB33" s="328">
        <v>6.5042282414178016004442114100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row>
    <row r="34" ht="15.6" customHeight="1">
      <c r="A34" s="92"/>
      <c r="B34" s="346">
        <v>3</v>
      </c>
      <c r="C34" s="347" t="s">
        <v>50</v>
      </c>
      <c r="D34" s="378">
        <v>89.40540540540540540540540541</v>
      </c>
      <c r="E34" s="173"/>
      <c r="F34" s="379">
        <v>129.91557474747988386584008198</v>
      </c>
      <c r="G34" s="378">
        <v>106.875</v>
      </c>
      <c r="H34" s="173"/>
      <c r="I34" s="379">
        <v>126.64923369254505782400583358</v>
      </c>
      <c r="J34" s="378">
        <v>96</v>
      </c>
      <c r="K34" s="173"/>
      <c r="L34" s="379">
        <v>90.45252152127210577387149429</v>
      </c>
      <c r="M34" s="378">
        <v>92.79591836734693877551020408</v>
      </c>
      <c r="N34" s="173">
        <v>78.407437722419928825622775801</v>
      </c>
      <c r="O34" s="379">
        <v>129.43300330033003300330033003</v>
      </c>
      <c r="P34" s="4"/>
      <c r="Q34" s="359">
        <v>-11.413181650221694363574877310</v>
      </c>
      <c r="R34" s="170"/>
      <c r="S34" s="360">
        <v>2.6431874345979767112735128700</v>
      </c>
      <c r="T34" s="359">
        <v>-15.513833992094861660079051380</v>
      </c>
      <c r="U34" s="170"/>
      <c r="V34" s="360">
        <v>2.0577714219358013817364215800</v>
      </c>
      <c r="W34" s="359">
        <v>3.2258064516129032258064516100</v>
      </c>
      <c r="X34" s="170"/>
      <c r="Y34" s="360">
        <v>-0.7104063945098591895090657300</v>
      </c>
      <c r="Z34" s="359">
        <v>-8.349710254472159234063995970</v>
      </c>
      <c r="AA34" s="170">
        <v>-22.571461375805860679659840470</v>
      </c>
      <c r="AB34" s="360">
        <v>2.5399698723972540896736384600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row>
    <row r="35" ht="15.6" customHeight="1">
      <c r="A35" s="92"/>
      <c r="B35" s="344">
        <v>4</v>
      </c>
      <c r="C35" s="345" t="s">
        <v>51</v>
      </c>
      <c r="D35" s="370">
        <v>78.852941176470588235294117647</v>
      </c>
      <c r="E35" s="172"/>
      <c r="F35" s="371">
        <v>122.41730159250023212676170471</v>
      </c>
      <c r="G35" s="370">
        <v>0</v>
      </c>
      <c r="H35" s="172"/>
      <c r="I35" s="371">
        <v>127.255170320540407761970241</v>
      </c>
      <c r="J35" s="370">
        <v>98</v>
      </c>
      <c r="K35" s="172"/>
      <c r="L35" s="371">
        <v>93.0899912109875865884799438</v>
      </c>
      <c r="M35" s="370">
        <v>79.91666666666666666666666667</v>
      </c>
      <c r="N35" s="172">
        <v>91.2834967320261437908496732</v>
      </c>
      <c r="O35" s="371">
        <v>122.77180739706908583391486392</v>
      </c>
      <c r="P35" s="4"/>
      <c r="Q35" s="327">
        <v>-22.804725765032645352304537870</v>
      </c>
      <c r="R35" s="171"/>
      <c r="S35" s="328">
        <v>1.8596329084224253306465908400</v>
      </c>
      <c r="T35" s="327">
        <v>-100</v>
      </c>
      <c r="U35" s="171"/>
      <c r="V35" s="328">
        <v>1.7646421528480983583465880900</v>
      </c>
      <c r="W35" s="327">
        <v>5.3763440860215053763440860200</v>
      </c>
      <c r="X35" s="171"/>
      <c r="Y35" s="328">
        <v>2.935789740191768155203420400</v>
      </c>
      <c r="Z35" s="327">
        <v>-21.925882506187312752377230690</v>
      </c>
      <c r="AA35" s="171">
        <v>-8.387050955608018203366020720</v>
      </c>
      <c r="AB35" s="328">
        <v>1.7630776856068692639753757700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row>
    <row r="36" ht="15.6" customHeight="1">
      <c r="A36" s="92"/>
      <c r="B36" s="346">
        <v>5</v>
      </c>
      <c r="C36" s="347" t="s">
        <v>52</v>
      </c>
      <c r="D36" s="378">
        <v>95.98181818181818181818181818</v>
      </c>
      <c r="E36" s="173"/>
      <c r="F36" s="379">
        <v>119.57322526887205992712618389</v>
      </c>
      <c r="G36" s="378">
        <v>0</v>
      </c>
      <c r="H36" s="173"/>
      <c r="I36" s="379">
        <v>121.20289936538939694473856186</v>
      </c>
      <c r="J36" s="378">
        <v>101.66666666666666666666666667</v>
      </c>
      <c r="K36" s="173"/>
      <c r="L36" s="379">
        <v>94.85002264500904623608188839</v>
      </c>
      <c r="M36" s="378">
        <v>96.27586206896551724137931034</v>
      </c>
      <c r="N36" s="173">
        <v>93.98247524752475247524752475</v>
      </c>
      <c r="O36" s="379">
        <v>119.72054597701149425287356322</v>
      </c>
      <c r="P36" s="4"/>
      <c r="Q36" s="359">
        <v>0.8212375859434682964094728800</v>
      </c>
      <c r="R36" s="170"/>
      <c r="S36" s="360">
        <v>-1.3545050068503271139642390100</v>
      </c>
      <c r="T36" s="359">
        <v>-100</v>
      </c>
      <c r="U36" s="170"/>
      <c r="V36" s="360">
        <v>-5.6343242570291226521736877800</v>
      </c>
      <c r="W36" s="359">
        <v>19.607843137254901960784313730</v>
      </c>
      <c r="X36" s="170"/>
      <c r="Y36" s="360">
        <v>13.236096650514550598736383770</v>
      </c>
      <c r="Z36" s="359">
        <v>-13.374733974219132525681486550</v>
      </c>
      <c r="AA36" s="170">
        <v>-5.7052089749400392050315719400</v>
      </c>
      <c r="AB36" s="360">
        <v>-2.0825507886065153068705567500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row>
    <row r="37" ht="15.6" customHeight="1">
      <c r="A37" s="92"/>
      <c r="B37" s="348">
        <v>6</v>
      </c>
      <c r="C37" s="349" t="s">
        <v>53</v>
      </c>
      <c r="D37" s="380">
        <v>109.17241379310344827586206897</v>
      </c>
      <c r="E37" s="383"/>
      <c r="F37" s="381">
        <v>119.11813008074635664102911779</v>
      </c>
      <c r="G37" s="380">
        <v>0</v>
      </c>
      <c r="H37" s="383"/>
      <c r="I37" s="381">
        <v>119.80647122921815675412223384</v>
      </c>
      <c r="J37" s="380">
        <v>107</v>
      </c>
      <c r="K37" s="383"/>
      <c r="L37" s="381">
        <v>100.77830432782472955630448359</v>
      </c>
      <c r="M37" s="380">
        <v>109.100000000</v>
      </c>
      <c r="N37" s="383">
        <v>93.93939682539682539682539683</v>
      </c>
      <c r="O37" s="381">
        <v>119.1364620938628158844765343</v>
      </c>
      <c r="P37" s="4"/>
      <c r="Q37" s="329">
        <v>7.2025666312541532106169819300</v>
      </c>
      <c r="R37" s="330"/>
      <c r="S37" s="332">
        <v>0.1972680284648006217678447700</v>
      </c>
      <c r="T37" s="329">
        <v>-100</v>
      </c>
      <c r="U37" s="330"/>
      <c r="V37" s="332">
        <v>-10.856265687604641691307970870</v>
      </c>
      <c r="W37" s="329">
        <v>16.304347826086956521739130430</v>
      </c>
      <c r="X37" s="330"/>
      <c r="Y37" s="332">
        <v>11.469590034603617482582881390</v>
      </c>
      <c r="Z37" s="329">
        <v>-8.826084095518775730079639570</v>
      </c>
      <c r="AA37" s="330">
        <v>-7.6560506169355642197327889600</v>
      </c>
      <c r="AB37" s="332">
        <v>-1.6453061579367606483127842700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row>
    <row r="39" ht="15.6" customHeight="1">
      <c r="A39" s="54"/>
      <c r="B39" s="53"/>
      <c r="C39" s="53" t="s">
        <v>14</v>
      </c>
      <c r="D39" s="374">
        <v>104.90948275862068965517241379</v>
      </c>
      <c r="E39" s="382"/>
      <c r="F39" s="375">
        <v>116.93421608162818394181434702</v>
      </c>
      <c r="G39" s="374">
        <v>0</v>
      </c>
      <c r="H39" s="382"/>
      <c r="I39" s="375">
        <v>129.1580610077166209758992918</v>
      </c>
      <c r="J39" s="374">
        <v>104.1</v>
      </c>
      <c r="K39" s="382"/>
      <c r="L39" s="375">
        <v>97.42681159603000304032206253</v>
      </c>
      <c r="M39" s="374">
        <v>104.8760330578512396694214876</v>
      </c>
      <c r="N39" s="382">
        <v>87.68120996441281138790035587</v>
      </c>
      <c r="O39" s="375">
        <v>117.91842105263157894736842105</v>
      </c>
      <c r="P39" s="4"/>
      <c r="Q39" s="354">
        <v>1.9487785061550693315065343300</v>
      </c>
      <c r="R39" s="355"/>
      <c r="S39" s="356">
        <v>4.315879180452248187333087900</v>
      </c>
      <c r="T39" s="354">
        <v>-100</v>
      </c>
      <c r="U39" s="355"/>
      <c r="V39" s="356">
        <v>11.331943397153292706788984450</v>
      </c>
      <c r="W39" s="354">
        <v>3.5820895522388059701492537300</v>
      </c>
      <c r="X39" s="355"/>
      <c r="Y39" s="356">
        <v>-0.3496056684486723961455199300</v>
      </c>
      <c r="Z39" s="354">
        <v>-0.1914973554072379676618197200</v>
      </c>
      <c r="AA39" s="355">
        <v>-0.6510464340793808263154842700</v>
      </c>
      <c r="AB39" s="356">
        <v>4.795566375919247784246822900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row>
    <row r="40" ht="15.6" customHeight="1">
      <c r="A40" s="54"/>
      <c r="C40" s="53" t="s">
        <v>15</v>
      </c>
      <c r="D40" s="370">
        <v>93.24742268041237113402061856</v>
      </c>
      <c r="E40" s="172"/>
      <c r="F40" s="371">
        <v>129.68714361231234335534630055</v>
      </c>
      <c r="G40" s="370">
        <v>0</v>
      </c>
      <c r="H40" s="172"/>
      <c r="I40" s="371">
        <v>134.54020972265686295178120815</v>
      </c>
      <c r="J40" s="370">
        <v>100.45454545454545454545454545</v>
      </c>
      <c r="K40" s="172"/>
      <c r="L40" s="371">
        <v>93.39748215233723321057477968</v>
      </c>
      <c r="M40" s="370">
        <v>93.63414634146341463414634146</v>
      </c>
      <c r="N40" s="172">
        <v>90.41450212765957446808510638</v>
      </c>
      <c r="O40" s="371">
        <v>129.98699763593380614657210402</v>
      </c>
      <c r="P40" s="4"/>
      <c r="Q40" s="327">
        <v>-16.641105697153071721008069190</v>
      </c>
      <c r="R40" s="171"/>
      <c r="S40" s="328">
        <v>3.9140833898381896784018820500</v>
      </c>
      <c r="T40" s="327">
        <v>-100</v>
      </c>
      <c r="U40" s="171"/>
      <c r="V40" s="328">
        <v>5.5025936516522285616999012200</v>
      </c>
      <c r="W40" s="327">
        <v>-7.476076554999575044069497500</v>
      </c>
      <c r="X40" s="171"/>
      <c r="Y40" s="328">
        <v>-10.597656655332711161012428310</v>
      </c>
      <c r="Z40" s="327">
        <v>-18.058179757712164987853186100</v>
      </c>
      <c r="AA40" s="171">
        <v>-10.641827555302424743399739100</v>
      </c>
      <c r="AB40" s="328">
        <v>3.878446744686913009275816300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row>
    <row r="41" ht="15.6" customHeight="1">
      <c r="A41" s="54"/>
      <c r="B41" s="22"/>
      <c r="C41" s="53" t="s">
        <v>16</v>
      </c>
      <c r="D41" s="378">
        <v>97.31277533039647577092511013</v>
      </c>
      <c r="E41" s="173"/>
      <c r="F41" s="379">
        <v>140.92190342528809812361887637</v>
      </c>
      <c r="G41" s="378">
        <v>0</v>
      </c>
      <c r="H41" s="173"/>
      <c r="I41" s="379">
        <v>135.6150986257130304650277458</v>
      </c>
      <c r="J41" s="378">
        <v>102.11111111111111111111111111</v>
      </c>
      <c r="K41" s="173"/>
      <c r="L41" s="379">
        <v>95.02700549238245864494078011</v>
      </c>
      <c r="M41" s="378">
        <v>97.49576271186440677966101695</v>
      </c>
      <c r="N41" s="173">
        <v>94.75959276018099547511312217</v>
      </c>
      <c r="O41" s="379">
        <v>140.11444220236379360046122802</v>
      </c>
      <c r="P41" s="4"/>
      <c r="Q41" s="359">
        <v>-5.9670222509812461911295894800</v>
      </c>
      <c r="R41" s="170"/>
      <c r="S41" s="360">
        <v>5.2560977067233744056938515800</v>
      </c>
      <c r="T41" s="359">
        <v>-100</v>
      </c>
      <c r="U41" s="170"/>
      <c r="V41" s="360">
        <v>3.6007416588941676333160723700</v>
      </c>
      <c r="W41" s="359">
        <v>10.990338164251207729468599030</v>
      </c>
      <c r="X41" s="170"/>
      <c r="Y41" s="360">
        <v>9.322708472399029304559180770</v>
      </c>
      <c r="Z41" s="359">
        <v>-4.4648711178436718500343508400</v>
      </c>
      <c r="AA41" s="170">
        <v>-24.362563917014508160633770780</v>
      </c>
      <c r="AB41" s="360">
        <v>4.9761303185291129198583780600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row>
    <row r="42" ht="15.6" customHeight="1">
      <c r="A42" s="54"/>
      <c r="B42" s="22"/>
      <c r="C42" s="53" t="s">
        <v>17</v>
      </c>
      <c r="D42" s="370">
        <v>92.98623853211009174311926606</v>
      </c>
      <c r="E42" s="172"/>
      <c r="F42" s="371">
        <v>136.47239444758893944716852445</v>
      </c>
      <c r="G42" s="370">
        <v>106.875</v>
      </c>
      <c r="H42" s="172"/>
      <c r="I42" s="371">
        <v>143.47619929844740695864683138</v>
      </c>
      <c r="J42" s="370">
        <v>98.38461538461538461538461538</v>
      </c>
      <c r="K42" s="172"/>
      <c r="L42" s="371">
        <v>92.19650602726203286606011187</v>
      </c>
      <c r="M42" s="370">
        <v>93.74476987447698744769874477</v>
      </c>
      <c r="N42" s="172">
        <v>91.63328159645232815964523282</v>
      </c>
      <c r="O42" s="371">
        <v>137.10947306962487228141877098</v>
      </c>
      <c r="P42" s="4"/>
      <c r="Q42" s="327">
        <v>-10.345628263628118934522324010</v>
      </c>
      <c r="R42" s="171"/>
      <c r="S42" s="328">
        <v>4.4514830551012013985957086600</v>
      </c>
      <c r="T42" s="327">
        <v>11.596385542204528959210346840</v>
      </c>
      <c r="U42" s="171"/>
      <c r="V42" s="328">
        <v>23.804485672512451212684254080</v>
      </c>
      <c r="W42" s="327">
        <v>7.5241698192517864649012189900</v>
      </c>
      <c r="X42" s="171"/>
      <c r="Y42" s="328">
        <v>3.7775479869753454622330984300</v>
      </c>
      <c r="Z42" s="327">
        <v>-7.3693020334960297432816114200</v>
      </c>
      <c r="AA42" s="171">
        <v>-7.7961726185427308276336600200</v>
      </c>
      <c r="AB42" s="328">
        <v>6.114914545066379984156739400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row>
    <row r="43" ht="15.6" customHeight="1">
      <c r="A43" s="54"/>
      <c r="B43" s="22"/>
      <c r="C43" s="53" t="s">
        <v>18</v>
      </c>
      <c r="D43" s="378">
        <v>86.79039301310043668122270742</v>
      </c>
      <c r="E43" s="173"/>
      <c r="F43" s="379">
        <v>123.01176753827799261225524881</v>
      </c>
      <c r="G43" s="378">
        <v>0</v>
      </c>
      <c r="H43" s="173"/>
      <c r="I43" s="379">
        <v>138.89133072065067499876161155</v>
      </c>
      <c r="J43" s="378">
        <v>98</v>
      </c>
      <c r="K43" s="173"/>
      <c r="L43" s="379">
        <v>92.10797743440243547877867131</v>
      </c>
      <c r="M43" s="378">
        <v>87.12288135593220338983050847</v>
      </c>
      <c r="N43" s="173">
        <v>92.39793291731669266770670826</v>
      </c>
      <c r="O43" s="379">
        <v>124.43176733780760626398210291</v>
      </c>
      <c r="P43" s="4"/>
      <c r="Q43" s="359">
        <v>-12.981500239982016892111571040</v>
      </c>
      <c r="R43" s="170"/>
      <c r="S43" s="360">
        <v>3.4497168374954950434414519600</v>
      </c>
      <c r="T43" s="359">
        <v>-100</v>
      </c>
      <c r="U43" s="170"/>
      <c r="V43" s="360">
        <v>25.047205191937144167020745150</v>
      </c>
      <c r="W43" s="359">
        <v>6.6271018793168519187062990300</v>
      </c>
      <c r="X43" s="170"/>
      <c r="Y43" s="360">
        <v>2.6590627448076802280614042600</v>
      </c>
      <c r="Z43" s="359">
        <v>-12.193181177753952629736111920</v>
      </c>
      <c r="AA43" s="170">
        <v>-5.4222074463423469499930364100</v>
      </c>
      <c r="AB43" s="360">
        <v>5.4697541135620866950407175600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row>
    <row r="44" ht="15.6" customHeight="1">
      <c r="A44" s="54"/>
      <c r="B44" s="22"/>
      <c r="C44" s="53" t="s">
        <v>19</v>
      </c>
      <c r="D44" s="370">
        <v>106.49520766773162939297124601</v>
      </c>
      <c r="E44" s="172"/>
      <c r="F44" s="371">
        <v>123.41383906117516350676645878</v>
      </c>
      <c r="G44" s="370">
        <v>0</v>
      </c>
      <c r="H44" s="172"/>
      <c r="I44" s="371">
        <v>127.44309515943253519740658047</v>
      </c>
      <c r="J44" s="370">
        <v>107.41666666666666666666666667</v>
      </c>
      <c r="K44" s="172"/>
      <c r="L44" s="371">
        <v>103.5536774980801665232740693</v>
      </c>
      <c r="M44" s="370">
        <v>106.52923076923076923076923077</v>
      </c>
      <c r="N44" s="172">
        <v>92.88517682468021068472535741</v>
      </c>
      <c r="O44" s="371">
        <v>123.77853842204347081978435735</v>
      </c>
      <c r="P44" s="4"/>
      <c r="Q44" s="327">
        <v>-2.5918334545644767504489947400</v>
      </c>
      <c r="R44" s="171"/>
      <c r="S44" s="328">
        <v>6.5569072538425841265707627600</v>
      </c>
      <c r="T44" s="327">
        <v>-100</v>
      </c>
      <c r="U44" s="171"/>
      <c r="V44" s="328">
        <v>4.4275348729746297787012971600</v>
      </c>
      <c r="W44" s="327">
        <v>10.284052019164955509924709110</v>
      </c>
      <c r="X44" s="171"/>
      <c r="Y44" s="328">
        <v>7.37377938944235507093686900</v>
      </c>
      <c r="Z44" s="327">
        <v>-7.6582978100076281728395291200</v>
      </c>
      <c r="AA44" s="171">
        <v>-1.9364846692553791120121713200</v>
      </c>
      <c r="AB44" s="328">
        <v>6.0532909545863320653124264800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row>
    <row r="45" ht="15.6" customHeight="1">
      <c r="A45" s="54"/>
      <c r="B45" s="22"/>
      <c r="C45" s="53" t="s">
        <v>20</v>
      </c>
      <c r="D45" s="384">
        <v>116.39344262295081967213114754</v>
      </c>
      <c r="E45" s="385"/>
      <c r="F45" s="386">
        <v>122.44153660790231179579039588</v>
      </c>
      <c r="G45" s="384">
        <v>0</v>
      </c>
      <c r="H45" s="385"/>
      <c r="I45" s="386">
        <v>125.81155064978937393576152538</v>
      </c>
      <c r="J45" s="384">
        <v>105.25</v>
      </c>
      <c r="K45" s="385"/>
      <c r="L45" s="386">
        <v>99.45036119308354178356744128</v>
      </c>
      <c r="M45" s="384">
        <v>116.15508021390374331550802139</v>
      </c>
      <c r="N45" s="385">
        <v>93.86816593886462882096069869</v>
      </c>
      <c r="O45" s="386">
        <v>122.69269810085134250163719712</v>
      </c>
      <c r="P45" s="4"/>
      <c r="Q45" s="364">
        <v>16.397769677563605359120126940</v>
      </c>
      <c r="R45" s="365"/>
      <c r="S45" s="366">
        <v>5.6102469042232258605781331900</v>
      </c>
      <c r="T45" s="364">
        <v>-100</v>
      </c>
      <c r="U45" s="365"/>
      <c r="V45" s="366">
        <v>2.7275389175343604554195931800</v>
      </c>
      <c r="W45" s="364">
        <v>12.480916030568696462910097310</v>
      </c>
      <c r="X45" s="365"/>
      <c r="Y45" s="366">
        <v>7.1126098115052764608381551700</v>
      </c>
      <c r="Z45" s="364">
        <v>8.498481230408841880961243030</v>
      </c>
      <c r="AA45" s="365">
        <v>-6.5034016370950435129636203500</v>
      </c>
      <c r="AB45" s="366">
        <v>4.9365458883324488427335905400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row>
    <row r="47" ht="15.6" customHeight="1">
      <c r="A47" s="22"/>
      <c r="B47" s="22"/>
      <c r="C47" s="53" t="s">
        <v>72</v>
      </c>
      <c r="D47" s="374">
        <v>102.12195121951219512195121951</v>
      </c>
      <c r="E47" s="382"/>
      <c r="F47" s="375">
        <v>122.08795109008512739740576316</v>
      </c>
      <c r="G47" s="374">
        <v>106.875</v>
      </c>
      <c r="H47" s="382"/>
      <c r="I47" s="375">
        <v>123.35144955218549823705226718</v>
      </c>
      <c r="J47" s="374">
        <v>101.33333333333333333333333333</v>
      </c>
      <c r="K47" s="382"/>
      <c r="L47" s="375">
        <v>95.30499414748391235775909519</v>
      </c>
      <c r="M47" s="374">
        <v>102.18227848101265822784810127</v>
      </c>
      <c r="N47" s="382">
        <v>88.94108961303462321792260692</v>
      </c>
      <c r="O47" s="375">
        <v>122.06941758005587792821835375</v>
      </c>
      <c r="P47" s="4"/>
      <c r="Q47" s="354">
        <v>5.6115322647967240567478623700</v>
      </c>
      <c r="R47" s="355"/>
      <c r="S47" s="356">
        <v>2.1462774637757080169133494200</v>
      </c>
      <c r="T47" s="354">
        <v>-15.158166947319818182175912440</v>
      </c>
      <c r="U47" s="355"/>
      <c r="V47" s="356">
        <v>-0.0603258656499131684915976500</v>
      </c>
      <c r="W47" s="354">
        <v>11.355311355311355311355311350</v>
      </c>
      <c r="X47" s="355"/>
      <c r="Y47" s="356">
        <v>7.4988811827370431636837389400</v>
      </c>
      <c r="Z47" s="354">
        <v>-1.6759684705375266114938568400</v>
      </c>
      <c r="AA47" s="355">
        <v>-9.289233296516651603382645080</v>
      </c>
      <c r="AB47" s="356">
        <v>1.7801355750738865511640416800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row>
    <row r="48" ht="15.6" customHeight="1">
      <c r="A48" s="22"/>
      <c r="B48" s="22"/>
      <c r="C48" s="53" t="s">
        <v>61</v>
      </c>
      <c r="D48" s="370">
        <v>101.51658234963462619449128724</v>
      </c>
      <c r="E48" s="172"/>
      <c r="F48" s="371">
        <v>128.20327064725912163063721711</v>
      </c>
      <c r="G48" s="370">
        <v>106.875</v>
      </c>
      <c r="H48" s="172"/>
      <c r="I48" s="371">
        <v>134.22558813839416539730731036</v>
      </c>
      <c r="J48" s="370">
        <v>102.3</v>
      </c>
      <c r="K48" s="172"/>
      <c r="L48" s="371">
        <v>96.1641513055900073362064694</v>
      </c>
      <c r="M48" s="370">
        <v>101.56919763058696822832525579</v>
      </c>
      <c r="N48" s="172">
        <v>92.07800736360593551266317081</v>
      </c>
      <c r="O48" s="371">
        <v>128.72159479404899441209063259</v>
      </c>
      <c r="P48" s="4"/>
      <c r="Q48" s="327">
        <v>-2.3426072044056823998918677600</v>
      </c>
      <c r="R48" s="171"/>
      <c r="S48" s="328">
        <v>4.3855552754085022432675805500</v>
      </c>
      <c r="T48" s="327">
        <v>-4.8650568181692055946539239500</v>
      </c>
      <c r="U48" s="171"/>
      <c r="V48" s="328">
        <v>10.417392193323521582831862750</v>
      </c>
      <c r="W48" s="327">
        <v>6.9131023804750279694398335500</v>
      </c>
      <c r="X48" s="171"/>
      <c r="Y48" s="328">
        <v>3.4275273847584614655902567100</v>
      </c>
      <c r="Z48" s="327">
        <v>-4.5097285057374416121655820400</v>
      </c>
      <c r="AA48" s="171">
        <v>-9.613417600057486379459065700</v>
      </c>
      <c r="AB48" s="328">
        <v>5.0127730343141677188500195400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row>
    <row r="49" ht="15.6" customHeight="1">
      <c r="A49" s="54"/>
      <c r="B49" s="22"/>
      <c r="C49" s="53" t="s">
        <v>31</v>
      </c>
      <c r="D49" s="384">
        <v>101.50480989464040311497938617</v>
      </c>
      <c r="E49" s="385"/>
      <c r="F49" s="386">
        <v>127.61482337646903553627341999</v>
      </c>
      <c r="G49" s="384">
        <v>0</v>
      </c>
      <c r="H49" s="385"/>
      <c r="I49" s="386">
        <v>135.33591115857838687705075743</v>
      </c>
      <c r="J49" s="384">
        <v>101.80246913580246913580246914</v>
      </c>
      <c r="K49" s="385"/>
      <c r="L49" s="386">
        <v>96.56566328129603890445311531</v>
      </c>
      <c r="M49" s="384">
        <v>101.51545936395759717314487633</v>
      </c>
      <c r="N49" s="385">
        <v>94.05055893456375838926174497</v>
      </c>
      <c r="O49" s="386">
        <v>128.28724458204334365325077399</v>
      </c>
      <c r="P49" s="4"/>
      <c r="Q49" s="364">
        <v>-4.7789768930309893113203377600</v>
      </c>
      <c r="R49" s="365"/>
      <c r="S49" s="366">
        <v>3.4394670402361953820712257600</v>
      </c>
      <c r="T49" s="364">
        <v>-100</v>
      </c>
      <c r="U49" s="365"/>
      <c r="V49" s="366">
        <v>10.539149171138351694494862030</v>
      </c>
      <c r="W49" s="364">
        <v>6.7604990937025438325237018100</v>
      </c>
      <c r="X49" s="365"/>
      <c r="Y49" s="366">
        <v>4.8499421194082075999938384300</v>
      </c>
      <c r="Z49" s="364">
        <v>-4.7329257720677435060016570800</v>
      </c>
      <c r="AA49" s="365">
        <v>-8.196095198788127996107346050</v>
      </c>
      <c r="AB49" s="366">
        <v>4.1372197094941022520099306100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row>
    <row r="52" ht="24.75" customHeight="1">
      <c r="D52" s="655" t="s">
        <v>114</v>
      </c>
      <c r="E52" s="655"/>
      <c r="F52" s="655"/>
      <c r="G52" s="655"/>
      <c r="H52" s="655"/>
      <c r="I52" s="655"/>
      <c r="J52" s="655"/>
      <c r="K52" s="655"/>
      <c r="L52" s="655"/>
      <c r="M52" s="655"/>
      <c r="N52" s="655"/>
      <c r="O52" s="655"/>
      <c r="P52" s="655"/>
      <c r="Q52" s="655"/>
      <c r="R52" s="655"/>
      <c r="S52" s="655"/>
      <c r="T52" s="655"/>
      <c r="U52" s="655"/>
      <c r="V52" s="655"/>
      <c r="W52" s="655"/>
      <c r="X52" s="655"/>
      <c r="Y52" s="655"/>
      <c r="Z52" s="655"/>
      <c r="AA52" s="655"/>
      <c r="AB52" s="655"/>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row>
  </sheetData>
  <mergeCells count="12">
    <mergeCell ref="Q8:S8"/>
    <mergeCell ref="T8:V8"/>
    <mergeCell ref="D52:AB52"/>
    <mergeCell ref="R4:AA4"/>
    <mergeCell ref="D7:O7"/>
    <mergeCell ref="Q7:AB7"/>
    <mergeCell ref="W8:Y8"/>
    <mergeCell ref="Z8:AB8"/>
    <mergeCell ref="D8:F8"/>
    <mergeCell ref="G8:I8"/>
    <mergeCell ref="J8:L8"/>
    <mergeCell ref="M8:O8"/>
  </mergeCells>
  <phoneticPr fontId="0" type="noConversion"/>
  <printOptions horizontalCentered="1" verticalCentered="1"/>
  <pageMargins left="0.25" right="0.25" top="0.25" bottom="0.25" header="0.17" footer="0.28"/>
  <pageSetup scale="67" orientation="landscape" r:id="rId1"/>
  <headerFooter alignWithMargins="0">
    <oddHeader/>
    <oddFooter/>
  </headerFooter>
  <drawing r:id="rId38"/>
</worksheet>
</file>

<file path=xl/worksheets/sheet3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Y105"/>
  <sheetViews>
    <sheetView showGridLines="0" zoomScaleNormal="100"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131</v>
      </c>
      <c r="B1" s="39"/>
      <c r="AD1" s="244"/>
      <c r="AE1" s="244"/>
      <c r="AF1" s="244"/>
      <c r="AG1" s="244"/>
      <c r="AH1" s="244"/>
      <c r="AI1" s="244"/>
      <c r="AJ1" s="244"/>
      <c r="AK1" s="244"/>
      <c r="AL1" s="244"/>
      <c r="AM1" s="244"/>
      <c r="AN1" s="244"/>
      <c r="AO1" s="244"/>
      <c r="AP1" s="244"/>
      <c r="AQ1" s="244"/>
      <c r="AR1" s="244"/>
      <c r="AS1" s="244"/>
      <c r="AT1" s="244"/>
      <c r="AU1" s="244"/>
      <c r="AV1" s="244"/>
      <c r="AW1" s="244"/>
      <c r="AX1" s="244"/>
      <c r="AY1" s="244"/>
    </row>
    <row r="2" ht="15" customHeight="1">
      <c r="A2" s="10" t="s">
        <v>141</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row>
    <row r="3" ht="17.1" customHeight="1">
      <c r="A3" s="10" t="s">
        <v>142</v>
      </c>
      <c r="AD3" s="244"/>
      <c r="AE3" s="244"/>
      <c r="AF3" s="244"/>
      <c r="AG3" s="244"/>
      <c r="AH3" s="244"/>
      <c r="AI3" s="244"/>
      <c r="AJ3" s="244"/>
      <c r="AK3" s="244"/>
      <c r="AL3" s="244"/>
      <c r="AM3" s="244"/>
      <c r="AN3" s="244"/>
      <c r="AO3" s="244"/>
      <c r="AP3" s="244"/>
      <c r="AQ3" s="244"/>
      <c r="AR3" s="244"/>
      <c r="AS3" s="244"/>
      <c r="AT3" s="244"/>
      <c r="AU3" s="244"/>
      <c r="AV3" s="244"/>
      <c r="AW3" s="244"/>
      <c r="AX3" s="244"/>
      <c r="AY3" s="244"/>
    </row>
    <row r="4" ht="17.1" customHeight="1">
      <c r="A4" t="s">
        <v>143</v>
      </c>
      <c r="B4" s="442"/>
      <c r="C4" s="211"/>
      <c r="D4" s="212"/>
      <c r="E4" s="212"/>
      <c r="F4" s="212"/>
      <c r="G4" s="212"/>
      <c r="H4" s="212"/>
      <c r="I4" s="212"/>
      <c r="J4" s="212"/>
      <c r="K4" s="212"/>
      <c r="L4" s="212"/>
      <c r="M4" s="212"/>
      <c r="N4" s="212"/>
      <c r="O4" s="212"/>
      <c r="P4" s="212"/>
      <c r="Q4" s="212"/>
      <c r="R4" s="675" t="s">
        <v>146</v>
      </c>
      <c r="S4" s="675"/>
      <c r="T4" s="675"/>
      <c r="U4" s="675"/>
      <c r="V4" s="675"/>
      <c r="W4" s="675"/>
      <c r="X4" s="675"/>
      <c r="Y4" s="675"/>
      <c r="Z4" s="675"/>
      <c r="AA4" s="675"/>
      <c r="AD4" s="244"/>
      <c r="AE4" s="244"/>
      <c r="AF4" s="244"/>
      <c r="AG4" s="244"/>
      <c r="AH4" s="244"/>
      <c r="AI4" s="244"/>
      <c r="AJ4" s="244"/>
      <c r="AK4" s="244"/>
      <c r="AL4" s="244"/>
      <c r="AM4" s="244"/>
      <c r="AN4" s="244"/>
      <c r="AO4" s="244"/>
      <c r="AP4" s="244"/>
      <c r="AQ4" s="244"/>
      <c r="AR4" s="244"/>
      <c r="AS4" s="244"/>
      <c r="AT4" s="244"/>
      <c r="AU4" s="244"/>
      <c r="AV4" s="244"/>
      <c r="AW4" s="244"/>
      <c r="AX4" s="244"/>
      <c r="AY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row>
    <row r="7" ht="15.75">
      <c r="D7" s="621" t="s">
        <v>13</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row>
    <row r="8" ht="15.75">
      <c r="D8" s="619" t="s">
        <v>21</v>
      </c>
      <c r="E8" s="619"/>
      <c r="F8" s="619"/>
      <c r="G8" s="619" t="s">
        <v>24</v>
      </c>
      <c r="H8" s="619"/>
      <c r="I8" s="619"/>
      <c r="J8" s="619" t="s">
        <v>25</v>
      </c>
      <c r="K8" s="619"/>
      <c r="L8" s="619"/>
      <c r="M8" s="619" t="s">
        <v>23</v>
      </c>
      <c r="N8" s="619"/>
      <c r="O8" s="619"/>
      <c r="Q8" s="619" t="s">
        <v>21</v>
      </c>
      <c r="R8" s="619"/>
      <c r="S8" s="619"/>
      <c r="T8" s="619" t="s">
        <v>24</v>
      </c>
      <c r="U8" s="619"/>
      <c r="V8" s="619"/>
      <c r="W8" s="619" t="s">
        <v>25</v>
      </c>
      <c r="X8" s="619"/>
      <c r="Y8" s="619"/>
      <c r="Z8" s="619" t="s">
        <v>23</v>
      </c>
      <c r="AA8" s="619"/>
      <c r="AB8" s="619"/>
      <c r="AD8" s="244"/>
      <c r="AE8" s="244"/>
      <c r="AF8" s="244"/>
      <c r="AG8" s="244"/>
      <c r="AH8" s="244"/>
      <c r="AI8" s="244"/>
      <c r="AJ8" s="244"/>
      <c r="AK8" s="244"/>
      <c r="AL8" s="244"/>
      <c r="AM8" s="244"/>
      <c r="AN8" s="244"/>
      <c r="AO8" s="244"/>
      <c r="AP8" s="244"/>
      <c r="AQ8" s="244"/>
      <c r="AR8" s="244"/>
      <c r="AS8" s="244"/>
      <c r="AT8" s="244"/>
      <c r="AU8" s="244"/>
      <c r="AV8" s="244"/>
      <c r="AW8" s="244"/>
      <c r="AX8" s="244"/>
      <c r="AY8" s="244"/>
    </row>
    <row r="9" ht="27" customHeight="1">
      <c r="A9" s="92"/>
      <c r="D9" s="339" t="s">
        <v>63</v>
      </c>
      <c r="E9" s="340" t="s">
        <v>26</v>
      </c>
      <c r="F9" s="341" t="s">
        <v>147</v>
      </c>
      <c r="G9" s="339" t="s">
        <v>63</v>
      </c>
      <c r="H9" s="340" t="s">
        <v>26</v>
      </c>
      <c r="I9" s="341" t="s">
        <v>147</v>
      </c>
      <c r="J9" s="339" t="s">
        <v>63</v>
      </c>
      <c r="K9" s="340" t="s">
        <v>26</v>
      </c>
      <c r="L9" s="341" t="s">
        <v>147</v>
      </c>
      <c r="M9" s="339" t="s">
        <v>63</v>
      </c>
      <c r="N9" s="340" t="s">
        <v>26</v>
      </c>
      <c r="O9" s="341" t="s">
        <v>147</v>
      </c>
      <c r="P9" s="96"/>
      <c r="Q9" s="339" t="s">
        <v>63</v>
      </c>
      <c r="R9" s="340" t="s">
        <v>26</v>
      </c>
      <c r="S9" s="341" t="s">
        <v>147</v>
      </c>
      <c r="T9" s="339" t="s">
        <v>63</v>
      </c>
      <c r="U9" s="340" t="s">
        <v>26</v>
      </c>
      <c r="V9" s="341" t="s">
        <v>147</v>
      </c>
      <c r="W9" s="339" t="s">
        <v>63</v>
      </c>
      <c r="X9" s="340" t="s">
        <v>26</v>
      </c>
      <c r="Y9" s="341" t="s">
        <v>147</v>
      </c>
      <c r="Z9" s="339" t="s">
        <v>63</v>
      </c>
      <c r="AA9" s="340" t="s">
        <v>26</v>
      </c>
      <c r="AB9" s="341" t="s">
        <v>147</v>
      </c>
      <c r="AD9" s="244"/>
      <c r="AE9" s="244"/>
      <c r="AF9" s="244"/>
      <c r="AG9" s="244"/>
      <c r="AH9" s="244"/>
      <c r="AI9" s="244"/>
      <c r="AJ9" s="244"/>
      <c r="AK9" s="244"/>
      <c r="AL9" s="244"/>
      <c r="AM9" s="244"/>
      <c r="AN9" s="244"/>
      <c r="AO9" s="244"/>
      <c r="AP9" s="244"/>
      <c r="AQ9" s="244"/>
      <c r="AR9" s="244"/>
      <c r="AS9" s="244"/>
      <c r="AT9" s="244"/>
      <c r="AU9" s="244"/>
      <c r="AV9" s="244"/>
      <c r="AW9" s="244"/>
      <c r="AX9" s="244"/>
      <c r="AY9" s="244"/>
    </row>
    <row r="10" ht="15.6" customHeight="1">
      <c r="A10" s="92" t="s">
        <v>145</v>
      </c>
      <c r="B10" s="342">
        <v>10</v>
      </c>
      <c r="C10" s="343" t="s">
        <v>49</v>
      </c>
      <c r="D10" s="374">
        <v>19.924731182795698924731182796</v>
      </c>
      <c r="E10" s="382"/>
      <c r="F10" s="375">
        <v>59.659935265564136300041941333</v>
      </c>
      <c r="G10" s="374">
        <v>0</v>
      </c>
      <c r="H10" s="382"/>
      <c r="I10" s="375">
        <v>10.363071232385132430679198929</v>
      </c>
      <c r="J10" s="374">
        <v>1.4784946236559139784946236559</v>
      </c>
      <c r="K10" s="382"/>
      <c r="L10" s="375">
        <v>0.2667894204180782080543699406</v>
      </c>
      <c r="M10" s="374">
        <v>21.403225806451612903225806452</v>
      </c>
      <c r="N10" s="382">
        <v>48.449770114942528735632183908</v>
      </c>
      <c r="O10" s="375">
        <v>70.289795918367346938775510204</v>
      </c>
      <c r="P10" s="4"/>
      <c r="Q10" s="354">
        <v>10.199226880702242459594033890</v>
      </c>
      <c r="R10" s="355"/>
      <c r="S10" s="356">
        <v>18.578398664974929989778669310</v>
      </c>
      <c r="T10" s="354">
        <v>0</v>
      </c>
      <c r="U10" s="355"/>
      <c r="V10" s="356">
        <v>934.3676135227236553167201156</v>
      </c>
      <c r="W10" s="354">
        <v>50.273224050120935232737395050</v>
      </c>
      <c r="X10" s="355"/>
      <c r="Y10" s="356">
        <v>55.845194571552340784439340670</v>
      </c>
      <c r="Z10" s="354">
        <v>12.267343485807558956828777600</v>
      </c>
      <c r="AA10" s="355">
        <v>167.54180145567468984314813986</v>
      </c>
      <c r="AB10" s="356">
        <v>36.522911051250818946304057230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row>
    <row r="11" ht="15.6" customHeight="1">
      <c r="A11" s="92"/>
      <c r="B11" s="344">
        <v>11</v>
      </c>
      <c r="C11" s="345" t="s">
        <v>47</v>
      </c>
      <c r="D11" s="370">
        <v>36.844086021505376344086021505</v>
      </c>
      <c r="E11" s="172"/>
      <c r="F11" s="371">
        <v>96.12252594693134372595801306</v>
      </c>
      <c r="G11" s="370">
        <v>0</v>
      </c>
      <c r="H11" s="172"/>
      <c r="I11" s="371">
        <v>12.405201666302773088937569275</v>
      </c>
      <c r="J11" s="370">
        <v>1.0752688172043010752688172043</v>
      </c>
      <c r="K11" s="172"/>
      <c r="L11" s="371">
        <v>0.1756737473101008721792476</v>
      </c>
      <c r="M11" s="370">
        <v>37.91935483870967741935483871</v>
      </c>
      <c r="N11" s="172">
        <v>59.033659003831417624521072797</v>
      </c>
      <c r="O11" s="371">
        <v>108.70340136054421768707482993</v>
      </c>
      <c r="P11" s="4"/>
      <c r="Q11" s="327">
        <v>75.537909836299384511052447950</v>
      </c>
      <c r="R11" s="171"/>
      <c r="S11" s="328">
        <v>30.108336100027481890888903280</v>
      </c>
      <c r="T11" s="327">
        <v>-100</v>
      </c>
      <c r="U11" s="171"/>
      <c r="V11" s="328">
        <v>16.238555584144844390107582170</v>
      </c>
      <c r="W11" s="327">
        <v>-15.254237288063774777362765910</v>
      </c>
      <c r="X11" s="171"/>
      <c r="Y11" s="328">
        <v>-11.557605579995396814672458170</v>
      </c>
      <c r="Z11" s="327">
        <v>60.587431694032947385708752170</v>
      </c>
      <c r="AA11" s="171">
        <v>24.724197260820781874179854930</v>
      </c>
      <c r="AB11" s="328">
        <v>28.264115201301903129813995820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row>
    <row r="12" ht="15.6" customHeight="1">
      <c r="A12" s="92"/>
      <c r="B12" s="346">
        <v>12</v>
      </c>
      <c r="C12" s="347" t="s">
        <v>48</v>
      </c>
      <c r="D12" s="378">
        <v>39.596774193548387096774193548</v>
      </c>
      <c r="E12" s="173"/>
      <c r="F12" s="379">
        <v>97.04823204156719480159169529</v>
      </c>
      <c r="G12" s="378">
        <v>0</v>
      </c>
      <c r="H12" s="173"/>
      <c r="I12" s="379">
        <v>30.801807529008877517385873023</v>
      </c>
      <c r="J12" s="378">
        <v>1.0537634408602150537634408602</v>
      </c>
      <c r="K12" s="173"/>
      <c r="L12" s="379">
        <v>0.1676475042538596538115473359</v>
      </c>
      <c r="M12" s="378">
        <v>40.650537634408602150537634409</v>
      </c>
      <c r="N12" s="173">
        <v>69.826187739463601532567049808</v>
      </c>
      <c r="O12" s="379">
        <v>128.01768707482993197278911565</v>
      </c>
      <c r="P12" s="4"/>
      <c r="Q12" s="359">
        <v>24.640379082759337971876214560</v>
      </c>
      <c r="R12" s="170"/>
      <c r="S12" s="360">
        <v>2.2688609359088615199819723200</v>
      </c>
      <c r="T12" s="359">
        <v>-100</v>
      </c>
      <c r="U12" s="170"/>
      <c r="V12" s="360">
        <v>387.45784764645140490804132848</v>
      </c>
      <c r="W12" s="359">
        <v>5.3763440860215053763440860200</v>
      </c>
      <c r="X12" s="170"/>
      <c r="Y12" s="360">
        <v>6.8382657554299388134785888900</v>
      </c>
      <c r="Z12" s="359">
        <v>-2.7899202880492628396342213100</v>
      </c>
      <c r="AA12" s="170">
        <v>43.865030190676737985871214060</v>
      </c>
      <c r="AB12" s="360">
        <v>26.286332950063448822607398390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row>
    <row r="13" ht="15.6" customHeight="1">
      <c r="A13" s="92"/>
      <c r="B13" s="344">
        <v>13</v>
      </c>
      <c r="C13" s="345" t="s">
        <v>50</v>
      </c>
      <c r="D13" s="370">
        <v>33.47311827956989247311827957</v>
      </c>
      <c r="E13" s="172"/>
      <c r="F13" s="371">
        <v>95.5018185062718853147710433</v>
      </c>
      <c r="G13" s="370">
        <v>0</v>
      </c>
      <c r="H13" s="172"/>
      <c r="I13" s="371">
        <v>26.315558894563597267471399711</v>
      </c>
      <c r="J13" s="370">
        <v>1.5806451612903225806451612903</v>
      </c>
      <c r="K13" s="172"/>
      <c r="L13" s="371">
        <v>0.2592665900942226331770581252</v>
      </c>
      <c r="M13" s="370">
        <v>35.05376344086021505376344086</v>
      </c>
      <c r="N13" s="172">
        <v>69.990153256704980842911877395</v>
      </c>
      <c r="O13" s="371">
        <v>122.07664399092970521541950113</v>
      </c>
      <c r="P13" s="4"/>
      <c r="Q13" s="327">
        <v>-13.803128893737446960977595480</v>
      </c>
      <c r="R13" s="171"/>
      <c r="S13" s="328">
        <v>4.7357520948204876126865894300</v>
      </c>
      <c r="T13" s="327">
        <v>-100</v>
      </c>
      <c r="U13" s="171"/>
      <c r="V13" s="328">
        <v>530.35305351814924375391294632</v>
      </c>
      <c r="W13" s="327">
        <v>1.7301038036235198334020275200</v>
      </c>
      <c r="X13" s="171"/>
      <c r="Y13" s="328">
        <v>6.4789193504602228038278805500</v>
      </c>
      <c r="Z13" s="327">
        <v>-30.319546863306422114792987480</v>
      </c>
      <c r="AA13" s="171">
        <v>44.764868619387905963582364060</v>
      </c>
      <c r="AB13" s="328">
        <v>27.692811263592703973064575730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row>
    <row r="14" ht="15.6" customHeight="1">
      <c r="A14" s="92"/>
      <c r="B14" s="346">
        <v>14</v>
      </c>
      <c r="C14" s="347" t="s">
        <v>51</v>
      </c>
      <c r="D14" s="378">
        <v>37.231182795698924731182795699</v>
      </c>
      <c r="E14" s="173"/>
      <c r="F14" s="379">
        <v>77.377746950921660698116612921</v>
      </c>
      <c r="G14" s="378">
        <v>0</v>
      </c>
      <c r="H14" s="173"/>
      <c r="I14" s="379">
        <v>11.888252231243692435287945218</v>
      </c>
      <c r="J14" s="378">
        <v>0.5215053763440860215053763441</v>
      </c>
      <c r="K14" s="173"/>
      <c r="L14" s="379">
        <v>0.0881958291725153473210654444</v>
      </c>
      <c r="M14" s="378">
        <v>37.752688172043010752688172043</v>
      </c>
      <c r="N14" s="173">
        <v>58.67199233716475095785440613</v>
      </c>
      <c r="O14" s="379">
        <v>89.35419501133786848072562358</v>
      </c>
      <c r="P14" s="4"/>
      <c r="Q14" s="359">
        <v>49.374460741993205442494910580</v>
      </c>
      <c r="R14" s="170"/>
      <c r="S14" s="360">
        <v>16.686496210594000018275086450</v>
      </c>
      <c r="T14" s="359">
        <v>-100</v>
      </c>
      <c r="U14" s="170"/>
      <c r="V14" s="360">
        <v>101.53157867665341712871898438</v>
      </c>
      <c r="W14" s="359">
        <v>-64.206642066130090821201056090</v>
      </c>
      <c r="X14" s="170"/>
      <c r="Y14" s="360">
        <v>-62.291229565748553759405825780</v>
      </c>
      <c r="Z14" s="359">
        <v>10.582677165472749953500033810</v>
      </c>
      <c r="AA14" s="170">
        <v>29.883131059608177655082390830</v>
      </c>
      <c r="AB14" s="360">
        <v>23.340135969289408401462665510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row>
    <row r="15" ht="15.6" customHeight="1">
      <c r="A15" s="92"/>
      <c r="B15" s="344">
        <v>15</v>
      </c>
      <c r="C15" s="345" t="s">
        <v>52</v>
      </c>
      <c r="D15" s="370">
        <v>44.521505376344086021505376344</v>
      </c>
      <c r="E15" s="172"/>
      <c r="F15" s="371">
        <v>69.927169113259338823248597683</v>
      </c>
      <c r="G15" s="370">
        <v>0</v>
      </c>
      <c r="H15" s="172"/>
      <c r="I15" s="371">
        <v>11.550290814809420646046108006</v>
      </c>
      <c r="J15" s="370">
        <v>1.6720430107526881720430107527</v>
      </c>
      <c r="K15" s="172"/>
      <c r="L15" s="371">
        <v>0.2835378043575443855805777559</v>
      </c>
      <c r="M15" s="370">
        <v>46.193548387096774193548387097</v>
      </c>
      <c r="N15" s="172">
        <v>64.670900383141762452107279693</v>
      </c>
      <c r="O15" s="371">
        <v>81.76099773242630385487528345</v>
      </c>
      <c r="P15" s="4"/>
      <c r="Q15" s="327">
        <v>29.491790461326237452172925210</v>
      </c>
      <c r="R15" s="171"/>
      <c r="S15" s="328">
        <v>9.866123446290438085626026840</v>
      </c>
      <c r="T15" s="327">
        <v>-100</v>
      </c>
      <c r="U15" s="171"/>
      <c r="V15" s="328">
        <v>143.99672842842061574351170677</v>
      </c>
      <c r="W15" s="327">
        <v>0</v>
      </c>
      <c r="X15" s="171"/>
      <c r="Y15" s="328">
        <v>0</v>
      </c>
      <c r="Z15" s="327">
        <v>32.225300092214011726599987060</v>
      </c>
      <c r="AA15" s="171">
        <v>22.434434624616838009182689450</v>
      </c>
      <c r="AB15" s="328">
        <v>19.566125705478727602777860900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row>
    <row r="16" ht="15.6" customHeight="1">
      <c r="A16" s="92"/>
      <c r="B16" s="346">
        <v>16</v>
      </c>
      <c r="C16" s="347" t="s">
        <v>53</v>
      </c>
      <c r="D16" s="378">
        <v>51.032258064516129032258064516</v>
      </c>
      <c r="E16" s="173"/>
      <c r="F16" s="379">
        <v>69.425512525390867094707129646</v>
      </c>
      <c r="G16" s="378">
        <v>0</v>
      </c>
      <c r="H16" s="173"/>
      <c r="I16" s="379">
        <v>9.850548947782001405235020358</v>
      </c>
      <c r="J16" s="378">
        <v>1.0752688172043010752688172043</v>
      </c>
      <c r="K16" s="173"/>
      <c r="L16" s="379">
        <v>0.1652083680969727698991198383</v>
      </c>
      <c r="M16" s="378">
        <v>52.10752688172043010752688172</v>
      </c>
      <c r="N16" s="173">
        <v>64.719099616858237547892720307</v>
      </c>
      <c r="O16" s="379">
        <v>79.44126984126984126984126984</v>
      </c>
      <c r="P16" s="4"/>
      <c r="Q16" s="359">
        <v>18.620344913893112575392892220</v>
      </c>
      <c r="R16" s="170"/>
      <c r="S16" s="360">
        <v>1.5790443800964422697839608600</v>
      </c>
      <c r="T16" s="359">
        <v>-100</v>
      </c>
      <c r="U16" s="170"/>
      <c r="V16" s="360">
        <v>22.919883481309368831644376270</v>
      </c>
      <c r="W16" s="359">
        <v>3.6269430053961180165914945500</v>
      </c>
      <c r="X16" s="170"/>
      <c r="Y16" s="360">
        <v>0.3536616156813680685960227200</v>
      </c>
      <c r="Z16" s="359">
        <v>2.0855277016826850472989570300</v>
      </c>
      <c r="AA16" s="170">
        <v>27.618245699953487429806567750</v>
      </c>
      <c r="AB16" s="360">
        <v>3.8112565708602677640403243100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row>
    <row r="17" ht="15.6" customHeight="1">
      <c r="A17" s="92"/>
      <c r="B17" s="344">
        <v>17</v>
      </c>
      <c r="C17" s="345" t="s">
        <v>49</v>
      </c>
      <c r="D17" s="370">
        <v>19.629032258064516129032258065</v>
      </c>
      <c r="E17" s="172"/>
      <c r="F17" s="371">
        <v>52.349971254378423909993266966</v>
      </c>
      <c r="G17" s="370">
        <v>0</v>
      </c>
      <c r="H17" s="172"/>
      <c r="I17" s="371">
        <v>5.3742212902210962252671355927</v>
      </c>
      <c r="J17" s="370">
        <v>1.0967741935483870967741935484</v>
      </c>
      <c r="K17" s="172"/>
      <c r="L17" s="371">
        <v>0.1910001991646522003405044705</v>
      </c>
      <c r="M17" s="370">
        <v>20.725806451612903225806451613</v>
      </c>
      <c r="N17" s="172">
        <v>44.643965517241379310344827586</v>
      </c>
      <c r="O17" s="371">
        <v>57.915192743764172335600907029</v>
      </c>
      <c r="P17" s="4"/>
      <c r="Q17" s="327">
        <v>-28.774873195354557922255179320</v>
      </c>
      <c r="R17" s="171"/>
      <c r="S17" s="328">
        <v>13.348377837073233670570978200</v>
      </c>
      <c r="T17" s="327">
        <v>-100</v>
      </c>
      <c r="U17" s="171"/>
      <c r="V17" s="328">
        <v>-3.1750192345629373874174657200</v>
      </c>
      <c r="W17" s="327">
        <v>38.775510212011661808033319450</v>
      </c>
      <c r="X17" s="171"/>
      <c r="Y17" s="328">
        <v>45.582413966283098037174246570</v>
      </c>
      <c r="Z17" s="327">
        <v>-43.771878646496842360735679910</v>
      </c>
      <c r="AA17" s="171">
        <v>114.03871482084822596538066242</v>
      </c>
      <c r="AB17" s="328">
        <v>11.661682667854020131192073950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row>
    <row r="18" ht="15.6" customHeight="1">
      <c r="A18" s="92"/>
      <c r="B18" s="346">
        <v>18</v>
      </c>
      <c r="C18" s="347" t="s">
        <v>47</v>
      </c>
      <c r="D18" s="378">
        <v>25.494623655913978494623655914</v>
      </c>
      <c r="E18" s="173"/>
      <c r="F18" s="379">
        <v>87.28392360408831972076559252</v>
      </c>
      <c r="G18" s="378">
        <v>0</v>
      </c>
      <c r="H18" s="173"/>
      <c r="I18" s="379">
        <v>10.795314667644513288354581217</v>
      </c>
      <c r="J18" s="378">
        <v>1.5806451612903225806451612903</v>
      </c>
      <c r="K18" s="173"/>
      <c r="L18" s="379">
        <v>0.291283270217280369564633524</v>
      </c>
      <c r="M18" s="378">
        <v>27.075268817204301075268817204</v>
      </c>
      <c r="N18" s="173">
        <v>56.331034482758620689655172414</v>
      </c>
      <c r="O18" s="379">
        <v>98.37052154195011337868480726</v>
      </c>
      <c r="P18" s="4"/>
      <c r="Q18" s="359">
        <v>-17.602085143476737109950668990</v>
      </c>
      <c r="R18" s="170"/>
      <c r="S18" s="360">
        <v>19.269954250598183773863825610</v>
      </c>
      <c r="T18" s="359">
        <v>-100</v>
      </c>
      <c r="U18" s="170"/>
      <c r="V18" s="360">
        <v>-36.238791391901785880854638150</v>
      </c>
      <c r="W18" s="359">
        <v>-11.445783134557265205353508390</v>
      </c>
      <c r="X18" s="170"/>
      <c r="Y18" s="360">
        <v>1.6970506961222769532162096900</v>
      </c>
      <c r="Z18" s="359">
        <v>-45.843639100963457733268362730</v>
      </c>
      <c r="AA18" s="170">
        <v>63.127995739315035240804294490</v>
      </c>
      <c r="AB18" s="360">
        <v>8.818040435484718090205616440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row>
    <row r="19" ht="15.6" customHeight="1">
      <c r="A19" s="92"/>
      <c r="B19" s="344">
        <v>19</v>
      </c>
      <c r="C19" s="345" t="s">
        <v>48</v>
      </c>
      <c r="D19" s="370">
        <v>33.978494623655913978494623656</v>
      </c>
      <c r="E19" s="172"/>
      <c r="F19" s="371">
        <v>107.90691777678645119851497905</v>
      </c>
      <c r="G19" s="370">
        <v>0</v>
      </c>
      <c r="H19" s="172"/>
      <c r="I19" s="371">
        <v>12.298929882417907341643305815</v>
      </c>
      <c r="J19" s="370">
        <v>1.1236559139784946236559139785</v>
      </c>
      <c r="K19" s="172"/>
      <c r="L19" s="371">
        <v>0.1814539280972287614290167242</v>
      </c>
      <c r="M19" s="370">
        <v>35.102150537634408602150537634</v>
      </c>
      <c r="N19" s="172">
        <v>68.430747126436781609195402299</v>
      </c>
      <c r="O19" s="371">
        <v>120.38730158730158730158730159</v>
      </c>
      <c r="P19" s="4"/>
      <c r="Q19" s="327">
        <v>57.057654075187641546348974580</v>
      </c>
      <c r="R19" s="171"/>
      <c r="S19" s="328">
        <v>9.741449879333912035517182390</v>
      </c>
      <c r="T19" s="327">
        <v>-100</v>
      </c>
      <c r="U19" s="171"/>
      <c r="V19" s="328">
        <v>22.320010267091853116616289100</v>
      </c>
      <c r="W19" s="327">
        <v>16.111111109175925925958179010</v>
      </c>
      <c r="X19" s="171"/>
      <c r="Y19" s="328">
        <v>17.533810739677529862155168580</v>
      </c>
      <c r="Z19" s="327">
        <v>2.9973181889595527413251100800</v>
      </c>
      <c r="AA19" s="171">
        <v>33.088808958121056209039304580</v>
      </c>
      <c r="AB19" s="328">
        <v>10.917789616616201676847389590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row>
    <row r="20" ht="15.6" customHeight="1">
      <c r="A20" s="92"/>
      <c r="B20" s="346">
        <v>20</v>
      </c>
      <c r="C20" s="347" t="s">
        <v>50</v>
      </c>
      <c r="D20" s="378">
        <v>30.596774193548387096774193548</v>
      </c>
      <c r="E20" s="173"/>
      <c r="F20" s="379">
        <v>100.75739259914284808574275043</v>
      </c>
      <c r="G20" s="378">
        <v>0</v>
      </c>
      <c r="H20" s="173"/>
      <c r="I20" s="379">
        <v>12.444779466048569709834195424</v>
      </c>
      <c r="J20" s="378">
        <v>1.6182795698924731182795698925</v>
      </c>
      <c r="K20" s="173"/>
      <c r="L20" s="379">
        <v>0.26540163095370692097634213</v>
      </c>
      <c r="M20" s="378">
        <v>32.215053763440860215053763441</v>
      </c>
      <c r="N20" s="173">
        <v>68.201800766283524904214559387</v>
      </c>
      <c r="O20" s="379">
        <v>113.46757369614512471655328798</v>
      </c>
      <c r="P20" s="4"/>
      <c r="Q20" s="359">
        <v>91.35843981203599996201162986</v>
      </c>
      <c r="R20" s="170"/>
      <c r="S20" s="360">
        <v>12.415149162228146987447203450</v>
      </c>
      <c r="T20" s="359">
        <v>-100</v>
      </c>
      <c r="U20" s="170"/>
      <c r="V20" s="360">
        <v>70.272450726616482688306064030</v>
      </c>
      <c r="W20" s="359">
        <v>230.76923078813186813294819467</v>
      </c>
      <c r="X20" s="170"/>
      <c r="Y20" s="360">
        <v>242.89739739026001997446736294</v>
      </c>
      <c r="Z20" s="359">
        <v>10.737386804513923173603474870</v>
      </c>
      <c r="AA20" s="170">
        <v>42.421766987658382543764254410</v>
      </c>
      <c r="AB20" s="360">
        <v>16.957741211635382453243771940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row>
    <row r="21" ht="15.6" customHeight="1">
      <c r="A21" s="92"/>
      <c r="B21" s="344">
        <v>21</v>
      </c>
      <c r="C21" s="345" t="s">
        <v>51</v>
      </c>
      <c r="D21" s="370">
        <v>27.295698924731182795698924731</v>
      </c>
      <c r="E21" s="172"/>
      <c r="F21" s="371">
        <v>69.998694326483522899622514494</v>
      </c>
      <c r="G21" s="370">
        <v>0</v>
      </c>
      <c r="H21" s="172"/>
      <c r="I21" s="371">
        <v>10.627783431666655580610043524</v>
      </c>
      <c r="J21" s="370">
        <v>1.0591397849462365591397849462</v>
      </c>
      <c r="K21" s="172"/>
      <c r="L21" s="371">
        <v>0.1853136250697761682935190807</v>
      </c>
      <c r="M21" s="370">
        <v>28.354838709677419354838709677</v>
      </c>
      <c r="N21" s="172">
        <v>52.222892720306513409961685824</v>
      </c>
      <c r="O21" s="371">
        <v>80.8117913832199546485260771</v>
      </c>
      <c r="P21" s="4"/>
      <c r="Q21" s="327">
        <v>71.115604988480402731359860440</v>
      </c>
      <c r="R21" s="171"/>
      <c r="S21" s="328">
        <v>11.087395418658372750266083280</v>
      </c>
      <c r="T21" s="327">
        <v>-100</v>
      </c>
      <c r="U21" s="171"/>
      <c r="V21" s="328">
        <v>139.02759044456381864674825699</v>
      </c>
      <c r="W21" s="327">
        <v>-30.141843973563452542575195290</v>
      </c>
      <c r="X21" s="171"/>
      <c r="Y21" s="328">
        <v>-33.225628725411470260423554550</v>
      </c>
      <c r="Z21" s="327">
        <v>-11.835506519611733897781577690</v>
      </c>
      <c r="AA21" s="171">
        <v>38.158869239628650754872352710</v>
      </c>
      <c r="AB21" s="328">
        <v>19.303954257500555893599488890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row>
    <row r="22" ht="15.6" customHeight="1">
      <c r="A22" s="92"/>
      <c r="B22" s="346">
        <v>22</v>
      </c>
      <c r="C22" s="347" t="s">
        <v>52</v>
      </c>
      <c r="D22" s="378">
        <v>38.881720430107526881720430108</v>
      </c>
      <c r="E22" s="173"/>
      <c r="F22" s="379">
        <v>72.954030280861414921464644163</v>
      </c>
      <c r="G22" s="378">
        <v>0</v>
      </c>
      <c r="H22" s="173"/>
      <c r="I22" s="379">
        <v>9.430566559510908334775230931</v>
      </c>
      <c r="J22" s="378">
        <v>1.0376344086021505376344086022</v>
      </c>
      <c r="K22" s="173"/>
      <c r="L22" s="379">
        <v>0.1777614362716676734653403232</v>
      </c>
      <c r="M22" s="378">
        <v>39.91935483870967741935483871</v>
      </c>
      <c r="N22" s="173">
        <v>55.020823754789272030651340996</v>
      </c>
      <c r="O22" s="379">
        <v>82.56235827664399092970521542</v>
      </c>
      <c r="P22" s="4"/>
      <c r="Q22" s="359">
        <v>41.526418786537661850253500800</v>
      </c>
      <c r="R22" s="170"/>
      <c r="S22" s="360">
        <v>54.141056042215707386485663910</v>
      </c>
      <c r="T22" s="359">
        <v>-100</v>
      </c>
      <c r="U22" s="170"/>
      <c r="V22" s="360">
        <v>-13.63501325495713244816914600</v>
      </c>
      <c r="W22" s="359">
        <v>58.196721310178715399096895780</v>
      </c>
      <c r="X22" s="170"/>
      <c r="Y22" s="360">
        <v>67.984371735467604024745946030</v>
      </c>
      <c r="Z22" s="359">
        <v>-21.726755218216318785578747630</v>
      </c>
      <c r="AA22" s="170">
        <v>131.91561175991863915315378929</v>
      </c>
      <c r="AB22" s="360">
        <v>41.483772693304332484759606840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row>
    <row r="23" ht="15.6" customHeight="1">
      <c r="A23" s="92"/>
      <c r="B23" s="344">
        <v>23</v>
      </c>
      <c r="C23" s="345" t="s">
        <v>53</v>
      </c>
      <c r="D23" s="370">
        <v>45.672043010752688172043010753</v>
      </c>
      <c r="E23" s="172"/>
      <c r="F23" s="371">
        <v>71.214077283077501393144228753</v>
      </c>
      <c r="G23" s="370">
        <v>0</v>
      </c>
      <c r="H23" s="172"/>
      <c r="I23" s="371">
        <v>9.247786670468626160946648311</v>
      </c>
      <c r="J23" s="370">
        <v>1.1505376344086021505376344086</v>
      </c>
      <c r="K23" s="172"/>
      <c r="L23" s="371">
        <v>0.1794058877237137157503927784</v>
      </c>
      <c r="M23" s="370">
        <v>46.822580645161290322580645161</v>
      </c>
      <c r="N23" s="172">
        <v>52.173160919540229885057471264</v>
      </c>
      <c r="O23" s="371">
        <v>80.64126984126984126984126984</v>
      </c>
      <c r="P23" s="4"/>
      <c r="Q23" s="327">
        <v>96.73459935189791175430162671</v>
      </c>
      <c r="R23" s="171"/>
      <c r="S23" s="328">
        <v>40.897182018542274064484989480</v>
      </c>
      <c r="T23" s="327">
        <v>-100</v>
      </c>
      <c r="U23" s="171"/>
      <c r="V23" s="328">
        <v>-25.418750929768432394079464830</v>
      </c>
      <c r="W23" s="327">
        <v>15.675675677301387874383695180</v>
      </c>
      <c r="X23" s="171"/>
      <c r="Y23" s="328">
        <v>3.0481973639303410466751396700</v>
      </c>
      <c r="Z23" s="327">
        <v>-3.1041388518800233867675193400</v>
      </c>
      <c r="AA23" s="171">
        <v>50.495510729143408446321469250</v>
      </c>
      <c r="AB23" s="328">
        <v>27.764724479647209298414948270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row>
    <row r="24" ht="15.6" customHeight="1">
      <c r="A24" s="92"/>
      <c r="B24" s="346">
        <v>24</v>
      </c>
      <c r="C24" s="347" t="s">
        <v>49</v>
      </c>
      <c r="D24" s="378">
        <v>14.97311827956989247311827957</v>
      </c>
      <c r="E24" s="173"/>
      <c r="F24" s="379">
        <v>51.022268701828786979101173519</v>
      </c>
      <c r="G24" s="378">
        <v>0</v>
      </c>
      <c r="H24" s="173"/>
      <c r="I24" s="379">
        <v>8.408538406652813522856908563</v>
      </c>
      <c r="J24" s="378">
        <v>1.9677419354838709677419354839</v>
      </c>
      <c r="K24" s="173"/>
      <c r="L24" s="379">
        <v>0.3265625060308711533707161008</v>
      </c>
      <c r="M24" s="378">
        <v>16.940860215053763440860215054</v>
      </c>
      <c r="N24" s="173">
        <v>38.856743295019157088122605364</v>
      </c>
      <c r="O24" s="379">
        <v>59.757369614512471655328798186</v>
      </c>
      <c r="P24" s="4"/>
      <c r="Q24" s="359">
        <v>6.419564386840590951056651900</v>
      </c>
      <c r="R24" s="170"/>
      <c r="S24" s="360">
        <v>43.272989398766468546621284070</v>
      </c>
      <c r="T24" s="359">
        <v>-100</v>
      </c>
      <c r="U24" s="170"/>
      <c r="V24" s="360">
        <v>17.399660916423205164572618740</v>
      </c>
      <c r="W24" s="359">
        <v>293.54838709677419354838709678</v>
      </c>
      <c r="X24" s="170"/>
      <c r="Y24" s="360">
        <v>293.92684976500639539448148642</v>
      </c>
      <c r="Z24" s="359">
        <v>-49.968243887002257215237914360</v>
      </c>
      <c r="AA24" s="170">
        <v>88.03358110052716480525747006</v>
      </c>
      <c r="AB24" s="360">
        <v>39.433862434001867724867864300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row>
    <row r="25" ht="15.6" customHeight="1">
      <c r="A25" s="92"/>
      <c r="B25" s="344">
        <v>25</v>
      </c>
      <c r="C25" s="345" t="s">
        <v>47</v>
      </c>
      <c r="D25" s="370">
        <v>24.860215053763440860215053763</v>
      </c>
      <c r="E25" s="172"/>
      <c r="F25" s="371">
        <v>88.83483786152497808939526731</v>
      </c>
      <c r="G25" s="370">
        <v>0</v>
      </c>
      <c r="H25" s="172"/>
      <c r="I25" s="371">
        <v>10.30718320047855543035209994</v>
      </c>
      <c r="J25" s="370">
        <v>1.5806451612903225806451612903</v>
      </c>
      <c r="K25" s="172"/>
      <c r="L25" s="371">
        <v>0.265235173824130879345603272</v>
      </c>
      <c r="M25" s="370">
        <v>26.440860215053763440860215054</v>
      </c>
      <c r="N25" s="172">
        <v>53.375210727969348659003831418</v>
      </c>
      <c r="O25" s="371">
        <v>99.40725623582766439909297052</v>
      </c>
      <c r="P25" s="4"/>
      <c r="Q25" s="327">
        <v>62.587904360536476229475564840</v>
      </c>
      <c r="R25" s="171"/>
      <c r="S25" s="328">
        <v>31.955456136202188279183641720</v>
      </c>
      <c r="T25" s="327">
        <v>-100</v>
      </c>
      <c r="U25" s="171"/>
      <c r="V25" s="328">
        <v>24.844139358863428090518196740</v>
      </c>
      <c r="W25" s="327">
        <v>53.125000002392578125037384030</v>
      </c>
      <c r="X25" s="171"/>
      <c r="Y25" s="328">
        <v>58.589619454892793613431310470</v>
      </c>
      <c r="Z25" s="327">
        <v>-23.680943513296005580812514470</v>
      </c>
      <c r="AA25" s="171">
        <v>85.28918079192133170985366872</v>
      </c>
      <c r="AB25" s="328">
        <v>31.239147876195873305684128800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row>
    <row r="26" ht="15.6" customHeight="1">
      <c r="A26" s="92"/>
      <c r="B26" s="346">
        <v>26</v>
      </c>
      <c r="C26" s="347" t="s">
        <v>48</v>
      </c>
      <c r="D26" s="378">
        <v>23.602150537634408602150537634</v>
      </c>
      <c r="E26" s="173"/>
      <c r="F26" s="379">
        <v>107.06680423975236844573679767</v>
      </c>
      <c r="G26" s="378">
        <v>0</v>
      </c>
      <c r="H26" s="173"/>
      <c r="I26" s="379">
        <v>7.917388076701461937368512737</v>
      </c>
      <c r="J26" s="378">
        <v>1.6236559139784946236559139785</v>
      </c>
      <c r="K26" s="173"/>
      <c r="L26" s="379">
        <v>0.2688689080359655352620365283</v>
      </c>
      <c r="M26" s="378">
        <v>25.225806451612903225806451613</v>
      </c>
      <c r="N26" s="173">
        <v>66.406091954022988505747126437</v>
      </c>
      <c r="O26" s="379">
        <v>115.25306122448979591836734694</v>
      </c>
      <c r="P26" s="4"/>
      <c r="Q26" s="359">
        <v>-4.2321116927569316904689308700</v>
      </c>
      <c r="R26" s="170"/>
      <c r="S26" s="360">
        <v>28.321426448725580443734814570</v>
      </c>
      <c r="T26" s="359">
        <v>-100</v>
      </c>
      <c r="U26" s="170"/>
      <c r="V26" s="360">
        <v>-49.066973963736845453675287790</v>
      </c>
      <c r="W26" s="359">
        <v>61.497326200963138780093560640</v>
      </c>
      <c r="X26" s="170"/>
      <c r="Y26" s="360">
        <v>78.237153593457437579443344450</v>
      </c>
      <c r="Z26" s="359">
        <v>-41.959426026722317692922972670</v>
      </c>
      <c r="AA26" s="170">
        <v>-8.398008030741520891359001050</v>
      </c>
      <c r="AB26" s="360">
        <v>16.262249183406124123213872400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row>
    <row r="27" ht="15.6" customHeight="1">
      <c r="A27" s="92"/>
      <c r="B27" s="344">
        <v>27</v>
      </c>
      <c r="C27" s="345" t="s">
        <v>50</v>
      </c>
      <c r="D27" s="370">
        <v>27.129032258064516129032258065</v>
      </c>
      <c r="E27" s="172"/>
      <c r="F27" s="371">
        <v>94.34421368196011187567520568</v>
      </c>
      <c r="G27" s="370">
        <v>0</v>
      </c>
      <c r="H27" s="172"/>
      <c r="I27" s="371">
        <v>6.9179950975252380279569312431</v>
      </c>
      <c r="J27" s="370">
        <v>1.6129032258064516129032258065</v>
      </c>
      <c r="K27" s="172"/>
      <c r="L27" s="371">
        <v>0.266589406455693180268089836</v>
      </c>
      <c r="M27" s="370">
        <v>28.741935483870967741935483871</v>
      </c>
      <c r="N27" s="172">
        <v>57.109463601532567049808429119</v>
      </c>
      <c r="O27" s="371">
        <v>101.52879818594104308390022676</v>
      </c>
      <c r="P27" s="4"/>
      <c r="Q27" s="327">
        <v>48.280928592671181130131499520</v>
      </c>
      <c r="R27" s="171"/>
      <c r="S27" s="328">
        <v>30.640475755283765091389671200</v>
      </c>
      <c r="T27" s="327">
        <v>-100</v>
      </c>
      <c r="U27" s="171"/>
      <c r="V27" s="328">
        <v>-35.383469683311888941671486130</v>
      </c>
      <c r="W27" s="327">
        <v>17.187500001831054687528610230</v>
      </c>
      <c r="X27" s="171"/>
      <c r="Y27" s="328">
        <v>22.469101218237753025556559710</v>
      </c>
      <c r="Z27" s="327">
        <v>-20.005985335967676140933369730</v>
      </c>
      <c r="AA27" s="171">
        <v>65.551959447310146969781604970</v>
      </c>
      <c r="AB27" s="328">
        <v>22.117005318366278126510953230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row>
    <row r="28" ht="15.6" customHeight="1">
      <c r="A28" s="92"/>
      <c r="B28" s="346">
        <v>28</v>
      </c>
      <c r="C28" s="347" t="s">
        <v>51</v>
      </c>
      <c r="D28" s="378">
        <v>27.913978494623655913978494624</v>
      </c>
      <c r="E28" s="173"/>
      <c r="F28" s="379">
        <v>73.298981626895020595641558127</v>
      </c>
      <c r="G28" s="378">
        <v>0</v>
      </c>
      <c r="H28" s="173"/>
      <c r="I28" s="379">
        <v>4.4975995990689989028235536844</v>
      </c>
      <c r="J28" s="378">
        <v>1.0537634408602150537634408602</v>
      </c>
      <c r="K28" s="173"/>
      <c r="L28" s="379">
        <v>0.1739403159860938802196954464</v>
      </c>
      <c r="M28" s="378">
        <v>28.967741935483870967741935484</v>
      </c>
      <c r="N28" s="173">
        <v>62.517758620689655172413793103</v>
      </c>
      <c r="O28" s="379">
        <v>77.970521541950113378684807256</v>
      </c>
      <c r="P28" s="4"/>
      <c r="Q28" s="359">
        <v>60.296387774222075982157016720</v>
      </c>
      <c r="R28" s="170"/>
      <c r="S28" s="360">
        <v>43.612605497479094961927443380</v>
      </c>
      <c r="T28" s="359">
        <v>-100</v>
      </c>
      <c r="U28" s="170"/>
      <c r="V28" s="360">
        <v>-31.803459933776440725139761930</v>
      </c>
      <c r="W28" s="359">
        <v>9.497206703665928029712478370</v>
      </c>
      <c r="X28" s="170"/>
      <c r="Y28" s="360">
        <v>9.873489759976043238738603890</v>
      </c>
      <c r="Z28" s="359">
        <v>-18.400726942298955020445252160</v>
      </c>
      <c r="AA28" s="170">
        <v>137.62546883559837834599147681</v>
      </c>
      <c r="AB28" s="360">
        <v>34.914033256627170701241795630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row>
    <row r="29" ht="15.6" customHeight="1">
      <c r="A29" s="92"/>
      <c r="B29" s="344">
        <v>29</v>
      </c>
      <c r="C29" s="345" t="s">
        <v>52</v>
      </c>
      <c r="D29" s="370">
        <v>67.424731182795698924731182796</v>
      </c>
      <c r="E29" s="172"/>
      <c r="F29" s="371">
        <v>83.41847490309603271847663164</v>
      </c>
      <c r="G29" s="370">
        <v>0</v>
      </c>
      <c r="H29" s="172"/>
      <c r="I29" s="371">
        <v>4.2668967597098842587487532893</v>
      </c>
      <c r="J29" s="370">
        <v>2.5806451612903225806451612903</v>
      </c>
      <c r="K29" s="172"/>
      <c r="L29" s="371">
        <v>0.4116804913890943606430957947</v>
      </c>
      <c r="M29" s="370">
        <v>70.005376344086021505376344086</v>
      </c>
      <c r="N29" s="172">
        <v>62.238754789272030651340996169</v>
      </c>
      <c r="O29" s="371">
        <v>88.09705215419501133786848073</v>
      </c>
      <c r="P29" s="4"/>
      <c r="Q29" s="327">
        <v>143.51456310689068526722597697</v>
      </c>
      <c r="R29" s="171"/>
      <c r="S29" s="328">
        <v>83.61293545995629346848039673</v>
      </c>
      <c r="T29" s="327">
        <v>-100</v>
      </c>
      <c r="U29" s="171"/>
      <c r="V29" s="328">
        <v>-65.65370617703011299238458700</v>
      </c>
      <c r="W29" s="327">
        <v>146.15384614778698224866985890</v>
      </c>
      <c r="X29" s="171"/>
      <c r="Y29" s="328">
        <v>138.86645836367463224320556923</v>
      </c>
      <c r="Z29" s="327">
        <v>34.154131465136730785569712440</v>
      </c>
      <c r="AA29" s="171">
        <v>117.34723504468302080488016087</v>
      </c>
      <c r="AB29" s="328">
        <v>51.820242282020432475867400680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row>
    <row r="30" ht="15.6" customHeight="1">
      <c r="A30" s="92"/>
      <c r="B30" s="346">
        <v>30</v>
      </c>
      <c r="C30" s="347" t="s">
        <v>53</v>
      </c>
      <c r="D30" s="378">
        <v>98.28494623655913978494623656</v>
      </c>
      <c r="E30" s="173"/>
      <c r="F30" s="379">
        <v>100.21939716257893399540145084</v>
      </c>
      <c r="G30" s="378">
        <v>0</v>
      </c>
      <c r="H30" s="173"/>
      <c r="I30" s="379">
        <v>4.5431394305657022393791238163</v>
      </c>
      <c r="J30" s="378">
        <v>1.1505376344086021505376344086</v>
      </c>
      <c r="K30" s="173"/>
      <c r="L30" s="379">
        <v>0.1902978739755451711151169498</v>
      </c>
      <c r="M30" s="378">
        <v>99.43548387096774193548387097</v>
      </c>
      <c r="N30" s="173">
        <v>73.498448275862068965517241379</v>
      </c>
      <c r="O30" s="379">
        <v>104.95283446712018140589569161</v>
      </c>
      <c r="P30" s="4"/>
      <c r="Q30" s="359">
        <v>184.21952736310454055515336005</v>
      </c>
      <c r="R30" s="170"/>
      <c r="S30" s="360">
        <v>87.33072081080741847027077497</v>
      </c>
      <c r="T30" s="359">
        <v>-100</v>
      </c>
      <c r="U30" s="170"/>
      <c r="V30" s="360">
        <v>-69.024632598151510509169697130</v>
      </c>
      <c r="W30" s="359">
        <v>15.675675677301387874383695180</v>
      </c>
      <c r="X30" s="170"/>
      <c r="Y30" s="360">
        <v>16.273552093126511046905135510</v>
      </c>
      <c r="Z30" s="359">
        <v>60.840073049729711407430380570</v>
      </c>
      <c r="AA30" s="170">
        <v>145.90826845304811296568577975</v>
      </c>
      <c r="AB30" s="360">
        <v>53.598688489727731917291869720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row>
    <row r="31" ht="15.6" customHeight="1">
      <c r="A31" s="92"/>
      <c r="B31" s="344">
        <v>31</v>
      </c>
      <c r="C31" s="345" t="s">
        <v>49</v>
      </c>
      <c r="D31" s="370">
        <v>76.327956989247311827956989247</v>
      </c>
      <c r="E31" s="172"/>
      <c r="F31" s="371">
        <v>74.852724037065862697688686263</v>
      </c>
      <c r="G31" s="370">
        <v>0</v>
      </c>
      <c r="H31" s="172"/>
      <c r="I31" s="371">
        <v>1.1873184458638318395627904998</v>
      </c>
      <c r="J31" s="370">
        <v>1.0537634408602150537634408602</v>
      </c>
      <c r="K31" s="172"/>
      <c r="L31" s="371">
        <v>0.1776445919002374355376388839</v>
      </c>
      <c r="M31" s="370">
        <v>77.381720430107526881720430108</v>
      </c>
      <c r="N31" s="172">
        <v>56.849674329501915708812260536</v>
      </c>
      <c r="O31" s="371">
        <v>76.217687074829931972789115646</v>
      </c>
      <c r="P31" s="4"/>
      <c r="Q31" s="327">
        <v>262.35324145027414993586055255</v>
      </c>
      <c r="R31" s="171"/>
      <c r="S31" s="328">
        <v>89.72774512435003308240120739</v>
      </c>
      <c r="T31" s="327">
        <v>-100</v>
      </c>
      <c r="U31" s="171"/>
      <c r="V31" s="328">
        <v>-88.85631764397037545658953233</v>
      </c>
      <c r="W31" s="327">
        <v>8.888888887074074074104320990</v>
      </c>
      <c r="X31" s="171"/>
      <c r="Y31" s="328">
        <v>17.868779332980711187033312820</v>
      </c>
      <c r="Z31" s="327">
        <v>84.92869073624372718626959318</v>
      </c>
      <c r="AA31" s="171">
        <v>184.23149199900002122977553053</v>
      </c>
      <c r="AB31" s="328">
        <v>51.652694935048391310713390970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row>
    <row r="32" ht="15.6" customHeight="1">
      <c r="A32" s="92" t="s">
        <v>148</v>
      </c>
      <c r="B32" s="666">
        <v>1</v>
      </c>
      <c r="C32" s="677" t="s">
        <v>47</v>
      </c>
      <c r="D32" s="678">
        <v>10.059139784946236559139784946</v>
      </c>
      <c r="E32" s="679"/>
      <c r="F32" s="680">
        <v>42.011681374040074310821974703</v>
      </c>
      <c r="G32" s="678">
        <v>0</v>
      </c>
      <c r="H32" s="679"/>
      <c r="I32" s="680">
        <v>0.2829140013715473652896177276</v>
      </c>
      <c r="J32" s="678">
        <v>1.7043010752688172043010752688</v>
      </c>
      <c r="K32" s="679"/>
      <c r="L32" s="680">
        <v>0.332161994202890795543736369</v>
      </c>
      <c r="M32" s="678">
        <v>11.763440860215053763440860215</v>
      </c>
      <c r="N32" s="679">
        <v>34.779329501915708812260536398</v>
      </c>
      <c r="O32" s="680">
        <v>42.626757369614512471655328798</v>
      </c>
      <c r="P32" s="4"/>
      <c r="Q32" s="668">
        <v>-13.017201301477500329060374250</v>
      </c>
      <c r="R32" s="669"/>
      <c r="S32" s="670">
        <v>29.438481363430367681967760680</v>
      </c>
      <c r="T32" s="668">
        <v>-100</v>
      </c>
      <c r="U32" s="669"/>
      <c r="V32" s="670">
        <v>-95.29848337099457764497096102</v>
      </c>
      <c r="W32" s="668">
        <v>0</v>
      </c>
      <c r="X32" s="669"/>
      <c r="Y32" s="670">
        <v>0</v>
      </c>
      <c r="Z32" s="668">
        <v>-59.079857864284152073515191090</v>
      </c>
      <c r="AA32" s="669">
        <v>97.05558642976763974731217178</v>
      </c>
      <c r="AB32" s="670">
        <v>10.792588052338613931772750450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row>
    <row r="33" ht="15.6" customHeight="1">
      <c r="A33" s="92"/>
      <c r="B33" s="344">
        <v>2</v>
      </c>
      <c r="C33" s="345" t="s">
        <v>48</v>
      </c>
      <c r="D33" s="370">
        <v>21.586021505376344086021505376</v>
      </c>
      <c r="E33" s="172"/>
      <c r="F33" s="371">
        <v>73.075434419016081049194846281</v>
      </c>
      <c r="G33" s="370">
        <v>0</v>
      </c>
      <c r="H33" s="172"/>
      <c r="I33" s="371">
        <v>3.9452699413272090672741847982</v>
      </c>
      <c r="J33" s="370">
        <v>1.1397849462365591397849462366</v>
      </c>
      <c r="K33" s="172"/>
      <c r="L33" s="371">
        <v>0.1892729639197484322838033893</v>
      </c>
      <c r="M33" s="370">
        <v>22.725806451612903225806451613</v>
      </c>
      <c r="N33" s="172">
        <v>36.048122605363984674329501916</v>
      </c>
      <c r="O33" s="371">
        <v>77.209977324263038548752834467</v>
      </c>
      <c r="P33" s="4"/>
      <c r="Q33" s="327">
        <v>-41.853729181786036941820833580</v>
      </c>
      <c r="R33" s="171"/>
      <c r="S33" s="328">
        <v>21.552588965269288043118761450</v>
      </c>
      <c r="T33" s="327">
        <v>0</v>
      </c>
      <c r="U33" s="171"/>
      <c r="V33" s="328">
        <v>2.250164931026840659705097700</v>
      </c>
      <c r="W33" s="327">
        <v>15.846994540456866433964828190</v>
      </c>
      <c r="X33" s="171"/>
      <c r="Y33" s="328">
        <v>17.193881956071908472601206760</v>
      </c>
      <c r="Z33" s="327">
        <v>-40.363995485295341871168753150</v>
      </c>
      <c r="AA33" s="171">
        <v>57.314575311053777262584254250</v>
      </c>
      <c r="AB33" s="328">
        <v>20.380413646743295159571344490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row>
    <row r="34" ht="15.6" customHeight="1">
      <c r="A34" s="92"/>
      <c r="B34" s="346">
        <v>3</v>
      </c>
      <c r="C34" s="347" t="s">
        <v>50</v>
      </c>
      <c r="D34" s="378">
        <v>17.784946236559139784946236559</v>
      </c>
      <c r="E34" s="173"/>
      <c r="F34" s="379">
        <v>82.14268842804224533898740629</v>
      </c>
      <c r="G34" s="378">
        <v>4.5967741935483870967741935484</v>
      </c>
      <c r="H34" s="173"/>
      <c r="I34" s="379">
        <v>6.4061963705757109504067054921</v>
      </c>
      <c r="J34" s="378">
        <v>2.0645161290322580645161290323</v>
      </c>
      <c r="K34" s="173"/>
      <c r="L34" s="379">
        <v>0.3812739315407738693360469481</v>
      </c>
      <c r="M34" s="378">
        <v>24.44623655913978494623655914</v>
      </c>
      <c r="N34" s="173">
        <v>42.207835249042145593869731801</v>
      </c>
      <c r="O34" s="379">
        <v>88.93015873015873015873015873</v>
      </c>
      <c r="P34" s="4"/>
      <c r="Q34" s="359">
        <v>-58.509971152592285430152244960</v>
      </c>
      <c r="R34" s="170"/>
      <c r="S34" s="360">
        <v>12.783127257119183280099825610</v>
      </c>
      <c r="T34" s="359">
        <v>237.94466402253745567054049526</v>
      </c>
      <c r="U34" s="170"/>
      <c r="V34" s="360">
        <v>4.0343298762138508409600891400</v>
      </c>
      <c r="W34" s="359">
        <v>37.634408602150537634408602150</v>
      </c>
      <c r="X34" s="170"/>
      <c r="Y34" s="360">
        <v>60.253189282892126350379452750</v>
      </c>
      <c r="Z34" s="359">
        <v>-46.537330981760339752422836540</v>
      </c>
      <c r="AA34" s="170">
        <v>23.621700871543845247425712490</v>
      </c>
      <c r="AB34" s="360">
        <v>12.245704014974238085067162590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row>
    <row r="35" ht="15.6" customHeight="1">
      <c r="A35" s="92"/>
      <c r="B35" s="344">
        <v>4</v>
      </c>
      <c r="C35" s="345" t="s">
        <v>51</v>
      </c>
      <c r="D35" s="370">
        <v>14.413978494623655913978494624</v>
      </c>
      <c r="E35" s="172"/>
      <c r="F35" s="371">
        <v>72.042952593063951638561883551</v>
      </c>
      <c r="G35" s="370">
        <v>0</v>
      </c>
      <c r="H35" s="172"/>
      <c r="I35" s="371">
        <v>7.563399390936775601109040498</v>
      </c>
      <c r="J35" s="370">
        <v>1.0537634408602150537634408602</v>
      </c>
      <c r="K35" s="172"/>
      <c r="L35" s="371">
        <v>0.181403118040089086859688196</v>
      </c>
      <c r="M35" s="370">
        <v>15.467741935483870967741935484</v>
      </c>
      <c r="N35" s="172">
        <v>53.511015325670498084291187739</v>
      </c>
      <c r="O35" s="371">
        <v>79.78775510204081632653061224</v>
      </c>
      <c r="P35" s="4"/>
      <c r="Q35" s="327">
        <v>-72.372217642234452234619573040</v>
      </c>
      <c r="R35" s="171"/>
      <c r="S35" s="328">
        <v>14.298535635646805021834142080</v>
      </c>
      <c r="T35" s="327">
        <v>-100</v>
      </c>
      <c r="U35" s="171"/>
      <c r="V35" s="328">
        <v>-17.074897234701237923397007180</v>
      </c>
      <c r="W35" s="327">
        <v>-29.749103942652329749103942650</v>
      </c>
      <c r="X35" s="171"/>
      <c r="Y35" s="328">
        <v>-22.995926204270392602071482230</v>
      </c>
      <c r="Z35" s="327">
        <v>-71.893317702219194993464894250</v>
      </c>
      <c r="AA35" s="171">
        <v>54.881560262960858296909919450</v>
      </c>
      <c r="AB35" s="328">
        <v>10.224104552829978756881426390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row>
    <row r="36" ht="15.6" customHeight="1">
      <c r="A36" s="92"/>
      <c r="B36" s="346">
        <v>5</v>
      </c>
      <c r="C36" s="347" t="s">
        <v>52</v>
      </c>
      <c r="D36" s="378">
        <v>28.381720430107526881720430108</v>
      </c>
      <c r="E36" s="173"/>
      <c r="F36" s="379">
        <v>63.001960536581361039104052481</v>
      </c>
      <c r="G36" s="378">
        <v>0</v>
      </c>
      <c r="H36" s="173"/>
      <c r="I36" s="379">
        <v>12.299082340843097370312597212</v>
      </c>
      <c r="J36" s="378">
        <v>1.6397849462365591397849462366</v>
      </c>
      <c r="K36" s="173"/>
      <c r="L36" s="379">
        <v>0.2776419298317774182477494005</v>
      </c>
      <c r="M36" s="378">
        <v>30.021505376344086021505376344</v>
      </c>
      <c r="N36" s="173">
        <v>54.553045977011494252873563218</v>
      </c>
      <c r="O36" s="379">
        <v>75.578684807256235827664399093</v>
      </c>
      <c r="P36" s="4"/>
      <c r="Q36" s="359">
        <v>-30.685399159596516800654019720</v>
      </c>
      <c r="R36" s="170"/>
      <c r="S36" s="360">
        <v>1.2150932533094899773110461100</v>
      </c>
      <c r="T36" s="359">
        <v>-100</v>
      </c>
      <c r="U36" s="170"/>
      <c r="V36" s="360">
        <v>-2.6367135189812018989857022300</v>
      </c>
      <c r="W36" s="359">
        <v>79.41176471052595155721361287</v>
      </c>
      <c r="X36" s="170"/>
      <c r="Y36" s="360">
        <v>90.41555574473961685847959522</v>
      </c>
      <c r="Z36" s="359">
        <v>-60.747926332046522833220157660</v>
      </c>
      <c r="AA36" s="170">
        <v>44.29960444726914042597960600</v>
      </c>
      <c r="AB36" s="360">
        <v>0.7399034015539489412208209500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row>
    <row r="37" ht="15.6" customHeight="1">
      <c r="A37" s="92"/>
      <c r="B37" s="348">
        <v>6</v>
      </c>
      <c r="C37" s="349" t="s">
        <v>53</v>
      </c>
      <c r="D37" s="380">
        <v>34.043010752688172043010752688</v>
      </c>
      <c r="E37" s="383"/>
      <c r="F37" s="381">
        <v>65.816440811708130480742031057</v>
      </c>
      <c r="G37" s="380">
        <v>0</v>
      </c>
      <c r="H37" s="383"/>
      <c r="I37" s="381">
        <v>8.800726717414376532693563378</v>
      </c>
      <c r="J37" s="380">
        <v>1.1505376344086021505376344086</v>
      </c>
      <c r="K37" s="383"/>
      <c r="L37" s="381">
        <v>0.2145785026235247325961515966</v>
      </c>
      <c r="M37" s="380">
        <v>35.193548387096774193548387097</v>
      </c>
      <c r="N37" s="383">
        <v>56.68756704980842911877394636</v>
      </c>
      <c r="O37" s="381">
        <v>74.831746031746031746031746032</v>
      </c>
      <c r="P37" s="4"/>
      <c r="Q37" s="329">
        <v>-22.278139192310211126232403670</v>
      </c>
      <c r="R37" s="330"/>
      <c r="S37" s="332">
        <v>12.494899439463869508395057200</v>
      </c>
      <c r="T37" s="329">
        <v>-100</v>
      </c>
      <c r="U37" s="330"/>
      <c r="V37" s="332">
        <v>-23.193727541363233657831744650</v>
      </c>
      <c r="W37" s="329">
        <v>132.60869565874763705122547670</v>
      </c>
      <c r="X37" s="330"/>
      <c r="Y37" s="332">
        <v>181.16713018098404579921333899</v>
      </c>
      <c r="Z37" s="329">
        <v>-56.925709021533844238183529890</v>
      </c>
      <c r="AA37" s="330">
        <v>44.001703246052812162672828420</v>
      </c>
      <c r="AB37" s="332">
        <v>6.8401968402435360870675760100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row>
    <row r="39" ht="15.6" customHeight="1">
      <c r="A39" s="54"/>
      <c r="B39" s="53"/>
      <c r="C39" s="53" t="s">
        <v>14</v>
      </c>
      <c r="D39" s="374">
        <v>32.713709677419354838709677419</v>
      </c>
      <c r="E39" s="382"/>
      <c r="F39" s="375">
        <v>59.47122481470930247170626702</v>
      </c>
      <c r="G39" s="374">
        <v>0</v>
      </c>
      <c r="H39" s="382"/>
      <c r="I39" s="375">
        <v>6.333287343780718504591508396</v>
      </c>
      <c r="J39" s="374">
        <v>1.3991935483870967741935483871</v>
      </c>
      <c r="K39" s="382"/>
      <c r="L39" s="375">
        <v>0.240499179378459749325807349</v>
      </c>
      <c r="M39" s="374">
        <v>34.112903225806451612903225806</v>
      </c>
      <c r="N39" s="382">
        <v>47.200038314176245210727969349</v>
      </c>
      <c r="O39" s="375">
        <v>66.045011337868480725623582766</v>
      </c>
      <c r="P39" s="4"/>
      <c r="Q39" s="354">
        <v>62.000798722018849712664214240</v>
      </c>
      <c r="R39" s="355"/>
      <c r="S39" s="356">
        <v>38.658027809967099154055861180</v>
      </c>
      <c r="T39" s="354">
        <v>-100</v>
      </c>
      <c r="U39" s="355"/>
      <c r="V39" s="356">
        <v>3.9552801129318992863652809600</v>
      </c>
      <c r="W39" s="354">
        <v>72.636815913526892898964103770</v>
      </c>
      <c r="X39" s="355"/>
      <c r="Y39" s="356">
        <v>79.47727451142113527865528066</v>
      </c>
      <c r="Z39" s="354">
        <v>3.6637666953087434219803008200</v>
      </c>
      <c r="AA39" s="355">
        <v>137.08752400820613908529415178</v>
      </c>
      <c r="AB39" s="356">
        <v>34.464960492792262401826577630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row>
    <row r="40" ht="15.6" customHeight="1">
      <c r="A40" s="54"/>
      <c r="C40" s="53" t="s">
        <v>15</v>
      </c>
      <c r="D40" s="370">
        <v>24.314516129032258064516129032</v>
      </c>
      <c r="E40" s="172"/>
      <c r="F40" s="371">
        <v>78.563242196646178961735211898</v>
      </c>
      <c r="G40" s="370">
        <v>0</v>
      </c>
      <c r="H40" s="172"/>
      <c r="I40" s="371">
        <v>8.44765338394934729323346704</v>
      </c>
      <c r="J40" s="370">
        <v>1.4852150537634408602150537634</v>
      </c>
      <c r="K40" s="172"/>
      <c r="L40" s="371">
        <v>0.2660885463886007291583051913</v>
      </c>
      <c r="M40" s="370">
        <v>25.799731182795698924731182796</v>
      </c>
      <c r="N40" s="172">
        <v>50.879808429118773946360153257</v>
      </c>
      <c r="O40" s="371">
        <v>87.27698412698412698412698413</v>
      </c>
      <c r="P40" s="4"/>
      <c r="Q40" s="327">
        <v>23.447522860901736500387791140</v>
      </c>
      <c r="R40" s="171"/>
      <c r="S40" s="328">
        <v>27.310717565577438562849203020</v>
      </c>
      <c r="T40" s="327">
        <v>-100</v>
      </c>
      <c r="U40" s="171"/>
      <c r="V40" s="328">
        <v>-19.309057416407147598224485130</v>
      </c>
      <c r="W40" s="327">
        <v>45.394736848380193906087987310</v>
      </c>
      <c r="X40" s="171"/>
      <c r="Y40" s="328">
        <v>63.169560705039164182029897200</v>
      </c>
      <c r="Z40" s="327">
        <v>-24.672317714465112628522094030</v>
      </c>
      <c r="AA40" s="171">
        <v>58.604006982784052057307992740</v>
      </c>
      <c r="AB40" s="328">
        <v>20.644864016790274777624246010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row>
    <row r="41" ht="15.6" customHeight="1">
      <c r="A41" s="54"/>
      <c r="B41" s="22"/>
      <c r="C41" s="53" t="s">
        <v>16</v>
      </c>
      <c r="D41" s="378">
        <v>29.690860215053763440860215054</v>
      </c>
      <c r="E41" s="173"/>
      <c r="F41" s="379">
        <v>96.27434711928052387375957957</v>
      </c>
      <c r="G41" s="378">
        <v>0</v>
      </c>
      <c r="H41" s="173"/>
      <c r="I41" s="379">
        <v>13.740848857363863965917969093</v>
      </c>
      <c r="J41" s="378">
        <v>1.2352150537634408602150537634</v>
      </c>
      <c r="K41" s="173"/>
      <c r="L41" s="379">
        <v>0.2018108260767005956966009944</v>
      </c>
      <c r="M41" s="378">
        <v>30.926075268817204301075268817</v>
      </c>
      <c r="N41" s="173">
        <v>60.177787356321839080459770115</v>
      </c>
      <c r="O41" s="379">
        <v>110.21700680272108843537414966</v>
      </c>
      <c r="P41" s="4"/>
      <c r="Q41" s="359">
        <v>3.1182896087710091985548882100</v>
      </c>
      <c r="R41" s="170"/>
      <c r="S41" s="360">
        <v>14.347448562057866757865839860</v>
      </c>
      <c r="T41" s="359">
        <v>-100</v>
      </c>
      <c r="U41" s="170"/>
      <c r="V41" s="360">
        <v>53.628877277324503959764475410</v>
      </c>
      <c r="W41" s="359">
        <v>24.864130438311377599343582410</v>
      </c>
      <c r="X41" s="170"/>
      <c r="Y41" s="360">
        <v>29.437550949440173400763606080</v>
      </c>
      <c r="Z41" s="359">
        <v>-21.441496807733171623099216890</v>
      </c>
      <c r="AA41" s="170">
        <v>23.212825854923298205122208900</v>
      </c>
      <c r="AB41" s="360">
        <v>18.138587534455659092085366390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row>
    <row r="42" ht="15.6" customHeight="1">
      <c r="A42" s="54"/>
      <c r="B42" s="22"/>
      <c r="C42" s="53" t="s">
        <v>17</v>
      </c>
      <c r="D42" s="370">
        <v>27.245967741935483870967741935</v>
      </c>
      <c r="E42" s="172"/>
      <c r="F42" s="371">
        <v>93.18652830385427265379410143</v>
      </c>
      <c r="G42" s="370">
        <v>1.1491935483870967741935483871</v>
      </c>
      <c r="H42" s="172"/>
      <c r="I42" s="371">
        <v>13.021132457178278988917307967</v>
      </c>
      <c r="J42" s="370">
        <v>1.7190860215053763440860215054</v>
      </c>
      <c r="K42" s="172"/>
      <c r="L42" s="371">
        <v>0.2931328897610991509393842598</v>
      </c>
      <c r="M42" s="370">
        <v>30.114247311827956989247311828</v>
      </c>
      <c r="N42" s="172">
        <v>59.377313218390804597701149425</v>
      </c>
      <c r="O42" s="371">
        <v>106.50079365079365079365079365</v>
      </c>
      <c r="P42" s="4"/>
      <c r="Q42" s="327">
        <v>-6.0353219300755264682220365200</v>
      </c>
      <c r="R42" s="171"/>
      <c r="S42" s="328">
        <v>14.387571472780658333693136520</v>
      </c>
      <c r="T42" s="327">
        <v>-88.55421686741839647747593817</v>
      </c>
      <c r="U42" s="171"/>
      <c r="V42" s="328">
        <v>83.73600655109197857614339944</v>
      </c>
      <c r="W42" s="327">
        <v>39.781420762460843859224762650</v>
      </c>
      <c r="X42" s="171"/>
      <c r="Y42" s="328">
        <v>51.004203060386973506681293310</v>
      </c>
      <c r="Z42" s="327">
        <v>-25.206970222965760384113273350</v>
      </c>
      <c r="AA42" s="171">
        <v>44.055171417061402098701221660</v>
      </c>
      <c r="AB42" s="328">
        <v>20.005493487602217653948393330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row>
    <row r="43" ht="15.6" customHeight="1">
      <c r="A43" s="54"/>
      <c r="B43" s="22"/>
      <c r="C43" s="53" t="s">
        <v>18</v>
      </c>
      <c r="D43" s="378">
        <v>26.713709677419354838709677419</v>
      </c>
      <c r="E43" s="173"/>
      <c r="F43" s="379">
        <v>73.179593874341038957985642273</v>
      </c>
      <c r="G43" s="378">
        <v>0</v>
      </c>
      <c r="H43" s="173"/>
      <c r="I43" s="379">
        <v>8.644258663229030629957645731</v>
      </c>
      <c r="J43" s="378">
        <v>0.9220430107526881720430107527</v>
      </c>
      <c r="K43" s="173"/>
      <c r="L43" s="379">
        <v>0.1572132220671186206734920419</v>
      </c>
      <c r="M43" s="378">
        <v>27.635752688172043010752688172</v>
      </c>
      <c r="N43" s="173">
        <v>56.730914750957854406130268199</v>
      </c>
      <c r="O43" s="379">
        <v>81.98106575963718820861678005</v>
      </c>
      <c r="P43" s="4"/>
      <c r="Q43" s="359">
        <v>-3.2658424995833827997656316800</v>
      </c>
      <c r="R43" s="170"/>
      <c r="S43" s="360">
        <v>20.264904108369630856263666750</v>
      </c>
      <c r="T43" s="359">
        <v>-100</v>
      </c>
      <c r="U43" s="170"/>
      <c r="V43" s="360">
        <v>32.677182384707678011340440090</v>
      </c>
      <c r="W43" s="359">
        <v>-32.146389711061293134505551280</v>
      </c>
      <c r="X43" s="170"/>
      <c r="Y43" s="360">
        <v>-30.536097130994052945389461370</v>
      </c>
      <c r="Z43" s="359">
        <v>-29.515614822880668720565199700</v>
      </c>
      <c r="AA43" s="170">
        <v>57.770952560955551657628713030</v>
      </c>
      <c r="AB43" s="360">
        <v>21.291260865638677258809430990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row>
    <row r="44" ht="15.6" customHeight="1">
      <c r="A44" s="54"/>
      <c r="B44" s="22"/>
      <c r="C44" s="53" t="s">
        <v>19</v>
      </c>
      <c r="D44" s="370">
        <v>44.802419354838709677419354839</v>
      </c>
      <c r="E44" s="172"/>
      <c r="F44" s="371">
        <v>72.325408708449536875573481492</v>
      </c>
      <c r="G44" s="370">
        <v>0</v>
      </c>
      <c r="H44" s="172"/>
      <c r="I44" s="371">
        <v>9.386709118718327652470672359</v>
      </c>
      <c r="J44" s="370">
        <v>1.7325268817204301075268817204</v>
      </c>
      <c r="K44" s="172"/>
      <c r="L44" s="371">
        <v>0.2876554154625209594841908186</v>
      </c>
      <c r="M44" s="370">
        <v>46.534946236559139784946236559</v>
      </c>
      <c r="N44" s="172">
        <v>59.120881226053639846743295019</v>
      </c>
      <c r="O44" s="371">
        <v>81.99977324263038548752834467</v>
      </c>
      <c r="P44" s="4"/>
      <c r="Q44" s="327">
        <v>37.336739318347213725920353060</v>
      </c>
      <c r="R44" s="171"/>
      <c r="S44" s="328">
        <v>32.310042210363536333230331860</v>
      </c>
      <c r="T44" s="327">
        <v>-100</v>
      </c>
      <c r="U44" s="171"/>
      <c r="V44" s="328">
        <v>-7.7666904398398424307739467100</v>
      </c>
      <c r="W44" s="327">
        <v>164.68172483512600719362932208</v>
      </c>
      <c r="X44" s="171"/>
      <c r="Y44" s="328">
        <v>171.38826550564995530436952525</v>
      </c>
      <c r="Z44" s="327">
        <v>-13.262851989163365123076727270</v>
      </c>
      <c r="AA44" s="171">
        <v>65.388847556484786968165968680</v>
      </c>
      <c r="AB44" s="328">
        <v>26.257004696062007938971754620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row>
    <row r="45" ht="15.6" customHeight="1">
      <c r="A45" s="54"/>
      <c r="B45" s="22"/>
      <c r="C45" s="53" t="s">
        <v>20</v>
      </c>
      <c r="D45" s="384">
        <v>57.258064516129032258064516129</v>
      </c>
      <c r="E45" s="385"/>
      <c r="F45" s="386">
        <v>76.668856945688858240998710075</v>
      </c>
      <c r="G45" s="384">
        <v>0</v>
      </c>
      <c r="H45" s="385"/>
      <c r="I45" s="386">
        <v>8.110550441557676584563588966</v>
      </c>
      <c r="J45" s="384">
        <v>1.1317204301075268817204301075</v>
      </c>
      <c r="K45" s="385"/>
      <c r="L45" s="386">
        <v>0.1873726581049390973401952908</v>
      </c>
      <c r="M45" s="384">
        <v>58.389784946236559139784946237</v>
      </c>
      <c r="N45" s="385">
        <v>61.769568965517241379310344828</v>
      </c>
      <c r="O45" s="386">
        <v>84.96678004535147392290249433</v>
      </c>
      <c r="P45" s="4"/>
      <c r="Q45" s="364">
        <v>58.370199635556436893835788370</v>
      </c>
      <c r="R45" s="365"/>
      <c r="S45" s="366">
        <v>32.820649848320224270280268340</v>
      </c>
      <c r="T45" s="364">
        <v>-100</v>
      </c>
      <c r="U45" s="365"/>
      <c r="V45" s="366">
        <v>-30.289835515351890435125759570</v>
      </c>
      <c r="W45" s="364">
        <v>28.549618318569593846544849190</v>
      </c>
      <c r="X45" s="365"/>
      <c r="Y45" s="366">
        <v>29.511431931524506368685148450</v>
      </c>
      <c r="Z45" s="364">
        <v>-3.8425782460966383250096824800</v>
      </c>
      <c r="AA45" s="365">
        <v>59.781500187150594790261749210</v>
      </c>
      <c r="AB45" s="366">
        <v>22.249174572939986825272438820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row>
    <row r="47" ht="15.6" customHeight="1">
      <c r="A47" s="22"/>
      <c r="B47" s="22"/>
      <c r="C47" s="53" t="s">
        <v>72</v>
      </c>
      <c r="D47" s="374">
        <v>28.942396313364055299539170507</v>
      </c>
      <c r="E47" s="382"/>
      <c r="F47" s="375">
        <v>67.563411742788243793585840091</v>
      </c>
      <c r="G47" s="374">
        <v>0.6566820276497695852534562212</v>
      </c>
      <c r="H47" s="382"/>
      <c r="I47" s="375">
        <v>5.7835581726189355323783570865</v>
      </c>
      <c r="J47" s="374">
        <v>1.4009216589861751152073732719</v>
      </c>
      <c r="K47" s="382"/>
      <c r="L47" s="375">
        <v>0.2505681474370059672006878262</v>
      </c>
      <c r="M47" s="374">
        <v>31.000000000</v>
      </c>
      <c r="N47" s="382">
        <v>47.805227148330596606458675424</v>
      </c>
      <c r="O47" s="375">
        <v>73.597538062844185293164885002</v>
      </c>
      <c r="P47" s="4"/>
      <c r="Q47" s="354">
        <v>-18.811134571367199245118085850</v>
      </c>
      <c r="R47" s="355"/>
      <c r="S47" s="356">
        <v>21.691192205592046742091587140</v>
      </c>
      <c r="T47" s="354">
        <v>-95.88645657926179439209719389</v>
      </c>
      <c r="U47" s="355"/>
      <c r="V47" s="356">
        <v>-32.412077354902224148158328050</v>
      </c>
      <c r="W47" s="354">
        <v>54.18427726758666913449851800</v>
      </c>
      <c r="X47" s="355"/>
      <c r="Y47" s="356">
        <v>74.033418931528734176378894990</v>
      </c>
      <c r="Z47" s="354">
        <v>-40.975695358440085841110796160</v>
      </c>
      <c r="AA47" s="355">
        <v>62.107321024044472807818311800</v>
      </c>
      <c r="AB47" s="356">
        <v>14.599629965126023390468332150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row>
    <row r="48" ht="15.6" customHeight="1">
      <c r="A48" s="22"/>
      <c r="B48" s="22"/>
      <c r="C48" s="53" t="s">
        <v>61</v>
      </c>
      <c r="D48" s="370">
        <v>34.677035330261136712749615975</v>
      </c>
      <c r="E48" s="172"/>
      <c r="F48" s="371">
        <v>78.524171708995673147936141968</v>
      </c>
      <c r="G48" s="370">
        <v>0.1641705069124423963133640553</v>
      </c>
      <c r="H48" s="172"/>
      <c r="I48" s="371">
        <v>9.669205752253891945664594221</v>
      </c>
      <c r="J48" s="370">
        <v>1.375</v>
      </c>
      <c r="K48" s="172"/>
      <c r="L48" s="371">
        <v>0.2333961053199198432311394208</v>
      </c>
      <c r="M48" s="370">
        <v>36.216205837173579109062980031</v>
      </c>
      <c r="N48" s="172">
        <v>56.465187465790914066776135742</v>
      </c>
      <c r="O48" s="371">
        <v>88.42677356656948493683187561</v>
      </c>
      <c r="P48" s="4"/>
      <c r="Q48" s="327">
        <v>25.077395092385129980122177910</v>
      </c>
      <c r="R48" s="171"/>
      <c r="S48" s="328">
        <v>23.939934175318670443909782790</v>
      </c>
      <c r="T48" s="327">
        <v>-98.84334415584441872048406134</v>
      </c>
      <c r="U48" s="171"/>
      <c r="V48" s="328">
        <v>11.104563371844635454977217900</v>
      </c>
      <c r="W48" s="327">
        <v>38.591058635756012020504265510</v>
      </c>
      <c r="X48" s="171"/>
      <c r="Y48" s="328">
        <v>45.339885063238606265321425320</v>
      </c>
      <c r="Z48" s="327">
        <v>-15.599507774999263563018145910</v>
      </c>
      <c r="AA48" s="171">
        <v>56.592867136279527292831373330</v>
      </c>
      <c r="AB48" s="328">
        <v>22.440805550549980220556729440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row>
    <row r="49" ht="15.6" customHeight="1">
      <c r="A49" s="54"/>
      <c r="B49" s="22"/>
      <c r="C49" s="53" t="s">
        <v>31</v>
      </c>
      <c r="D49" s="384">
        <v>38.429587235518557058619493583</v>
      </c>
      <c r="E49" s="385"/>
      <c r="F49" s="386">
        <v>80.97706613880927308137444452</v>
      </c>
      <c r="G49" s="384">
        <v>0</v>
      </c>
      <c r="H49" s="385"/>
      <c r="I49" s="386">
        <v>9.711956351386083746466844926</v>
      </c>
      <c r="J49" s="384">
        <v>1.4301075268817204301075268817</v>
      </c>
      <c r="K49" s="385"/>
      <c r="L49" s="386">
        <v>0.2409314268553344163983418895</v>
      </c>
      <c r="M49" s="384">
        <v>39.859694762400277488727020465</v>
      </c>
      <c r="N49" s="385">
        <v>55.423688666419478432826597454</v>
      </c>
      <c r="O49" s="386">
        <v>90.92995391705069124423963134</v>
      </c>
      <c r="P49" s="4"/>
      <c r="Q49" s="364">
        <v>45.667479637425941667376192570</v>
      </c>
      <c r="R49" s="365"/>
      <c r="S49" s="366">
        <v>18.969773347160404515843127810</v>
      </c>
      <c r="T49" s="364">
        <v>-100</v>
      </c>
      <c r="U49" s="365"/>
      <c r="V49" s="366">
        <v>33.707499667049637553259512710</v>
      </c>
      <c r="W49" s="364">
        <v>46.569498753630052133434213240</v>
      </c>
      <c r="X49" s="365"/>
      <c r="Y49" s="366">
        <v>48.301455594162589141488166890</v>
      </c>
      <c r="Z49" s="364">
        <v>8.876656260456819988133932520</v>
      </c>
      <c r="AA49" s="365">
        <v>43.773324148158906195585419650</v>
      </c>
      <c r="AB49" s="366">
        <v>20.450923771008658601515092730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row>
    <row r="52" ht="24.95" customHeight="1">
      <c r="D52" s="655" t="s">
        <v>114</v>
      </c>
      <c r="E52" s="655"/>
      <c r="F52" s="655"/>
      <c r="G52" s="655"/>
      <c r="H52" s="655"/>
      <c r="I52" s="655"/>
      <c r="J52" s="655"/>
      <c r="K52" s="655"/>
      <c r="L52" s="655"/>
      <c r="M52" s="655"/>
      <c r="N52" s="655"/>
      <c r="O52" s="655"/>
      <c r="P52" s="655"/>
      <c r="Q52" s="655"/>
      <c r="R52" s="655"/>
      <c r="S52" s="655"/>
      <c r="T52" s="655"/>
      <c r="U52" s="655"/>
      <c r="V52" s="655"/>
      <c r="W52" s="655"/>
      <c r="X52" s="655"/>
      <c r="Y52" s="655"/>
      <c r="Z52" s="655"/>
      <c r="AA52" s="655"/>
      <c r="AB52" s="655"/>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row>
  </sheetData>
  <mergeCells count="12">
    <mergeCell ref="Q8:S8"/>
    <mergeCell ref="T8:V8"/>
    <mergeCell ref="D52:AB52"/>
    <mergeCell ref="R4:AA4"/>
    <mergeCell ref="D7:O7"/>
    <mergeCell ref="Q7:AB7"/>
    <mergeCell ref="W8:Y8"/>
    <mergeCell ref="Z8:AB8"/>
    <mergeCell ref="D8:F8"/>
    <mergeCell ref="G8:I8"/>
    <mergeCell ref="J8:L8"/>
    <mergeCell ref="M8:O8"/>
  </mergeCells>
  <phoneticPr fontId="0" type="noConversion"/>
  <printOptions horizontalCentered="1" verticalCentered="1"/>
  <pageMargins left="0.25" right="0.25" top="0.25" bottom="0.25" header="0.25" footer="0.25"/>
  <pageSetup scale="67" orientation="landscape" r:id="rId1"/>
  <headerFooter alignWithMargins="0">
    <oddHeader/>
    <oddFooter/>
  </headerFooter>
  <drawing r:id="rId42"/>
</worksheet>
</file>

<file path=xl/worksheets/sheet4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Y105"/>
  <sheetViews>
    <sheetView showGridLines="0" zoomScale="75" workbookViewId="0"/>
  </sheetViews>
  <sheetFormatPr defaultRowHeight="12.75"/>
  <cols>
    <col min="1" max="1" width="13.28515625" customWidth="1"/>
    <col min="2" max="2" width="3.85546875" customWidth="1"/>
    <col min="3" max="3" width="4.28515625" style="30" customWidth="1"/>
    <col min="4" max="15" width="8.7109375" customWidth="1"/>
    <col min="16" max="16" width="1.42578125" customWidth="1"/>
    <col min="17" max="25" width="8.7109375" customWidth="1"/>
    <col min="26" max="28" width="7.42578125" hidden="1" customWidth="1"/>
    <col min="29" max="29" width="2.28515625" customWidth="1"/>
    <col min="30" max="32" width="9.140625" customWidth="1"/>
  </cols>
  <sheetData>
    <row r="1" ht="23.25">
      <c r="A1" s="39" t="s">
        <v>133</v>
      </c>
      <c r="B1" s="39"/>
      <c r="AD1" s="244"/>
      <c r="AE1" s="244"/>
      <c r="AF1" s="244"/>
      <c r="AG1" s="244"/>
      <c r="AH1" s="244"/>
      <c r="AI1" s="244"/>
      <c r="AJ1" s="244"/>
      <c r="AK1" s="244"/>
      <c r="AL1" s="244"/>
      <c r="AM1" s="244"/>
      <c r="AN1" s="244"/>
      <c r="AO1" s="244"/>
      <c r="AP1" s="244"/>
      <c r="AQ1" s="244"/>
      <c r="AR1" s="244"/>
      <c r="AS1" s="244"/>
      <c r="AT1" s="244"/>
      <c r="AU1" s="244"/>
      <c r="AV1" s="244"/>
      <c r="AW1" s="244"/>
      <c r="AX1" s="244"/>
      <c r="AY1" s="244"/>
    </row>
    <row r="2" ht="15" customHeight="1">
      <c r="A2" s="10" t="s">
        <v>141</v>
      </c>
      <c r="X2" s="216"/>
      <c r="AD2" s="244"/>
      <c r="AE2" s="244"/>
      <c r="AF2" s="244"/>
      <c r="AG2" s="244"/>
      <c r="AH2" s="244"/>
      <c r="AI2" s="244"/>
      <c r="AJ2" s="244"/>
      <c r="AK2" s="244"/>
      <c r="AL2" s="244"/>
      <c r="AM2" s="244"/>
      <c r="AN2" s="244"/>
      <c r="AO2" s="244"/>
      <c r="AP2" s="244"/>
      <c r="AQ2" s="244"/>
      <c r="AR2" s="244"/>
      <c r="AS2" s="244"/>
      <c r="AT2" s="244"/>
      <c r="AU2" s="244"/>
      <c r="AV2" s="244"/>
      <c r="AW2" s="244"/>
      <c r="AX2" s="244"/>
      <c r="AY2" s="244"/>
    </row>
    <row r="3" ht="17.1" customHeight="1">
      <c r="A3" s="10" t="s">
        <v>142</v>
      </c>
      <c r="AD3" s="244"/>
      <c r="AE3" s="244"/>
      <c r="AF3" s="244"/>
      <c r="AG3" s="244"/>
      <c r="AH3" s="244"/>
      <c r="AI3" s="244"/>
      <c r="AJ3" s="244"/>
      <c r="AK3" s="244"/>
      <c r="AL3" s="244"/>
      <c r="AM3" s="244"/>
      <c r="AN3" s="244"/>
      <c r="AO3" s="244"/>
      <c r="AP3" s="244"/>
      <c r="AQ3" s="244"/>
      <c r="AR3" s="244"/>
      <c r="AS3" s="244"/>
      <c r="AT3" s="244"/>
      <c r="AU3" s="244"/>
      <c r="AV3" s="244"/>
      <c r="AW3" s="244"/>
      <c r="AX3" s="244"/>
      <c r="AY3" s="244"/>
    </row>
    <row r="4" ht="17.1" customHeight="1">
      <c r="A4" t="s">
        <v>143</v>
      </c>
      <c r="B4" s="443"/>
      <c r="C4" s="211"/>
      <c r="D4" s="212"/>
      <c r="E4" s="212"/>
      <c r="F4" s="212"/>
      <c r="G4" s="212"/>
      <c r="H4" s="212"/>
      <c r="I4" s="212"/>
      <c r="J4" s="212"/>
      <c r="K4" s="212"/>
      <c r="L4" s="212"/>
      <c r="M4" s="212"/>
      <c r="N4" s="212"/>
      <c r="O4" s="212"/>
      <c r="P4" s="212"/>
      <c r="Q4" s="665" t="s">
        <v>146</v>
      </c>
      <c r="R4" s="665"/>
      <c r="S4" s="665"/>
      <c r="T4" s="665"/>
      <c r="U4" s="665"/>
      <c r="V4" s="665"/>
      <c r="W4" s="665"/>
      <c r="X4" s="665"/>
      <c r="AD4" s="244"/>
      <c r="AE4" s="244"/>
      <c r="AF4" s="244"/>
      <c r="AG4" s="244"/>
      <c r="AH4" s="244"/>
      <c r="AI4" s="244"/>
      <c r="AJ4" s="244"/>
      <c r="AK4" s="244"/>
      <c r="AL4" s="244"/>
      <c r="AM4" s="244"/>
      <c r="AN4" s="244"/>
      <c r="AO4" s="244"/>
      <c r="AP4" s="244"/>
      <c r="AQ4" s="244"/>
      <c r="AR4" s="244"/>
      <c r="AS4" s="244"/>
      <c r="AT4" s="244"/>
      <c r="AU4" s="244"/>
      <c r="AV4" s="244"/>
      <c r="AW4" s="244"/>
      <c r="AX4" s="244"/>
      <c r="AY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row>
    <row r="7" ht="15.75">
      <c r="D7" s="621" t="s">
        <v>83</v>
      </c>
      <c r="E7" s="621"/>
      <c r="F7" s="621"/>
      <c r="G7" s="621"/>
      <c r="H7" s="621"/>
      <c r="I7" s="621"/>
      <c r="J7" s="621"/>
      <c r="K7" s="621"/>
      <c r="L7" s="621"/>
      <c r="M7" s="621"/>
      <c r="N7" s="621"/>
      <c r="O7" s="621"/>
      <c r="Q7" s="621" t="s">
        <v>62</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row>
    <row r="8" ht="15" customHeight="1">
      <c r="D8" s="682" t="s">
        <v>33</v>
      </c>
      <c r="E8" s="682"/>
      <c r="F8" s="682"/>
      <c r="G8" s="682" t="s">
        <v>30</v>
      </c>
      <c r="H8" s="682"/>
      <c r="I8" s="682"/>
      <c r="J8" s="682" t="s">
        <v>29</v>
      </c>
      <c r="K8" s="682"/>
      <c r="L8" s="682"/>
      <c r="M8" s="682" t="s">
        <v>94</v>
      </c>
      <c r="N8" s="682"/>
      <c r="O8" s="682"/>
      <c r="Q8" s="682" t="s">
        <v>33</v>
      </c>
      <c r="R8" s="682"/>
      <c r="S8" s="682"/>
      <c r="T8" s="682" t="s">
        <v>30</v>
      </c>
      <c r="U8" s="682"/>
      <c r="V8" s="682"/>
      <c r="W8" s="682" t="s">
        <v>29</v>
      </c>
      <c r="X8" s="682"/>
      <c r="Y8" s="682"/>
      <c r="Z8" s="683" t="s">
        <v>23</v>
      </c>
      <c r="AA8" s="683"/>
      <c r="AB8" s="683"/>
      <c r="AD8" s="244"/>
      <c r="AE8" s="244"/>
      <c r="AF8" s="244"/>
      <c r="AG8" s="244"/>
      <c r="AH8" s="244"/>
      <c r="AI8" s="244"/>
      <c r="AJ8" s="244"/>
      <c r="AK8" s="244"/>
      <c r="AL8" s="244"/>
      <c r="AM8" s="244"/>
      <c r="AN8" s="244"/>
      <c r="AO8" s="244"/>
      <c r="AP8" s="244"/>
      <c r="AQ8" s="244"/>
      <c r="AR8" s="244"/>
      <c r="AS8" s="244"/>
      <c r="AT8" s="244"/>
      <c r="AU8" s="244"/>
      <c r="AV8" s="244"/>
      <c r="AW8" s="244"/>
      <c r="AX8" s="244"/>
      <c r="AY8" s="244"/>
    </row>
    <row r="9" ht="27" customHeight="1">
      <c r="A9" s="92"/>
      <c r="D9" s="339" t="s">
        <v>63</v>
      </c>
      <c r="E9" s="340" t="s">
        <v>26</v>
      </c>
      <c r="F9" s="341" t="s">
        <v>147</v>
      </c>
      <c r="G9" s="339" t="s">
        <v>63</v>
      </c>
      <c r="H9" s="340" t="s">
        <v>26</v>
      </c>
      <c r="I9" s="341" t="s">
        <v>147</v>
      </c>
      <c r="J9" s="339" t="s">
        <v>63</v>
      </c>
      <c r="K9" s="340" t="s">
        <v>26</v>
      </c>
      <c r="L9" s="341" t="s">
        <v>147</v>
      </c>
      <c r="M9" s="339" t="s">
        <v>63</v>
      </c>
      <c r="N9" s="340" t="s">
        <v>26</v>
      </c>
      <c r="O9" s="341" t="s">
        <v>147</v>
      </c>
      <c r="P9" s="96"/>
      <c r="Q9" s="339" t="s">
        <v>63</v>
      </c>
      <c r="R9" s="340" t="s">
        <v>26</v>
      </c>
      <c r="S9" s="341" t="s">
        <v>147</v>
      </c>
      <c r="T9" s="339" t="s">
        <v>63</v>
      </c>
      <c r="U9" s="340" t="s">
        <v>26</v>
      </c>
      <c r="V9" s="341" t="s">
        <v>147</v>
      </c>
      <c r="W9" s="339" t="s">
        <v>63</v>
      </c>
      <c r="X9" s="340" t="s">
        <v>26</v>
      </c>
      <c r="Y9" s="341" t="s">
        <v>147</v>
      </c>
      <c r="Z9" s="94" t="s">
        <v>63</v>
      </c>
      <c r="AA9" s="94" t="s">
        <v>26</v>
      </c>
      <c r="AB9" s="95" t="s">
        <v>147</v>
      </c>
      <c r="AD9" s="244"/>
      <c r="AE9" s="244"/>
      <c r="AF9" s="244"/>
      <c r="AG9" s="244"/>
      <c r="AH9" s="244"/>
      <c r="AI9" s="244"/>
      <c r="AJ9" s="244"/>
      <c r="AK9" s="244"/>
      <c r="AL9" s="244"/>
      <c r="AM9" s="244"/>
      <c r="AN9" s="244"/>
      <c r="AO9" s="244"/>
      <c r="AP9" s="244"/>
      <c r="AQ9" s="244"/>
      <c r="AR9" s="244"/>
      <c r="AS9" s="244"/>
      <c r="AT9" s="244"/>
      <c r="AU9" s="244"/>
      <c r="AV9" s="244"/>
      <c r="AW9" s="244"/>
      <c r="AX9" s="244"/>
      <c r="AY9" s="244"/>
    </row>
    <row r="10" ht="15.6" customHeight="1">
      <c r="A10" s="92" t="s">
        <v>145</v>
      </c>
      <c r="B10" s="342">
        <v>10</v>
      </c>
      <c r="C10" s="343" t="s">
        <v>49</v>
      </c>
      <c r="D10" s="374">
        <v>88.46666666666666666666666667</v>
      </c>
      <c r="E10" s="382">
        <v>85.15414141414141414141414141</v>
      </c>
      <c r="F10" s="375">
        <v>118.49311926605504587155963303</v>
      </c>
      <c r="G10" s="374"/>
      <c r="H10" s="382"/>
      <c r="I10" s="375"/>
      <c r="J10" s="374"/>
      <c r="K10" s="382"/>
      <c r="L10" s="375"/>
      <c r="M10" s="374"/>
      <c r="N10" s="382"/>
      <c r="O10" s="375"/>
      <c r="P10" s="4"/>
      <c r="Q10" s="354"/>
      <c r="R10" s="355"/>
      <c r="S10" s="356"/>
      <c r="T10" s="354"/>
      <c r="U10" s="355"/>
      <c r="V10" s="356"/>
      <c r="W10" s="354"/>
      <c r="X10" s="355"/>
      <c r="Y10" s="356"/>
      <c r="Z10" s="35"/>
      <c r="AA10" s="35"/>
      <c r="AB10" s="3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row>
    <row r="11" ht="15.6" customHeight="1">
      <c r="A11" s="92"/>
      <c r="B11" s="344">
        <v>11</v>
      </c>
      <c r="C11" s="345" t="s">
        <v>47</v>
      </c>
      <c r="D11" s="370">
        <v>97.95833333333333333333333333</v>
      </c>
      <c r="E11" s="172">
        <v>90.10400584795321637426900584</v>
      </c>
      <c r="F11" s="371">
        <v>135.34217955957086391869000565</v>
      </c>
      <c r="G11" s="370"/>
      <c r="H11" s="172"/>
      <c r="I11" s="371"/>
      <c r="J11" s="370"/>
      <c r="K11" s="172"/>
      <c r="L11" s="371"/>
      <c r="M11" s="370"/>
      <c r="N11" s="172"/>
      <c r="O11" s="371"/>
      <c r="P11" s="4"/>
      <c r="Q11" s="327"/>
      <c r="R11" s="171"/>
      <c r="S11" s="328"/>
      <c r="T11" s="327"/>
      <c r="U11" s="171"/>
      <c r="V11" s="328"/>
      <c r="W11" s="327"/>
      <c r="X11" s="171"/>
      <c r="Y11" s="328"/>
      <c r="Z11" s="36"/>
      <c r="AA11" s="36"/>
      <c r="AB11" s="32"/>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row>
    <row r="12" ht="15.6" customHeight="1">
      <c r="A12" s="92"/>
      <c r="B12" s="346">
        <v>12</v>
      </c>
      <c r="C12" s="347" t="s">
        <v>48</v>
      </c>
      <c r="D12" s="378">
        <v>98.19480519480519480519480519</v>
      </c>
      <c r="E12" s="173">
        <v>95.16780678851174934725848564</v>
      </c>
      <c r="F12" s="379">
        <v>145.13059125964010282776349614</v>
      </c>
      <c r="G12" s="378"/>
      <c r="H12" s="173"/>
      <c r="I12" s="379"/>
      <c r="J12" s="378"/>
      <c r="K12" s="173"/>
      <c r="L12" s="379"/>
      <c r="M12" s="378"/>
      <c r="N12" s="173"/>
      <c r="O12" s="379"/>
      <c r="P12" s="4"/>
      <c r="Q12" s="359"/>
      <c r="R12" s="170"/>
      <c r="S12" s="360"/>
      <c r="T12" s="359"/>
      <c r="U12" s="170"/>
      <c r="V12" s="360"/>
      <c r="W12" s="359"/>
      <c r="X12" s="170"/>
      <c r="Y12" s="360"/>
      <c r="Z12" s="35"/>
      <c r="AA12" s="35"/>
      <c r="AB12" s="3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row>
    <row r="13" ht="15.6" customHeight="1">
      <c r="A13" s="92"/>
      <c r="B13" s="344">
        <v>13</v>
      </c>
      <c r="C13" s="345" t="s">
        <v>50</v>
      </c>
      <c r="D13" s="370">
        <v>95.88235294117647058823529412</v>
      </c>
      <c r="E13" s="172">
        <v>95.14286458333333333333333333</v>
      </c>
      <c r="F13" s="371">
        <v>141.59863229879011046817464492</v>
      </c>
      <c r="G13" s="370"/>
      <c r="H13" s="172"/>
      <c r="I13" s="371"/>
      <c r="J13" s="370"/>
      <c r="K13" s="172"/>
      <c r="L13" s="371"/>
      <c r="M13" s="370"/>
      <c r="N13" s="172"/>
      <c r="O13" s="371"/>
      <c r="P13" s="4"/>
      <c r="Q13" s="327"/>
      <c r="R13" s="171"/>
      <c r="S13" s="328"/>
      <c r="T13" s="327"/>
      <c r="U13" s="171"/>
      <c r="V13" s="328"/>
      <c r="W13" s="327"/>
      <c r="X13" s="171"/>
      <c r="Y13" s="328"/>
      <c r="Z13" s="36"/>
      <c r="AA13" s="36"/>
      <c r="AB13" s="32"/>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row>
    <row r="14" ht="15.6" customHeight="1">
      <c r="A14" s="92"/>
      <c r="B14" s="346">
        <v>14</v>
      </c>
      <c r="C14" s="347" t="s">
        <v>51</v>
      </c>
      <c r="D14" s="378">
        <v>87.775000000</v>
      </c>
      <c r="E14" s="173">
        <v>91.15113095238095238095238095</v>
      </c>
      <c r="F14" s="379">
        <v>126.62339331619537275064267352</v>
      </c>
      <c r="G14" s="378"/>
      <c r="H14" s="173"/>
      <c r="I14" s="379"/>
      <c r="J14" s="378"/>
      <c r="K14" s="173"/>
      <c r="L14" s="379"/>
      <c r="M14" s="378"/>
      <c r="N14" s="173"/>
      <c r="O14" s="379"/>
      <c r="P14" s="4"/>
      <c r="Q14" s="359"/>
      <c r="R14" s="170"/>
      <c r="S14" s="360"/>
      <c r="T14" s="359"/>
      <c r="U14" s="170"/>
      <c r="V14" s="360"/>
      <c r="W14" s="359"/>
      <c r="X14" s="170"/>
      <c r="Y14" s="360"/>
      <c r="Z14" s="35"/>
      <c r="AA14" s="35"/>
      <c r="AB14" s="3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row>
    <row r="15" ht="15.6" customHeight="1">
      <c r="A15" s="92"/>
      <c r="B15" s="344">
        <v>15</v>
      </c>
      <c r="C15" s="345" t="s">
        <v>52</v>
      </c>
      <c r="D15" s="370">
        <v>97.63636363636363636363636364</v>
      </c>
      <c r="E15" s="172">
        <v>93.25472375690607734806629834</v>
      </c>
      <c r="F15" s="371">
        <v>123.82074175824175824175824176</v>
      </c>
      <c r="G15" s="370"/>
      <c r="H15" s="172"/>
      <c r="I15" s="371"/>
      <c r="J15" s="370"/>
      <c r="K15" s="172"/>
      <c r="L15" s="371"/>
      <c r="M15" s="370"/>
      <c r="N15" s="172"/>
      <c r="O15" s="371"/>
      <c r="P15" s="4"/>
      <c r="Q15" s="327"/>
      <c r="R15" s="171"/>
      <c r="S15" s="328"/>
      <c r="T15" s="327"/>
      <c r="U15" s="171"/>
      <c r="V15" s="328"/>
      <c r="W15" s="327"/>
      <c r="X15" s="171"/>
      <c r="Y15" s="328"/>
      <c r="Z15" s="36"/>
      <c r="AA15" s="36"/>
      <c r="AB15" s="32"/>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row>
    <row r="16" ht="15.6" customHeight="1">
      <c r="A16" s="92"/>
      <c r="B16" s="346">
        <v>16</v>
      </c>
      <c r="C16" s="347" t="s">
        <v>53</v>
      </c>
      <c r="D16" s="378">
        <v>94.09708737864077669902912621</v>
      </c>
      <c r="E16" s="173">
        <v>93.06713498622589531680440772</v>
      </c>
      <c r="F16" s="379">
        <v>113.01161290322580645161290323</v>
      </c>
      <c r="G16" s="378"/>
      <c r="H16" s="173"/>
      <c r="I16" s="379"/>
      <c r="J16" s="378"/>
      <c r="K16" s="173"/>
      <c r="L16" s="379"/>
      <c r="M16" s="378"/>
      <c r="N16" s="173"/>
      <c r="O16" s="379"/>
      <c r="P16" s="4"/>
      <c r="Q16" s="359"/>
      <c r="R16" s="170"/>
      <c r="S16" s="360"/>
      <c r="T16" s="359"/>
      <c r="U16" s="170"/>
      <c r="V16" s="360"/>
      <c r="W16" s="359"/>
      <c r="X16" s="170"/>
      <c r="Y16" s="360"/>
      <c r="Z16" s="35"/>
      <c r="AA16" s="35"/>
      <c r="AB16" s="3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row>
    <row r="17" ht="15.6" customHeight="1">
      <c r="A17" s="92"/>
      <c r="B17" s="344">
        <v>17</v>
      </c>
      <c r="C17" s="345" t="s">
        <v>49</v>
      </c>
      <c r="D17" s="370">
        <v>89.65116279069767441860465116</v>
      </c>
      <c r="E17" s="172">
        <v>88.60893536121673003802281369</v>
      </c>
      <c r="F17" s="371">
        <v>116.09363636363636363636363636</v>
      </c>
      <c r="G17" s="370"/>
      <c r="H17" s="172"/>
      <c r="I17" s="371"/>
      <c r="J17" s="370"/>
      <c r="K17" s="172"/>
      <c r="L17" s="371"/>
      <c r="M17" s="370"/>
      <c r="N17" s="172"/>
      <c r="O17" s="371"/>
      <c r="P17" s="4"/>
      <c r="Q17" s="327"/>
      <c r="R17" s="171"/>
      <c r="S17" s="328"/>
      <c r="T17" s="327"/>
      <c r="U17" s="171"/>
      <c r="V17" s="328"/>
      <c r="W17" s="327"/>
      <c r="X17" s="171"/>
      <c r="Y17" s="328"/>
      <c r="Z17" s="36"/>
      <c r="AA17" s="36"/>
      <c r="AB17" s="32"/>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row>
    <row r="18" ht="15.6" customHeight="1">
      <c r="A18" s="92"/>
      <c r="B18" s="346">
        <v>18</v>
      </c>
      <c r="C18" s="347" t="s">
        <v>47</v>
      </c>
      <c r="D18" s="378">
        <v>89.92857142857142857142857143</v>
      </c>
      <c r="E18" s="173">
        <v>89.10545454545454545454545454</v>
      </c>
      <c r="F18" s="379">
        <v>130.04016786570743405275779376</v>
      </c>
      <c r="G18" s="378"/>
      <c r="H18" s="173"/>
      <c r="I18" s="379"/>
      <c r="J18" s="378"/>
      <c r="K18" s="173"/>
      <c r="L18" s="379"/>
      <c r="M18" s="378"/>
      <c r="N18" s="173"/>
      <c r="O18" s="379"/>
      <c r="P18" s="4"/>
      <c r="Q18" s="359"/>
      <c r="R18" s="170"/>
      <c r="S18" s="360"/>
      <c r="T18" s="359"/>
      <c r="U18" s="170"/>
      <c r="V18" s="360"/>
      <c r="W18" s="359"/>
      <c r="X18" s="170"/>
      <c r="Y18" s="360"/>
      <c r="Z18" s="35"/>
      <c r="AA18" s="35"/>
      <c r="AB18" s="3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row>
    <row r="19" ht="15.6" customHeight="1">
      <c r="A19" s="92"/>
      <c r="B19" s="344">
        <v>19</v>
      </c>
      <c r="C19" s="345" t="s">
        <v>48</v>
      </c>
      <c r="D19" s="370">
        <v>97.44776119402985074626865672</v>
      </c>
      <c r="E19" s="172">
        <v>98.67638121546961325966850828</v>
      </c>
      <c r="F19" s="371">
        <v>142.56390977443609022556390977</v>
      </c>
      <c r="G19" s="370"/>
      <c r="H19" s="172"/>
      <c r="I19" s="371"/>
      <c r="J19" s="370"/>
      <c r="K19" s="172"/>
      <c r="L19" s="371"/>
      <c r="M19" s="370"/>
      <c r="N19" s="172"/>
      <c r="O19" s="371"/>
      <c r="P19" s="4"/>
      <c r="Q19" s="327"/>
      <c r="R19" s="171"/>
      <c r="S19" s="328"/>
      <c r="T19" s="327"/>
      <c r="U19" s="171"/>
      <c r="V19" s="328"/>
      <c r="W19" s="327"/>
      <c r="X19" s="171"/>
      <c r="Y19" s="328"/>
      <c r="Z19" s="36"/>
      <c r="AA19" s="36"/>
      <c r="AB19" s="32"/>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row>
    <row r="20" ht="15.6" customHeight="1">
      <c r="A20" s="92"/>
      <c r="B20" s="346">
        <v>20</v>
      </c>
      <c r="C20" s="347" t="s">
        <v>50</v>
      </c>
      <c r="D20" s="378">
        <v>92.18461538461538461538461538</v>
      </c>
      <c r="E20" s="173">
        <v>98.07531680440771349862258953</v>
      </c>
      <c r="F20" s="379">
        <v>140.63856098931984260820685779</v>
      </c>
      <c r="G20" s="378"/>
      <c r="H20" s="173"/>
      <c r="I20" s="379"/>
      <c r="J20" s="378"/>
      <c r="K20" s="173"/>
      <c r="L20" s="379"/>
      <c r="M20" s="378"/>
      <c r="N20" s="173"/>
      <c r="O20" s="379"/>
      <c r="P20" s="4"/>
      <c r="Q20" s="359"/>
      <c r="R20" s="170"/>
      <c r="S20" s="360"/>
      <c r="T20" s="359"/>
      <c r="U20" s="170"/>
      <c r="V20" s="360"/>
      <c r="W20" s="359"/>
      <c r="X20" s="170"/>
      <c r="Y20" s="360"/>
      <c r="Z20" s="35"/>
      <c r="AA20" s="35"/>
      <c r="AB20" s="3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row>
    <row r="21" ht="15.6" customHeight="1">
      <c r="A21" s="92"/>
      <c r="B21" s="344">
        <v>21</v>
      </c>
      <c r="C21" s="345" t="s">
        <v>51</v>
      </c>
      <c r="D21" s="370">
        <v>90.93103448275862068965517241</v>
      </c>
      <c r="E21" s="172">
        <v>86.81640127388535031847133757</v>
      </c>
      <c r="F21" s="371">
        <v>124.43435754189944134078212291</v>
      </c>
      <c r="G21" s="370"/>
      <c r="H21" s="172"/>
      <c r="I21" s="371"/>
      <c r="J21" s="370"/>
      <c r="K21" s="172"/>
      <c r="L21" s="371"/>
      <c r="M21" s="370"/>
      <c r="N21" s="172"/>
      <c r="O21" s="371"/>
      <c r="P21" s="4"/>
      <c r="Q21" s="327"/>
      <c r="R21" s="171"/>
      <c r="S21" s="328"/>
      <c r="T21" s="327"/>
      <c r="U21" s="171"/>
      <c r="V21" s="328"/>
      <c r="W21" s="327"/>
      <c r="X21" s="171"/>
      <c r="Y21" s="328"/>
      <c r="Z21" s="36"/>
      <c r="AA21" s="36"/>
      <c r="AB21" s="32"/>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row>
    <row r="22" ht="15.6" customHeight="1">
      <c r="A22" s="92"/>
      <c r="B22" s="346">
        <v>22</v>
      </c>
      <c r="C22" s="347" t="s">
        <v>52</v>
      </c>
      <c r="D22" s="378">
        <v>95.19230769230769230769230769</v>
      </c>
      <c r="E22" s="173">
        <v>91.17736507936507936507936508</v>
      </c>
      <c r="F22" s="379">
        <v>122.59259259259259259259259259</v>
      </c>
      <c r="G22" s="378"/>
      <c r="H22" s="173"/>
      <c r="I22" s="379"/>
      <c r="J22" s="378"/>
      <c r="K22" s="173"/>
      <c r="L22" s="379"/>
      <c r="M22" s="378"/>
      <c r="N22" s="173"/>
      <c r="O22" s="379"/>
      <c r="P22" s="4"/>
      <c r="Q22" s="359"/>
      <c r="R22" s="170"/>
      <c r="S22" s="360"/>
      <c r="T22" s="359"/>
      <c r="U22" s="170"/>
      <c r="V22" s="360"/>
      <c r="W22" s="359"/>
      <c r="X22" s="170"/>
      <c r="Y22" s="360"/>
      <c r="Z22" s="35"/>
      <c r="AA22" s="35"/>
      <c r="AB22" s="3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row>
    <row r="23" ht="15.6" customHeight="1">
      <c r="A23" s="92"/>
      <c r="B23" s="344">
        <v>23</v>
      </c>
      <c r="C23" s="345" t="s">
        <v>53</v>
      </c>
      <c r="D23" s="370">
        <v>104.92771084337349397590361446</v>
      </c>
      <c r="E23" s="172">
        <v>87.85287096774193548387096774</v>
      </c>
      <c r="F23" s="371">
        <v>120.71554650373387644263408011</v>
      </c>
      <c r="G23" s="370"/>
      <c r="H23" s="172"/>
      <c r="I23" s="371"/>
      <c r="J23" s="370"/>
      <c r="K23" s="172"/>
      <c r="L23" s="371"/>
      <c r="M23" s="370"/>
      <c r="N23" s="172"/>
      <c r="O23" s="371"/>
      <c r="P23" s="4"/>
      <c r="Q23" s="327"/>
      <c r="R23" s="171"/>
      <c r="S23" s="328"/>
      <c r="T23" s="327"/>
      <c r="U23" s="171"/>
      <c r="V23" s="328"/>
      <c r="W23" s="327"/>
      <c r="X23" s="171"/>
      <c r="Y23" s="328"/>
      <c r="Z23" s="36"/>
      <c r="AA23" s="36"/>
      <c r="AB23" s="32"/>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row>
    <row r="24" ht="15.6" customHeight="1">
      <c r="A24" s="92"/>
      <c r="B24" s="346">
        <v>24</v>
      </c>
      <c r="C24" s="347" t="s">
        <v>49</v>
      </c>
      <c r="D24" s="378">
        <v>105.03333333333333333333333333</v>
      </c>
      <c r="E24" s="173">
        <v>85.94584745762711864406779662</v>
      </c>
      <c r="F24" s="379">
        <v>119.35235507246376811594202899</v>
      </c>
      <c r="G24" s="378"/>
      <c r="H24" s="173"/>
      <c r="I24" s="379"/>
      <c r="J24" s="378"/>
      <c r="K24" s="173"/>
      <c r="L24" s="379"/>
      <c r="M24" s="378"/>
      <c r="N24" s="173"/>
      <c r="O24" s="379"/>
      <c r="P24" s="4"/>
      <c r="Q24" s="359"/>
      <c r="R24" s="170"/>
      <c r="S24" s="360"/>
      <c r="T24" s="359"/>
      <c r="U24" s="170"/>
      <c r="V24" s="360"/>
      <c r="W24" s="359"/>
      <c r="X24" s="170"/>
      <c r="Y24" s="360"/>
      <c r="Z24" s="35"/>
      <c r="AA24" s="35"/>
      <c r="AB24" s="3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row>
    <row r="25" ht="15.6" customHeight="1">
      <c r="A25" s="92"/>
      <c r="B25" s="344">
        <v>25</v>
      </c>
      <c r="C25" s="345" t="s">
        <v>47</v>
      </c>
      <c r="D25" s="370">
        <v>92.79245283018867924528301887</v>
      </c>
      <c r="E25" s="172">
        <v>93.49617449664429530201342281</v>
      </c>
      <c r="F25" s="371">
        <v>131.56842737094837935174069628</v>
      </c>
      <c r="G25" s="370"/>
      <c r="H25" s="172"/>
      <c r="I25" s="371"/>
      <c r="J25" s="370"/>
      <c r="K25" s="172"/>
      <c r="L25" s="371"/>
      <c r="M25" s="370"/>
      <c r="N25" s="172"/>
      <c r="O25" s="371"/>
      <c r="P25" s="4"/>
      <c r="Q25" s="327"/>
      <c r="R25" s="171"/>
      <c r="S25" s="328"/>
      <c r="T25" s="327"/>
      <c r="U25" s="171"/>
      <c r="V25" s="328"/>
      <c r="W25" s="327"/>
      <c r="X25" s="171"/>
      <c r="Y25" s="328"/>
      <c r="Z25" s="36"/>
      <c r="AA25" s="36"/>
      <c r="AB25" s="32"/>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row>
    <row r="26" ht="15.6" customHeight="1">
      <c r="A26" s="92"/>
      <c r="B26" s="346">
        <v>26</v>
      </c>
      <c r="C26" s="347" t="s">
        <v>48</v>
      </c>
      <c r="D26" s="378">
        <v>97.750000000</v>
      </c>
      <c r="E26" s="173">
        <v>97.64501408450704225352112676</v>
      </c>
      <c r="F26" s="379">
        <v>141.57827298050139275766016713</v>
      </c>
      <c r="G26" s="378"/>
      <c r="H26" s="173"/>
      <c r="I26" s="379"/>
      <c r="J26" s="378"/>
      <c r="K26" s="173"/>
      <c r="L26" s="379"/>
      <c r="M26" s="378"/>
      <c r="N26" s="173"/>
      <c r="O26" s="379"/>
      <c r="P26" s="4"/>
      <c r="Q26" s="359"/>
      <c r="R26" s="170"/>
      <c r="S26" s="360"/>
      <c r="T26" s="359"/>
      <c r="U26" s="170"/>
      <c r="V26" s="360"/>
      <c r="W26" s="359"/>
      <c r="X26" s="170"/>
      <c r="Y26" s="360"/>
      <c r="Z26" s="35"/>
      <c r="AA26" s="35"/>
      <c r="AB26" s="3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row>
    <row r="27" ht="15.6" customHeight="1">
      <c r="A27" s="92"/>
      <c r="B27" s="344">
        <v>27</v>
      </c>
      <c r="C27" s="345" t="s">
        <v>50</v>
      </c>
      <c r="D27" s="370">
        <v>93.78947368421052631578947368</v>
      </c>
      <c r="E27" s="172">
        <v>91.72658461538461538461538462</v>
      </c>
      <c r="F27" s="371">
        <v>135.18780193236714975845410628</v>
      </c>
      <c r="G27" s="370"/>
      <c r="H27" s="172"/>
      <c r="I27" s="371"/>
      <c r="J27" s="370"/>
      <c r="K27" s="172"/>
      <c r="L27" s="371"/>
      <c r="M27" s="370"/>
      <c r="N27" s="172"/>
      <c r="O27" s="371"/>
      <c r="P27" s="4"/>
      <c r="Q27" s="327"/>
      <c r="R27" s="171"/>
      <c r="S27" s="328"/>
      <c r="T27" s="327"/>
      <c r="U27" s="171"/>
      <c r="V27" s="328"/>
      <c r="W27" s="327"/>
      <c r="X27" s="171"/>
      <c r="Y27" s="328"/>
      <c r="Z27" s="36"/>
      <c r="AA27" s="36"/>
      <c r="AB27" s="32"/>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row>
    <row r="28" ht="15.6" customHeight="1">
      <c r="A28" s="92"/>
      <c r="B28" s="346">
        <v>28</v>
      </c>
      <c r="C28" s="347" t="s">
        <v>51</v>
      </c>
      <c r="D28" s="378">
        <v>86.90322580645161290322580645</v>
      </c>
      <c r="E28" s="173">
        <v>100.10512269938650306748466257</v>
      </c>
      <c r="F28" s="379">
        <v>123.68705035971223021582733813</v>
      </c>
      <c r="G28" s="378"/>
      <c r="H28" s="173"/>
      <c r="I28" s="379"/>
      <c r="J28" s="378"/>
      <c r="K28" s="173"/>
      <c r="L28" s="379"/>
      <c r="M28" s="378"/>
      <c r="N28" s="173"/>
      <c r="O28" s="379"/>
      <c r="P28" s="4"/>
      <c r="Q28" s="359"/>
      <c r="R28" s="170"/>
      <c r="S28" s="360"/>
      <c r="T28" s="359"/>
      <c r="U28" s="170"/>
      <c r="V28" s="360"/>
      <c r="W28" s="359"/>
      <c r="X28" s="170"/>
      <c r="Y28" s="360"/>
      <c r="Z28" s="35"/>
      <c r="AA28" s="35"/>
      <c r="AB28" s="3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row>
    <row r="29" ht="15.6" customHeight="1">
      <c r="A29" s="92"/>
      <c r="B29" s="344">
        <v>29</v>
      </c>
      <c r="C29" s="345" t="s">
        <v>52</v>
      </c>
      <c r="D29" s="370">
        <v>128.92079207920792079207920792</v>
      </c>
      <c r="E29" s="172">
        <v>93.09063037249283667621776505</v>
      </c>
      <c r="F29" s="371">
        <v>128.64503311258278145695364238</v>
      </c>
      <c r="G29" s="370"/>
      <c r="H29" s="172"/>
      <c r="I29" s="371"/>
      <c r="J29" s="370"/>
      <c r="K29" s="172"/>
      <c r="L29" s="371"/>
      <c r="M29" s="370"/>
      <c r="N29" s="172"/>
      <c r="O29" s="371"/>
      <c r="P29" s="4"/>
      <c r="Q29" s="327"/>
      <c r="R29" s="171"/>
      <c r="S29" s="328"/>
      <c r="T29" s="327"/>
      <c r="U29" s="171"/>
      <c r="V29" s="328"/>
      <c r="W29" s="327"/>
      <c r="X29" s="171"/>
      <c r="Y29" s="328"/>
      <c r="Z29" s="36"/>
      <c r="AA29" s="36"/>
      <c r="AB29" s="32"/>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row>
    <row r="30" ht="15.6" customHeight="1">
      <c r="A30" s="92"/>
      <c r="B30" s="346">
        <v>30</v>
      </c>
      <c r="C30" s="347" t="s">
        <v>53</v>
      </c>
      <c r="D30" s="378">
        <v>144.492187500</v>
      </c>
      <c r="E30" s="173">
        <v>99.39427461139896373056994818</v>
      </c>
      <c r="F30" s="379">
        <v>136.13</v>
      </c>
      <c r="G30" s="378"/>
      <c r="H30" s="173"/>
      <c r="I30" s="379"/>
      <c r="J30" s="378"/>
      <c r="K30" s="173"/>
      <c r="L30" s="379"/>
      <c r="M30" s="378"/>
      <c r="N30" s="173"/>
      <c r="O30" s="379"/>
      <c r="P30" s="4"/>
      <c r="Q30" s="359"/>
      <c r="R30" s="170"/>
      <c r="S30" s="360"/>
      <c r="T30" s="359"/>
      <c r="U30" s="170"/>
      <c r="V30" s="360"/>
      <c r="W30" s="359"/>
      <c r="X30" s="170"/>
      <c r="Y30" s="360"/>
      <c r="Z30" s="35"/>
      <c r="AA30" s="35"/>
      <c r="AB30" s="3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row>
    <row r="31" ht="15.6" customHeight="1">
      <c r="A31" s="92"/>
      <c r="B31" s="344">
        <v>31</v>
      </c>
      <c r="C31" s="345" t="s">
        <v>49</v>
      </c>
      <c r="D31" s="370">
        <v>116.07258064516129032258064516</v>
      </c>
      <c r="E31" s="172">
        <v>90.47417682926829268292682926</v>
      </c>
      <c r="F31" s="371">
        <v>117.68907563025210084033613445</v>
      </c>
      <c r="G31" s="370"/>
      <c r="H31" s="172"/>
      <c r="I31" s="371"/>
      <c r="J31" s="370"/>
      <c r="K31" s="172"/>
      <c r="L31" s="371"/>
      <c r="M31" s="370"/>
      <c r="N31" s="172"/>
      <c r="O31" s="371"/>
      <c r="P31" s="4"/>
      <c r="Q31" s="327"/>
      <c r="R31" s="171"/>
      <c r="S31" s="328"/>
      <c r="T31" s="327"/>
      <c r="U31" s="171"/>
      <c r="V31" s="328"/>
      <c r="W31" s="327"/>
      <c r="X31" s="171"/>
      <c r="Y31" s="328"/>
      <c r="Z31" s="36"/>
      <c r="AA31" s="36"/>
      <c r="AB31" s="32"/>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row>
    <row r="32" ht="15.6" customHeight="1">
      <c r="A32" s="92" t="s">
        <v>148</v>
      </c>
      <c r="B32" s="666">
        <v>1</v>
      </c>
      <c r="C32" s="677" t="s">
        <v>47</v>
      </c>
      <c r="D32" s="678">
        <v>91.16666666666666666666666667</v>
      </c>
      <c r="E32" s="679">
        <v>88.56004878048780487804878048</v>
      </c>
      <c r="F32" s="680">
        <v>115.0452876376988984088127295</v>
      </c>
      <c r="G32" s="678"/>
      <c r="H32" s="679"/>
      <c r="I32" s="680"/>
      <c r="J32" s="678"/>
      <c r="K32" s="679"/>
      <c r="L32" s="680"/>
      <c r="M32" s="678"/>
      <c r="N32" s="679"/>
      <c r="O32" s="680"/>
      <c r="P32" s="4"/>
      <c r="Q32" s="668"/>
      <c r="R32" s="669"/>
      <c r="S32" s="670"/>
      <c r="T32" s="668"/>
      <c r="U32" s="669"/>
      <c r="V32" s="670"/>
      <c r="W32" s="668"/>
      <c r="X32" s="669"/>
      <c r="Y32" s="670"/>
      <c r="Z32" s="684"/>
      <c r="AA32" s="684"/>
      <c r="AB32" s="685"/>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row>
    <row r="33" ht="15.6" customHeight="1">
      <c r="A33" s="92"/>
      <c r="B33" s="344">
        <v>2</v>
      </c>
      <c r="C33" s="345" t="s">
        <v>48</v>
      </c>
      <c r="D33" s="370">
        <v>96.06818181818181818181818182</v>
      </c>
      <c r="E33" s="172">
        <v>83.26159292035398230088495576</v>
      </c>
      <c r="F33" s="371">
        <v>127.43113772455089820359281437</v>
      </c>
      <c r="G33" s="370"/>
      <c r="H33" s="172"/>
      <c r="I33" s="371"/>
      <c r="J33" s="370"/>
      <c r="K33" s="172"/>
      <c r="L33" s="371"/>
      <c r="M33" s="370"/>
      <c r="N33" s="172"/>
      <c r="O33" s="371"/>
      <c r="P33" s="4"/>
      <c r="Q33" s="327"/>
      <c r="R33" s="171"/>
      <c r="S33" s="328"/>
      <c r="T33" s="327"/>
      <c r="U33" s="171"/>
      <c r="V33" s="328"/>
      <c r="W33" s="327"/>
      <c r="X33" s="171"/>
      <c r="Y33" s="328"/>
      <c r="Z33" s="36"/>
      <c r="AA33" s="36"/>
      <c r="AB33" s="32"/>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row>
    <row r="34" ht="15.6" customHeight="1">
      <c r="A34" s="92"/>
      <c r="B34" s="346">
        <v>3</v>
      </c>
      <c r="C34" s="347" t="s">
        <v>50</v>
      </c>
      <c r="D34" s="378">
        <v>92.79591836734693877551020408</v>
      </c>
      <c r="E34" s="173">
        <v>78.407437722419928825622775801</v>
      </c>
      <c r="F34" s="379">
        <v>129.43300330033003300330033003</v>
      </c>
      <c r="G34" s="378"/>
      <c r="H34" s="173"/>
      <c r="I34" s="379"/>
      <c r="J34" s="378"/>
      <c r="K34" s="173"/>
      <c r="L34" s="379"/>
      <c r="M34" s="378"/>
      <c r="N34" s="173"/>
      <c r="O34" s="379"/>
      <c r="P34" s="4"/>
      <c r="Q34" s="359"/>
      <c r="R34" s="170"/>
      <c r="S34" s="360"/>
      <c r="T34" s="359"/>
      <c r="U34" s="170"/>
      <c r="V34" s="360"/>
      <c r="W34" s="359"/>
      <c r="X34" s="170"/>
      <c r="Y34" s="360"/>
      <c r="Z34" s="35"/>
      <c r="AA34" s="35"/>
      <c r="AB34" s="3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row>
    <row r="35" ht="15.6" customHeight="1">
      <c r="A35" s="92"/>
      <c r="B35" s="344">
        <v>4</v>
      </c>
      <c r="C35" s="345" t="s">
        <v>51</v>
      </c>
      <c r="D35" s="370">
        <v>79.91666666666666666666666667</v>
      </c>
      <c r="E35" s="172">
        <v>91.2834967320261437908496732</v>
      </c>
      <c r="F35" s="371">
        <v>122.77180739706908583391486392</v>
      </c>
      <c r="G35" s="370"/>
      <c r="H35" s="172"/>
      <c r="I35" s="371"/>
      <c r="J35" s="370"/>
      <c r="K35" s="172"/>
      <c r="L35" s="371"/>
      <c r="M35" s="370"/>
      <c r="N35" s="172"/>
      <c r="O35" s="371"/>
      <c r="P35" s="4"/>
      <c r="Q35" s="327"/>
      <c r="R35" s="171"/>
      <c r="S35" s="328"/>
      <c r="T35" s="327"/>
      <c r="U35" s="171"/>
      <c r="V35" s="328"/>
      <c r="W35" s="327"/>
      <c r="X35" s="171"/>
      <c r="Y35" s="328"/>
      <c r="Z35" s="36"/>
      <c r="AA35" s="36"/>
      <c r="AB35" s="32"/>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row>
    <row r="36" ht="15.6" customHeight="1">
      <c r="A36" s="92"/>
      <c r="B36" s="346">
        <v>5</v>
      </c>
      <c r="C36" s="347" t="s">
        <v>52</v>
      </c>
      <c r="D36" s="378">
        <v>96.27586206896551724137931034</v>
      </c>
      <c r="E36" s="173">
        <v>93.98247524752475247524752475</v>
      </c>
      <c r="F36" s="379">
        <v>119.72054597701149425287356322</v>
      </c>
      <c r="G36" s="378"/>
      <c r="H36" s="173"/>
      <c r="I36" s="379"/>
      <c r="J36" s="378"/>
      <c r="K36" s="173"/>
      <c r="L36" s="379"/>
      <c r="M36" s="378"/>
      <c r="N36" s="173"/>
      <c r="O36" s="379"/>
      <c r="P36" s="4"/>
      <c r="Q36" s="359"/>
      <c r="R36" s="170"/>
      <c r="S36" s="360"/>
      <c r="T36" s="359"/>
      <c r="U36" s="170"/>
      <c r="V36" s="360"/>
      <c r="W36" s="359"/>
      <c r="X36" s="170"/>
      <c r="Y36" s="360"/>
      <c r="Z36" s="35"/>
      <c r="AA36" s="35"/>
      <c r="AB36" s="3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row>
    <row r="37" ht="15.6" customHeight="1">
      <c r="A37" s="92"/>
      <c r="B37" s="348">
        <v>6</v>
      </c>
      <c r="C37" s="349" t="s">
        <v>53</v>
      </c>
      <c r="D37" s="380">
        <v>109.100000000</v>
      </c>
      <c r="E37" s="383">
        <v>93.93939682539682539682539683</v>
      </c>
      <c r="F37" s="381">
        <v>119.1364620938628158844765343</v>
      </c>
      <c r="G37" s="380"/>
      <c r="H37" s="383"/>
      <c r="I37" s="381"/>
      <c r="J37" s="380"/>
      <c r="K37" s="383"/>
      <c r="L37" s="381"/>
      <c r="M37" s="380"/>
      <c r="N37" s="383"/>
      <c r="O37" s="381"/>
      <c r="P37" s="4"/>
      <c r="Q37" s="329"/>
      <c r="R37" s="330"/>
      <c r="S37" s="332"/>
      <c r="T37" s="329"/>
      <c r="U37" s="330"/>
      <c r="V37" s="332"/>
      <c r="W37" s="329"/>
      <c r="X37" s="330"/>
      <c r="Y37" s="332"/>
      <c r="Z37" s="37"/>
      <c r="AA37" s="37"/>
      <c r="AB37" s="33"/>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row>
    <row r="39" ht="15.6" customHeight="1">
      <c r="A39" s="54"/>
      <c r="B39" s="53"/>
      <c r="C39" s="53" t="s">
        <v>14</v>
      </c>
      <c r="D39" s="374">
        <v>104.8760330578512396694214876</v>
      </c>
      <c r="E39" s="382">
        <v>87.68120996441281138790035587</v>
      </c>
      <c r="F39" s="375">
        <v>117.91842105263157894736842105</v>
      </c>
      <c r="G39" s="374"/>
      <c r="H39" s="382"/>
      <c r="I39" s="375"/>
      <c r="J39" s="374"/>
      <c r="K39" s="382"/>
      <c r="L39" s="375"/>
      <c r="M39" s="374"/>
      <c r="N39" s="382"/>
      <c r="O39" s="375"/>
      <c r="P39" s="4"/>
      <c r="Q39" s="354"/>
      <c r="R39" s="355"/>
      <c r="S39" s="356"/>
      <c r="T39" s="354"/>
      <c r="U39" s="355"/>
      <c r="V39" s="356"/>
      <c r="W39" s="354"/>
      <c r="X39" s="355"/>
      <c r="Y39" s="356"/>
      <c r="Z39" s="38"/>
      <c r="AA39" s="38"/>
      <c r="AB39" s="34"/>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row>
    <row r="40" ht="15.6" customHeight="1">
      <c r="A40" s="54"/>
      <c r="C40" s="53" t="s">
        <v>15</v>
      </c>
      <c r="D40" s="370">
        <v>93.63414634146341463414634146</v>
      </c>
      <c r="E40" s="172">
        <v>90.41450212765957446808510638</v>
      </c>
      <c r="F40" s="371">
        <v>129.98699763593380614657210402</v>
      </c>
      <c r="G40" s="370"/>
      <c r="H40" s="172"/>
      <c r="I40" s="371"/>
      <c r="J40" s="370"/>
      <c r="K40" s="172"/>
      <c r="L40" s="371"/>
      <c r="M40" s="370"/>
      <c r="N40" s="172"/>
      <c r="O40" s="371"/>
      <c r="P40" s="4"/>
      <c r="Q40" s="327"/>
      <c r="R40" s="171"/>
      <c r="S40" s="328"/>
      <c r="T40" s="327"/>
      <c r="U40" s="171"/>
      <c r="V40" s="328"/>
      <c r="W40" s="327"/>
      <c r="X40" s="171"/>
      <c r="Y40" s="328"/>
      <c r="Z40" s="36"/>
      <c r="AA40" s="36"/>
      <c r="AB40" s="32"/>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row>
    <row r="41" ht="15.6" customHeight="1">
      <c r="A41" s="54"/>
      <c r="B41" s="22"/>
      <c r="C41" s="53" t="s">
        <v>16</v>
      </c>
      <c r="D41" s="378">
        <v>97.49576271186440677966101695</v>
      </c>
      <c r="E41" s="173">
        <v>94.75959276018099547511312217</v>
      </c>
      <c r="F41" s="379">
        <v>140.11444220236379360046122802</v>
      </c>
      <c r="G41" s="378"/>
      <c r="H41" s="173"/>
      <c r="I41" s="379"/>
      <c r="J41" s="378"/>
      <c r="K41" s="173"/>
      <c r="L41" s="379"/>
      <c r="M41" s="378"/>
      <c r="N41" s="173"/>
      <c r="O41" s="379"/>
      <c r="P41" s="4"/>
      <c r="Q41" s="359"/>
      <c r="R41" s="170"/>
      <c r="S41" s="360"/>
      <c r="T41" s="359"/>
      <c r="U41" s="170"/>
      <c r="V41" s="360"/>
      <c r="W41" s="359"/>
      <c r="X41" s="170"/>
      <c r="Y41" s="360"/>
      <c r="Z41" s="35"/>
      <c r="AA41" s="35"/>
      <c r="AB41" s="3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row>
    <row r="42" ht="15.6" customHeight="1">
      <c r="A42" s="54"/>
      <c r="B42" s="22"/>
      <c r="C42" s="53" t="s">
        <v>17</v>
      </c>
      <c r="D42" s="370">
        <v>93.74476987447698744769874477</v>
      </c>
      <c r="E42" s="172">
        <v>91.63328159645232815964523282</v>
      </c>
      <c r="F42" s="371">
        <v>137.10947306962487228141877098</v>
      </c>
      <c r="G42" s="370"/>
      <c r="H42" s="172"/>
      <c r="I42" s="371"/>
      <c r="J42" s="370"/>
      <c r="K42" s="172"/>
      <c r="L42" s="371"/>
      <c r="M42" s="370"/>
      <c r="N42" s="172"/>
      <c r="O42" s="371"/>
      <c r="P42" s="4"/>
      <c r="Q42" s="327"/>
      <c r="R42" s="171"/>
      <c r="S42" s="328"/>
      <c r="T42" s="327"/>
      <c r="U42" s="171"/>
      <c r="V42" s="328"/>
      <c r="W42" s="327"/>
      <c r="X42" s="171"/>
      <c r="Y42" s="328"/>
      <c r="Z42" s="36"/>
      <c r="AA42" s="36"/>
      <c r="AB42" s="32"/>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row>
    <row r="43" ht="15.6" customHeight="1">
      <c r="A43" s="54"/>
      <c r="B43" s="22"/>
      <c r="C43" s="53" t="s">
        <v>18</v>
      </c>
      <c r="D43" s="378">
        <v>87.12288135593220338983050847</v>
      </c>
      <c r="E43" s="173">
        <v>92.39793291731669266770670826</v>
      </c>
      <c r="F43" s="379">
        <v>124.43176733780760626398210291</v>
      </c>
      <c r="G43" s="378"/>
      <c r="H43" s="173"/>
      <c r="I43" s="379"/>
      <c r="J43" s="378"/>
      <c r="K43" s="173"/>
      <c r="L43" s="379"/>
      <c r="M43" s="378"/>
      <c r="N43" s="173"/>
      <c r="O43" s="379"/>
      <c r="P43" s="4"/>
      <c r="Q43" s="359"/>
      <c r="R43" s="170"/>
      <c r="S43" s="360"/>
      <c r="T43" s="359"/>
      <c r="U43" s="170"/>
      <c r="V43" s="360"/>
      <c r="W43" s="359"/>
      <c r="X43" s="170"/>
      <c r="Y43" s="360"/>
      <c r="Z43" s="35"/>
      <c r="AA43" s="35"/>
      <c r="AB43" s="31"/>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row>
    <row r="44" ht="15.6" customHeight="1">
      <c r="A44" s="54"/>
      <c r="B44" s="22"/>
      <c r="C44" s="53" t="s">
        <v>19</v>
      </c>
      <c r="D44" s="370">
        <v>106.52923076923076923076923077</v>
      </c>
      <c r="E44" s="172">
        <v>92.88517682468021068472535741</v>
      </c>
      <c r="F44" s="371">
        <v>123.77853842204347081978435735</v>
      </c>
      <c r="G44" s="370"/>
      <c r="H44" s="172"/>
      <c r="I44" s="371"/>
      <c r="J44" s="370"/>
      <c r="K44" s="172"/>
      <c r="L44" s="371"/>
      <c r="M44" s="370"/>
      <c r="N44" s="172"/>
      <c r="O44" s="371"/>
      <c r="P44" s="4"/>
      <c r="Q44" s="327"/>
      <c r="R44" s="171"/>
      <c r="S44" s="328"/>
      <c r="T44" s="327"/>
      <c r="U44" s="171"/>
      <c r="V44" s="328"/>
      <c r="W44" s="327"/>
      <c r="X44" s="171"/>
      <c r="Y44" s="328"/>
      <c r="Z44" s="36"/>
      <c r="AA44" s="36"/>
      <c r="AB44" s="32"/>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row>
    <row r="45" ht="15.6" customHeight="1">
      <c r="A45" s="54"/>
      <c r="B45" s="22"/>
      <c r="C45" s="53" t="s">
        <v>20</v>
      </c>
      <c r="D45" s="384">
        <v>116.15508021390374331550802139</v>
      </c>
      <c r="E45" s="385">
        <v>93.86816593886462882096069869</v>
      </c>
      <c r="F45" s="386">
        <v>122.69269810085134250163719712</v>
      </c>
      <c r="G45" s="384"/>
      <c r="H45" s="385"/>
      <c r="I45" s="386"/>
      <c r="J45" s="384"/>
      <c r="K45" s="385"/>
      <c r="L45" s="386"/>
      <c r="M45" s="384"/>
      <c r="N45" s="385"/>
      <c r="O45" s="386"/>
      <c r="P45" s="4"/>
      <c r="Q45" s="364"/>
      <c r="R45" s="365"/>
      <c r="S45" s="366"/>
      <c r="T45" s="364"/>
      <c r="U45" s="365"/>
      <c r="V45" s="366"/>
      <c r="W45" s="364"/>
      <c r="X45" s="365"/>
      <c r="Y45" s="366"/>
      <c r="Z45" s="56"/>
      <c r="AA45" s="56"/>
      <c r="AB45" s="55"/>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row>
    <row r="47" ht="15.6" customHeight="1">
      <c r="A47" s="22"/>
      <c r="B47" s="22"/>
      <c r="C47" s="53" t="s">
        <v>72</v>
      </c>
      <c r="D47" s="374">
        <v>102.18227848101265822784810127</v>
      </c>
      <c r="E47" s="382">
        <v>88.94108961303462321792260692</v>
      </c>
      <c r="F47" s="375">
        <v>122.06941758005587792821835375</v>
      </c>
      <c r="G47" s="374"/>
      <c r="H47" s="382"/>
      <c r="I47" s="375"/>
      <c r="J47" s="374"/>
      <c r="K47" s="382"/>
      <c r="L47" s="375"/>
      <c r="M47" s="374"/>
      <c r="N47" s="382"/>
      <c r="O47" s="375"/>
      <c r="P47" s="4"/>
      <c r="Q47" s="354"/>
      <c r="R47" s="355"/>
      <c r="S47" s="356"/>
      <c r="T47" s="354"/>
      <c r="U47" s="355"/>
      <c r="V47" s="356"/>
      <c r="W47" s="354"/>
      <c r="X47" s="355"/>
      <c r="Y47" s="356"/>
      <c r="Z47" s="38"/>
      <c r="AA47" s="38"/>
      <c r="AB47" s="3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row>
    <row r="48" ht="15.6" customHeight="1">
      <c r="A48" s="22"/>
      <c r="B48" s="22"/>
      <c r="C48" s="53" t="s">
        <v>61</v>
      </c>
      <c r="D48" s="370">
        <v>101.56919763058696822832525579</v>
      </c>
      <c r="E48" s="172">
        <v>92.07800736360593551266317081</v>
      </c>
      <c r="F48" s="371">
        <v>128.72159479404899441209063259</v>
      </c>
      <c r="G48" s="370"/>
      <c r="H48" s="172"/>
      <c r="I48" s="371"/>
      <c r="J48" s="370"/>
      <c r="K48" s="172"/>
      <c r="L48" s="371"/>
      <c r="M48" s="370"/>
      <c r="N48" s="172"/>
      <c r="O48" s="371"/>
      <c r="P48" s="4"/>
      <c r="Q48" s="327"/>
      <c r="R48" s="171"/>
      <c r="S48" s="328"/>
      <c r="T48" s="327"/>
      <c r="U48" s="171"/>
      <c r="V48" s="328"/>
      <c r="W48" s="327"/>
      <c r="X48" s="171"/>
      <c r="Y48" s="328"/>
      <c r="Z48" s="36"/>
      <c r="AA48" s="36"/>
      <c r="AB48" s="32"/>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row>
    <row r="49" ht="15.6" customHeight="1">
      <c r="A49" s="54"/>
      <c r="B49" s="22"/>
      <c r="C49" s="53" t="s">
        <v>31</v>
      </c>
      <c r="D49" s="384">
        <v>101.51545936395759717314487633</v>
      </c>
      <c r="E49" s="385">
        <v>94.05055893456375838926174497</v>
      </c>
      <c r="F49" s="386">
        <v>128.28724458204334365325077399</v>
      </c>
      <c r="G49" s="384"/>
      <c r="H49" s="385"/>
      <c r="I49" s="386"/>
      <c r="J49" s="384"/>
      <c r="K49" s="385"/>
      <c r="L49" s="386"/>
      <c r="M49" s="384"/>
      <c r="N49" s="385"/>
      <c r="O49" s="386"/>
      <c r="P49" s="4"/>
      <c r="Q49" s="364"/>
      <c r="R49" s="365"/>
      <c r="S49" s="366"/>
      <c r="T49" s="364"/>
      <c r="U49" s="365"/>
      <c r="V49" s="366"/>
      <c r="W49" s="364"/>
      <c r="X49" s="365"/>
      <c r="Y49" s="366"/>
      <c r="Z49" s="56"/>
      <c r="AA49" s="56"/>
      <c r="AB49" s="55"/>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row>
    <row r="50">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row>
    <row r="51" ht="15">
      <c r="D51" s="6" t="s">
        <v>95</v>
      </c>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row>
    <row r="52" ht="9.95" customHeight="1">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row>
    <row r="53" s="100" customFormat="1" ht="24.95" customHeight="1">
      <c r="D53" s="655" t="s">
        <v>114</v>
      </c>
      <c r="E53" s="655"/>
      <c r="F53" s="655"/>
      <c r="G53" s="655"/>
      <c r="H53" s="655"/>
      <c r="I53" s="655"/>
      <c r="J53" s="655"/>
      <c r="K53" s="655"/>
      <c r="L53" s="655"/>
      <c r="M53" s="655"/>
      <c r="N53" s="655"/>
      <c r="O53" s="655"/>
      <c r="P53" s="655"/>
      <c r="Q53" s="655"/>
      <c r="R53" s="655"/>
      <c r="S53" s="655"/>
      <c r="T53" s="655"/>
      <c r="U53" s="655"/>
      <c r="V53" s="655"/>
      <c r="W53" s="655"/>
      <c r="X53" s="655"/>
      <c r="Y53" s="655"/>
      <c r="Z53" s="426"/>
      <c r="AD53" s="427"/>
      <c r="AE53" s="427"/>
      <c r="AF53" s="427"/>
      <c r="AG53" s="427"/>
      <c r="AH53" s="427"/>
      <c r="AI53" s="427"/>
      <c r="AJ53" s="427"/>
      <c r="AK53" s="427"/>
      <c r="AL53" s="427"/>
      <c r="AM53" s="427"/>
      <c r="AN53" s="427"/>
      <c r="AO53" s="427"/>
      <c r="AP53" s="427"/>
      <c r="AQ53" s="427"/>
      <c r="AR53" s="427"/>
      <c r="AS53" s="427"/>
      <c r="AT53" s="427"/>
      <c r="AU53" s="427"/>
      <c r="AV53" s="427"/>
      <c r="AW53" s="427"/>
      <c r="AX53" s="427"/>
      <c r="AY53" s="427"/>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row>
  </sheetData>
  <mergeCells count="12">
    <mergeCell ref="Z8:AB8"/>
    <mergeCell ref="D53:Y53"/>
    <mergeCell ref="Q4:X4"/>
    <mergeCell ref="D7:O7"/>
    <mergeCell ref="Q7:AB7"/>
    <mergeCell ref="D8:F8"/>
    <mergeCell ref="G8:I8"/>
    <mergeCell ref="J8:L8"/>
    <mergeCell ref="M8:O8"/>
    <mergeCell ref="Q8:S8"/>
    <mergeCell ref="T8:V8"/>
    <mergeCell ref="W8:Y8"/>
  </mergeCells>
  <phoneticPr fontId="0" type="noConversion"/>
  <printOptions horizontalCentered="1" verticalCentered="1"/>
  <pageMargins left="0.25" right="0.25" top="0.25" bottom="0.25" header="0.25" footer="0.28"/>
  <pageSetup scale="65" orientation="landscape" r:id="rId1"/>
  <headerFooter alignWithMargins="0">
    <oddHeader/>
    <oddFooter/>
  </headerFooter>
  <drawing r:id="rId46"/>
</worksheet>
</file>

<file path=xl/worksheets/sheet4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CF148"/>
  <sheetViews>
    <sheetView showGridLines="0" zoomScale="80" workbookViewId="0"/>
  </sheetViews>
  <sheetFormatPr defaultRowHeight="12.75"/>
  <cols>
    <col min="1" max="1" width="1" customWidth="1"/>
    <col min="2" max="2" width="1.28515625" style="21" customWidth="1"/>
    <col min="3" max="3" width="8.28515625" customWidth="1"/>
    <col min="4" max="4" width="51.5703125" customWidth="1"/>
    <col min="5" max="5" width="23.7109375" customWidth="1"/>
    <col min="6" max="6" width="11.7109375" customWidth="1"/>
    <col min="7" max="7" width="14.7109375" customWidth="1"/>
    <col min="8" max="8" width="7.7109375" customWidth="1"/>
    <col min="9" max="38" width="2.7109375" customWidth="1"/>
    <col min="39" max="69" width="2.42578125" customWidth="1"/>
  </cols>
  <sheetData>
    <row r="1" ht="23.25" customHeight="1">
      <c r="B1" s="5" t="s">
        <v>134</v>
      </c>
      <c r="D1" s="5"/>
      <c r="E1" s="5"/>
      <c r="F1" s="5"/>
      <c r="G1" s="5"/>
      <c r="AS1" s="244"/>
      <c r="AT1" s="244"/>
      <c r="AU1" s="244"/>
      <c r="AV1" s="244"/>
      <c r="AW1" s="244"/>
      <c r="AX1" s="244"/>
      <c r="AY1" s="244"/>
      <c r="AZ1" s="244"/>
      <c r="BA1" s="244"/>
      <c r="BB1" s="244"/>
      <c r="BC1" s="244"/>
      <c r="BD1" s="244"/>
      <c r="BE1" s="244"/>
      <c r="BF1" s="244"/>
      <c r="BG1" s="244"/>
      <c r="BH1" s="244"/>
      <c r="BI1" s="244"/>
      <c r="BJ1" s="244"/>
      <c r="BK1" s="244"/>
      <c r="BL1" s="244"/>
      <c r="BM1" s="244"/>
      <c r="BN1" s="244"/>
      <c r="BO1" s="244"/>
      <c r="BP1" s="244"/>
      <c r="BQ1" s="244"/>
      <c r="BR1" s="244"/>
      <c r="BS1" s="244"/>
      <c r="BT1" s="244"/>
      <c r="BU1" s="244"/>
      <c r="BV1" s="244"/>
      <c r="BW1" s="244"/>
      <c r="BX1" s="244"/>
      <c r="BY1" s="244"/>
      <c r="BZ1" s="244"/>
      <c r="CA1" s="244"/>
      <c r="CB1" s="244"/>
      <c r="CC1" s="244"/>
      <c r="CD1" s="244"/>
      <c r="CE1" s="244"/>
      <c r="CF1" s="244"/>
    </row>
    <row r="2" ht="15" customHeight="1">
      <c r="C2" s="99" t="s">
        <v>141</v>
      </c>
      <c r="D2" s="100"/>
      <c r="E2" s="100"/>
      <c r="F2" s="100"/>
      <c r="G2" s="100"/>
      <c r="AS2" s="244"/>
      <c r="AT2" s="244"/>
      <c r="AU2" s="244"/>
      <c r="AV2" s="244"/>
      <c r="AW2" s="244"/>
      <c r="AX2" s="244"/>
      <c r="AY2" s="244"/>
      <c r="AZ2" s="244"/>
      <c r="BA2" s="244"/>
      <c r="BB2" s="244"/>
      <c r="BC2" s="244"/>
      <c r="BD2" s="244"/>
      <c r="BE2" s="244"/>
      <c r="BF2" s="244"/>
      <c r="BG2" s="244"/>
      <c r="BH2" s="244"/>
      <c r="BI2" s="244"/>
      <c r="BJ2" s="244"/>
      <c r="BK2" s="244"/>
      <c r="BL2" s="244"/>
      <c r="BM2" s="244"/>
      <c r="BN2" s="244"/>
      <c r="BO2" s="244"/>
      <c r="BP2" s="244"/>
      <c r="BQ2" s="244"/>
      <c r="BR2" s="244"/>
      <c r="BS2" s="244"/>
      <c r="BT2" s="244"/>
      <c r="BU2" s="244"/>
      <c r="BV2" s="244"/>
      <c r="BW2" s="244"/>
      <c r="BX2" s="244"/>
      <c r="BY2" s="244"/>
      <c r="BZ2" s="244"/>
      <c r="CA2" s="244"/>
      <c r="CB2" s="244"/>
      <c r="CC2" s="244"/>
      <c r="CD2" s="244"/>
      <c r="CE2" s="244"/>
      <c r="CF2" s="244"/>
    </row>
    <row r="3" ht="15" customHeight="1">
      <c r="C3" s="99" t="s">
        <v>142</v>
      </c>
      <c r="D3" s="100"/>
      <c r="E3" s="100"/>
      <c r="F3" s="100"/>
      <c r="G3" s="100"/>
      <c r="AS3" s="244"/>
      <c r="AT3" s="244"/>
      <c r="AU3" s="244"/>
      <c r="AV3" s="244"/>
      <c r="AW3" s="244"/>
      <c r="AX3" s="244"/>
      <c r="AY3" s="244"/>
      <c r="AZ3" s="244"/>
      <c r="BA3" s="244"/>
      <c r="BB3" s="244"/>
      <c r="BC3" s="244"/>
      <c r="BD3" s="244"/>
      <c r="BE3" s="244"/>
      <c r="BF3" s="244"/>
      <c r="BG3" s="244"/>
      <c r="BH3" s="244"/>
      <c r="BI3" s="244"/>
      <c r="BJ3" s="244"/>
      <c r="BK3" s="244"/>
      <c r="BL3" s="244"/>
      <c r="BM3" s="244"/>
      <c r="BN3" s="244"/>
      <c r="BO3" s="244"/>
      <c r="BP3" s="244"/>
      <c r="BQ3" s="244"/>
      <c r="BR3" s="244"/>
      <c r="BS3" s="244"/>
      <c r="BT3" s="244"/>
      <c r="BU3" s="244"/>
      <c r="BV3" s="244"/>
      <c r="BW3" s="244"/>
      <c r="BX3" s="244"/>
      <c r="BY3" s="244"/>
      <c r="BZ3" s="244"/>
      <c r="CA3" s="244"/>
      <c r="CB3" s="244"/>
      <c r="CC3" s="244"/>
      <c r="CD3" s="244"/>
      <c r="CE3" s="244"/>
      <c r="CF3" s="244"/>
    </row>
    <row r="4" ht="15" customHeight="1">
      <c r="C4" s="0" t="s">
        <v>157</v>
      </c>
      <c r="D4" s="100"/>
      <c r="E4" s="100"/>
      <c r="F4" s="100"/>
      <c r="G4" s="100"/>
      <c r="AS4" s="244"/>
      <c r="AT4" s="244"/>
      <c r="AU4" s="244"/>
      <c r="AV4" s="244"/>
      <c r="AW4" s="244"/>
      <c r="AX4" s="244"/>
      <c r="AY4" s="244"/>
      <c r="AZ4" s="244"/>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row>
    <row r="5" ht="21" customHeight="1">
      <c r="B5" s="101" t="s">
        <v>7</v>
      </c>
      <c r="D5" s="102"/>
      <c r="H5" s="686" t="s">
        <v>188</v>
      </c>
      <c r="I5" s="686"/>
      <c r="J5" s="686"/>
      <c r="K5" s="686"/>
      <c r="L5" s="686"/>
      <c r="M5" s="686"/>
      <c r="N5" s="686"/>
      <c r="O5" s="686"/>
      <c r="P5" s="686"/>
      <c r="Q5" s="686"/>
      <c r="R5" s="686"/>
      <c r="S5" s="686"/>
      <c r="T5" s="686"/>
      <c r="U5" s="686"/>
      <c r="V5" s="686"/>
      <c r="AB5" s="686" t="s">
        <v>191</v>
      </c>
      <c r="AC5" s="686"/>
      <c r="AD5" s="686"/>
      <c r="AE5" s="686"/>
      <c r="AF5" s="686"/>
      <c r="AG5" s="686"/>
      <c r="AH5" s="686"/>
      <c r="AI5" s="686"/>
      <c r="AJ5" s="686"/>
      <c r="AK5" s="686"/>
      <c r="AL5" s="686"/>
      <c r="AM5" s="686"/>
      <c r="AN5" s="686"/>
      <c r="AO5" s="686"/>
      <c r="AP5" s="686"/>
      <c r="AS5" s="244"/>
      <c r="AT5" s="244"/>
      <c r="AU5" s="244"/>
      <c r="AV5" s="244"/>
      <c r="AW5" s="244"/>
      <c r="AX5" s="244"/>
      <c r="AY5" s="244"/>
      <c r="AZ5" s="244"/>
      <c r="BA5" s="244"/>
      <c r="BB5" s="244"/>
      <c r="BC5" s="244"/>
      <c r="BD5" s="244"/>
      <c r="BE5" s="244"/>
      <c r="BF5" s="244"/>
      <c r="BG5" s="244"/>
      <c r="BH5" s="244"/>
      <c r="BI5" s="244"/>
      <c r="BJ5" s="244"/>
      <c r="BK5" s="244"/>
      <c r="BL5" s="244"/>
      <c r="BM5" s="244"/>
      <c r="BN5" s="244"/>
      <c r="BO5" s="244"/>
      <c r="BP5" s="244"/>
      <c r="BQ5" s="244"/>
      <c r="BR5" s="244"/>
      <c r="BS5" s="244"/>
      <c r="BT5" s="244"/>
      <c r="BU5" s="244"/>
      <c r="BV5" s="244"/>
      <c r="BW5" s="244"/>
      <c r="BX5" s="244"/>
      <c r="BY5" s="244"/>
      <c r="BZ5" s="244"/>
      <c r="CA5" s="244"/>
      <c r="CB5" s="244"/>
      <c r="CC5" s="244"/>
      <c r="CD5" s="244"/>
      <c r="CE5" s="244"/>
      <c r="CF5" s="244"/>
    </row>
    <row r="6" ht="12.75" customHeight="1">
      <c r="C6" s="30" t="s">
        <v>192</v>
      </c>
      <c r="D6" s="104" t="s">
        <v>193</v>
      </c>
      <c r="I6" s="687" t="s">
        <v>0</v>
      </c>
      <c r="J6" s="687"/>
      <c r="K6" s="687" t="s">
        <v>1</v>
      </c>
      <c r="L6" s="687"/>
      <c r="M6" s="687" t="s">
        <v>2</v>
      </c>
      <c r="N6" s="687"/>
      <c r="O6" s="687" t="s">
        <v>3</v>
      </c>
      <c r="P6" s="687"/>
      <c r="Q6" s="687" t="s">
        <v>4</v>
      </c>
      <c r="R6" s="687"/>
      <c r="S6" s="687" t="s">
        <v>5</v>
      </c>
      <c r="T6" s="687"/>
      <c r="U6" s="687" t="s">
        <v>6</v>
      </c>
      <c r="V6" s="687"/>
      <c r="AC6" s="687" t="s">
        <v>0</v>
      </c>
      <c r="AD6" s="687"/>
      <c r="AE6" s="687" t="s">
        <v>1</v>
      </c>
      <c r="AF6" s="687"/>
      <c r="AG6" s="687" t="s">
        <v>2</v>
      </c>
      <c r="AH6" s="687"/>
      <c r="AI6" s="687" t="s">
        <v>3</v>
      </c>
      <c r="AJ6" s="687"/>
      <c r="AK6" s="687" t="s">
        <v>4</v>
      </c>
      <c r="AL6" s="687"/>
      <c r="AM6" s="687" t="s">
        <v>5</v>
      </c>
      <c r="AN6" s="687"/>
      <c r="AO6" s="687" t="s">
        <v>6</v>
      </c>
      <c r="AP6" s="687"/>
      <c r="AS6" s="244"/>
      <c r="AT6" s="244"/>
      <c r="AU6" s="244"/>
      <c r="AV6" s="244"/>
      <c r="AW6" s="244"/>
      <c r="AX6" s="244"/>
      <c r="AY6" s="244"/>
      <c r="AZ6" s="244"/>
      <c r="BA6" s="244"/>
      <c r="BB6" s="244"/>
      <c r="BC6" s="244"/>
      <c r="BD6" s="244"/>
      <c r="BE6" s="244"/>
      <c r="BF6" s="244"/>
      <c r="BG6" s="244"/>
      <c r="BH6" s="244"/>
      <c r="BI6" s="244"/>
      <c r="BJ6" s="244"/>
      <c r="BK6" s="244"/>
      <c r="BL6" s="244"/>
      <c r="BM6" s="244"/>
      <c r="BN6" s="244"/>
      <c r="BO6" s="244"/>
      <c r="BP6" s="244"/>
      <c r="BQ6" s="244"/>
      <c r="BR6" s="244"/>
      <c r="BS6" s="244"/>
      <c r="BT6" s="244"/>
      <c r="BU6" s="244"/>
      <c r="BV6" s="244"/>
      <c r="BW6" s="244"/>
      <c r="BX6" s="244"/>
      <c r="BY6" s="244"/>
      <c r="BZ6" s="244"/>
      <c r="CA6" s="244"/>
      <c r="CB6" s="244"/>
      <c r="CC6" s="244"/>
      <c r="CD6" s="244"/>
      <c r="CE6" s="244"/>
      <c r="CF6" s="244"/>
    </row>
    <row r="7" ht="12.75" customHeight="1">
      <c r="C7" s="105"/>
      <c r="D7" s="104"/>
      <c r="E7" s="104"/>
      <c r="F7" s="104"/>
      <c r="G7" s="104"/>
      <c r="H7" s="97" t="s">
        <v>189</v>
      </c>
      <c r="I7" s="688">
        <v>27</v>
      </c>
      <c r="J7" s="688"/>
      <c r="K7" s="689">
        <v>28</v>
      </c>
      <c r="L7" s="689"/>
      <c r="M7" s="689">
        <v>29</v>
      </c>
      <c r="N7" s="689"/>
      <c r="O7" s="689">
        <v>30</v>
      </c>
      <c r="P7" s="689"/>
      <c r="Q7" s="689">
        <v>31</v>
      </c>
      <c r="R7" s="689"/>
      <c r="S7" s="689">
        <v>1</v>
      </c>
      <c r="T7" s="689"/>
      <c r="U7" s="690">
        <v>2</v>
      </c>
      <c r="V7" s="690"/>
      <c r="Y7" s="3"/>
      <c r="AB7" s="97" t="s">
        <v>189</v>
      </c>
      <c r="AC7" s="688">
        <v>28</v>
      </c>
      <c r="AD7" s="688"/>
      <c r="AE7" s="689">
        <v>29</v>
      </c>
      <c r="AF7" s="689"/>
      <c r="AG7" s="689">
        <v>30</v>
      </c>
      <c r="AH7" s="689"/>
      <c r="AI7" s="689">
        <v>31</v>
      </c>
      <c r="AJ7" s="689"/>
      <c r="AK7" s="689">
        <v>1</v>
      </c>
      <c r="AL7" s="689"/>
      <c r="AM7" s="689">
        <v>2</v>
      </c>
      <c r="AN7" s="689"/>
      <c r="AO7" s="690">
        <v>3</v>
      </c>
      <c r="AP7" s="690"/>
      <c r="AS7" s="244"/>
      <c r="AT7" s="244"/>
      <c r="AU7" s="244"/>
      <c r="AV7" s="244"/>
      <c r="AW7" s="244"/>
      <c r="AX7" s="244"/>
      <c r="AY7" s="244"/>
      <c r="AZ7" s="244"/>
      <c r="BA7" s="244"/>
      <c r="BB7" s="244"/>
      <c r="BC7" s="244"/>
      <c r="BD7" s="244"/>
      <c r="BE7" s="244"/>
      <c r="BF7" s="244"/>
      <c r="BG7" s="244"/>
      <c r="BH7" s="244"/>
      <c r="BI7" s="244"/>
      <c r="BJ7" s="244"/>
      <c r="BK7" s="244"/>
      <c r="BL7" s="244"/>
      <c r="BM7" s="244"/>
      <c r="BN7" s="244"/>
      <c r="BO7" s="244"/>
      <c r="BP7" s="244"/>
      <c r="BQ7" s="244"/>
      <c r="BR7" s="244"/>
      <c r="BS7" s="244"/>
      <c r="BT7" s="244"/>
      <c r="BU7" s="244"/>
      <c r="BV7" s="244"/>
      <c r="BW7" s="244"/>
      <c r="BX7" s="244"/>
      <c r="BY7" s="244"/>
      <c r="BZ7" s="244"/>
      <c r="CA7" s="244"/>
      <c r="CB7" s="244"/>
      <c r="CC7" s="244"/>
      <c r="CD7" s="244"/>
      <c r="CE7" s="244"/>
      <c r="CF7" s="244"/>
    </row>
    <row r="8" ht="12.75" customHeight="1">
      <c r="H8" s="97" t="s">
        <v>145</v>
      </c>
      <c r="I8" s="691">
        <v>3</v>
      </c>
      <c r="J8" s="691"/>
      <c r="K8" s="692">
        <v>4</v>
      </c>
      <c r="L8" s="692"/>
      <c r="M8" s="692">
        <v>5</v>
      </c>
      <c r="N8" s="692"/>
      <c r="O8" s="692">
        <v>6</v>
      </c>
      <c r="P8" s="692"/>
      <c r="Q8" s="692">
        <v>7</v>
      </c>
      <c r="R8" s="692"/>
      <c r="S8" s="692">
        <v>8</v>
      </c>
      <c r="T8" s="692"/>
      <c r="U8" s="693">
        <v>9</v>
      </c>
      <c r="V8" s="693"/>
      <c r="Y8" s="3"/>
      <c r="AB8" s="97" t="s">
        <v>145</v>
      </c>
      <c r="AC8" s="691">
        <v>4</v>
      </c>
      <c r="AD8" s="691"/>
      <c r="AE8" s="692">
        <v>5</v>
      </c>
      <c r="AF8" s="692"/>
      <c r="AG8" s="692">
        <v>6</v>
      </c>
      <c r="AH8" s="692"/>
      <c r="AI8" s="692">
        <v>7</v>
      </c>
      <c r="AJ8" s="692"/>
      <c r="AK8" s="692">
        <v>8</v>
      </c>
      <c r="AL8" s="692"/>
      <c r="AM8" s="692">
        <v>9</v>
      </c>
      <c r="AN8" s="692"/>
      <c r="AO8" s="693">
        <v>10</v>
      </c>
      <c r="AP8" s="693"/>
      <c r="AS8" s="244"/>
      <c r="AT8" s="244"/>
      <c r="AU8" s="244"/>
      <c r="AV8" s="244"/>
      <c r="AW8" s="244"/>
      <c r="AX8" s="244"/>
      <c r="AY8" s="244"/>
      <c r="AZ8" s="244"/>
      <c r="BA8" s="244"/>
      <c r="BB8" s="244"/>
      <c r="BC8" s="244"/>
      <c r="BD8" s="244"/>
      <c r="BE8" s="244"/>
      <c r="BF8" s="244"/>
      <c r="BG8" s="244"/>
      <c r="BH8" s="244"/>
      <c r="BI8" s="244"/>
      <c r="BJ8" s="244"/>
      <c r="BK8" s="244"/>
      <c r="BL8" s="244"/>
      <c r="BM8" s="244"/>
      <c r="BN8" s="244"/>
      <c r="BO8" s="244"/>
      <c r="BP8" s="244"/>
      <c r="BQ8" s="244"/>
      <c r="BR8" s="244"/>
      <c r="BS8" s="244"/>
      <c r="BT8" s="244"/>
      <c r="BU8" s="244"/>
      <c r="BV8" s="244"/>
      <c r="BW8" s="244"/>
      <c r="BX8" s="244"/>
      <c r="BY8" s="244"/>
      <c r="BZ8" s="244"/>
      <c r="CA8" s="244"/>
      <c r="CB8" s="244"/>
      <c r="CC8" s="244"/>
      <c r="CD8" s="244"/>
      <c r="CE8" s="244"/>
      <c r="CF8" s="244"/>
    </row>
    <row r="9" ht="12.75" customHeight="1">
      <c r="H9" s="97" t="s">
        <v>145</v>
      </c>
      <c r="I9" s="694">
        <v>10</v>
      </c>
      <c r="J9" s="694"/>
      <c r="K9" s="695">
        <v>11</v>
      </c>
      <c r="L9" s="695"/>
      <c r="M9" s="695">
        <v>12</v>
      </c>
      <c r="N9" s="695"/>
      <c r="O9" s="695">
        <v>13</v>
      </c>
      <c r="P9" s="695"/>
      <c r="Q9" s="695">
        <v>14</v>
      </c>
      <c r="R9" s="695"/>
      <c r="S9" s="695">
        <v>15</v>
      </c>
      <c r="T9" s="695"/>
      <c r="U9" s="696">
        <v>16</v>
      </c>
      <c r="V9" s="696"/>
      <c r="Y9" s="3"/>
      <c r="AB9" s="97" t="s">
        <v>145</v>
      </c>
      <c r="AC9" s="694">
        <v>11</v>
      </c>
      <c r="AD9" s="694"/>
      <c r="AE9" s="695">
        <v>12</v>
      </c>
      <c r="AF9" s="695"/>
      <c r="AG9" s="695">
        <v>13</v>
      </c>
      <c r="AH9" s="695"/>
      <c r="AI9" s="695">
        <v>14</v>
      </c>
      <c r="AJ9" s="695"/>
      <c r="AK9" s="695">
        <v>15</v>
      </c>
      <c r="AL9" s="695"/>
      <c r="AM9" s="695">
        <v>16</v>
      </c>
      <c r="AN9" s="695"/>
      <c r="AO9" s="696">
        <v>17</v>
      </c>
      <c r="AP9" s="696"/>
      <c r="AS9" s="244"/>
      <c r="AT9" s="244"/>
      <c r="AU9" s="244"/>
      <c r="AV9" s="244"/>
      <c r="AW9" s="244"/>
      <c r="AX9" s="244"/>
      <c r="AY9" s="244"/>
      <c r="AZ9" s="244"/>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c r="CF9" s="244"/>
    </row>
    <row r="10" ht="12.75" customHeight="1">
      <c r="H10" s="97" t="s">
        <v>145</v>
      </c>
      <c r="I10" s="691">
        <v>17</v>
      </c>
      <c r="J10" s="691"/>
      <c r="K10" s="692">
        <v>18</v>
      </c>
      <c r="L10" s="692"/>
      <c r="M10" s="692">
        <v>19</v>
      </c>
      <c r="N10" s="692"/>
      <c r="O10" s="692">
        <v>20</v>
      </c>
      <c r="P10" s="692"/>
      <c r="Q10" s="692">
        <v>21</v>
      </c>
      <c r="R10" s="692"/>
      <c r="S10" s="692">
        <v>22</v>
      </c>
      <c r="T10" s="692"/>
      <c r="U10" s="693">
        <v>23</v>
      </c>
      <c r="V10" s="693"/>
      <c r="Y10" s="3"/>
      <c r="AB10" s="97" t="s">
        <v>145</v>
      </c>
      <c r="AC10" s="691">
        <v>18</v>
      </c>
      <c r="AD10" s="691"/>
      <c r="AE10" s="692">
        <v>19</v>
      </c>
      <c r="AF10" s="692"/>
      <c r="AG10" s="692">
        <v>20</v>
      </c>
      <c r="AH10" s="692"/>
      <c r="AI10" s="692">
        <v>21</v>
      </c>
      <c r="AJ10" s="692"/>
      <c r="AK10" s="692">
        <v>22</v>
      </c>
      <c r="AL10" s="692"/>
      <c r="AM10" s="692">
        <v>23</v>
      </c>
      <c r="AN10" s="692"/>
      <c r="AO10" s="693">
        <v>24</v>
      </c>
      <c r="AP10" s="693"/>
      <c r="AS10" s="244"/>
      <c r="AT10" s="244"/>
      <c r="AU10" s="244"/>
      <c r="AV10" s="244"/>
      <c r="AW10" s="244"/>
      <c r="AX10" s="244"/>
      <c r="AY10" s="244"/>
      <c r="AZ10" s="244"/>
      <c r="BA10" s="244"/>
      <c r="BB10" s="244"/>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244"/>
      <c r="BZ10" s="244"/>
      <c r="CA10" s="244"/>
      <c r="CB10" s="244"/>
      <c r="CC10" s="244"/>
      <c r="CD10" s="244"/>
      <c r="CE10" s="244"/>
      <c r="CF10" s="244"/>
    </row>
    <row r="11" ht="12.75" customHeight="1">
      <c r="A11" s="101"/>
      <c r="H11" s="97" t="s">
        <v>145</v>
      </c>
      <c r="I11" s="694">
        <v>24</v>
      </c>
      <c r="J11" s="694"/>
      <c r="K11" s="695">
        <v>25</v>
      </c>
      <c r="L11" s="695"/>
      <c r="M11" s="695">
        <v>26</v>
      </c>
      <c r="N11" s="695"/>
      <c r="O11" s="695">
        <v>27</v>
      </c>
      <c r="P11" s="695"/>
      <c r="Q11" s="695">
        <v>28</v>
      </c>
      <c r="R11" s="695"/>
      <c r="S11" s="695">
        <v>29</v>
      </c>
      <c r="T11" s="695"/>
      <c r="U11" s="696">
        <v>30</v>
      </c>
      <c r="V11" s="696"/>
      <c r="Y11" s="3"/>
      <c r="AB11" s="97" t="s">
        <v>145</v>
      </c>
      <c r="AC11" s="694">
        <v>25</v>
      </c>
      <c r="AD11" s="694"/>
      <c r="AE11" s="695">
        <v>26</v>
      </c>
      <c r="AF11" s="695"/>
      <c r="AG11" s="695">
        <v>27</v>
      </c>
      <c r="AH11" s="695"/>
      <c r="AI11" s="695">
        <v>28</v>
      </c>
      <c r="AJ11" s="695"/>
      <c r="AK11" s="695">
        <v>29</v>
      </c>
      <c r="AL11" s="695"/>
      <c r="AM11" s="695">
        <v>30</v>
      </c>
      <c r="AN11" s="695"/>
      <c r="AO11" s="696">
        <v>31</v>
      </c>
      <c r="AP11" s="696"/>
      <c r="AS11" s="244"/>
      <c r="AT11" s="244"/>
      <c r="AU11" s="244"/>
      <c r="AV11" s="244"/>
      <c r="AW11" s="244"/>
      <c r="AX11" s="244"/>
      <c r="AY11" s="244"/>
      <c r="AZ11" s="244"/>
      <c r="BA11" s="244"/>
      <c r="BB11" s="244"/>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244"/>
      <c r="BZ11" s="244"/>
      <c r="CA11" s="244"/>
      <c r="CB11" s="244"/>
      <c r="CC11" s="244"/>
      <c r="CD11" s="244"/>
      <c r="CE11" s="244"/>
      <c r="CF11" s="244"/>
    </row>
    <row r="12" ht="12.75" customHeight="1">
      <c r="C12" s="30"/>
      <c r="D12" s="106"/>
      <c r="E12" s="106"/>
      <c r="F12" s="106"/>
      <c r="G12" s="106"/>
      <c r="H12" s="97" t="s">
        <v>190</v>
      </c>
      <c r="I12" s="697">
        <v>31</v>
      </c>
      <c r="J12" s="697"/>
      <c r="K12" s="698">
        <v>1</v>
      </c>
      <c r="L12" s="698"/>
      <c r="M12" s="698">
        <v>2</v>
      </c>
      <c r="N12" s="698"/>
      <c r="O12" s="698">
        <v>3</v>
      </c>
      <c r="P12" s="698"/>
      <c r="Q12" s="698">
        <v>4</v>
      </c>
      <c r="R12" s="698"/>
      <c r="S12" s="698">
        <v>5</v>
      </c>
      <c r="T12" s="698"/>
      <c r="U12" s="699">
        <v>6</v>
      </c>
      <c r="V12" s="699"/>
      <c r="Y12" s="3"/>
      <c r="AB12" s="97" t="s">
        <v>148</v>
      </c>
      <c r="AC12" s="697">
        <v>1</v>
      </c>
      <c r="AD12" s="697"/>
      <c r="AE12" s="698">
        <v>2</v>
      </c>
      <c r="AF12" s="698"/>
      <c r="AG12" s="698">
        <v>3</v>
      </c>
      <c r="AH12" s="698"/>
      <c r="AI12" s="698">
        <v>4</v>
      </c>
      <c r="AJ12" s="698"/>
      <c r="AK12" s="698">
        <v>5</v>
      </c>
      <c r="AL12" s="698"/>
      <c r="AM12" s="698">
        <v>6</v>
      </c>
      <c r="AN12" s="698"/>
      <c r="AO12" s="699">
        <v>7</v>
      </c>
      <c r="AP12" s="699"/>
      <c r="AS12" s="244"/>
      <c r="AT12" s="244"/>
      <c r="AU12" s="244"/>
      <c r="AV12" s="244"/>
      <c r="AW12" s="244"/>
      <c r="AX12" s="244"/>
      <c r="AY12" s="244"/>
      <c r="AZ12" s="244"/>
      <c r="BA12" s="244"/>
      <c r="BB12" s="244"/>
      <c r="BC12" s="244"/>
      <c r="BD12" s="244"/>
      <c r="BE12" s="244"/>
      <c r="BF12" s="244"/>
      <c r="BG12" s="244"/>
      <c r="BH12" s="244"/>
      <c r="BI12" s="244"/>
      <c r="BJ12" s="244"/>
      <c r="BK12" s="244"/>
      <c r="BL12" s="244"/>
      <c r="BM12" s="244"/>
      <c r="BN12" s="244"/>
      <c r="BO12" s="244"/>
      <c r="BP12" s="244"/>
      <c r="BQ12" s="244"/>
      <c r="BR12" s="244"/>
      <c r="BS12" s="244"/>
      <c r="BT12" s="244"/>
      <c r="BU12" s="244"/>
      <c r="BV12" s="244"/>
      <c r="BW12" s="244"/>
      <c r="BX12" s="244"/>
      <c r="BY12" s="244"/>
      <c r="BZ12" s="244"/>
      <c r="CA12" s="244"/>
      <c r="CB12" s="244"/>
      <c r="CC12" s="244"/>
      <c r="CD12" s="244"/>
      <c r="CE12" s="244"/>
      <c r="CF12" s="244"/>
    </row>
    <row r="13" ht="12.75" customHeight="1">
      <c r="A13" s="101"/>
      <c r="B13" s="101" t="s">
        <v>8</v>
      </c>
      <c r="H13" s="97"/>
      <c r="AS13" s="244"/>
      <c r="AT13" s="244"/>
      <c r="AU13" s="244"/>
      <c r="AV13" s="244"/>
      <c r="AW13" s="244"/>
      <c r="AX13" s="244"/>
      <c r="AY13" s="244"/>
      <c r="AZ13" s="244"/>
      <c r="BA13" s="244"/>
      <c r="BB13" s="244"/>
      <c r="BC13" s="244"/>
      <c r="BD13" s="244"/>
      <c r="BE13" s="244"/>
      <c r="BF13" s="244"/>
      <c r="BG13" s="244"/>
      <c r="BH13" s="244"/>
      <c r="BI13" s="244"/>
      <c r="BJ13" s="244"/>
      <c r="BK13" s="244"/>
      <c r="BL13" s="244"/>
      <c r="BM13" s="244"/>
      <c r="BN13" s="244"/>
      <c r="BO13" s="244"/>
      <c r="BP13" s="244"/>
      <c r="BQ13" s="244"/>
      <c r="BR13" s="244"/>
      <c r="BS13" s="244"/>
      <c r="BT13" s="244"/>
      <c r="BU13" s="244"/>
      <c r="BV13" s="244"/>
      <c r="BW13" s="244"/>
      <c r="BX13" s="244"/>
      <c r="BY13" s="244"/>
      <c r="BZ13" s="244"/>
      <c r="CA13" s="244"/>
      <c r="CB13" s="244"/>
      <c r="CC13" s="244"/>
      <c r="CD13" s="244"/>
      <c r="CE13" s="244"/>
      <c r="CF13" s="244"/>
    </row>
    <row r="14" ht="12.75" customHeight="1">
      <c r="C14" s="30" t="s">
        <v>194</v>
      </c>
      <c r="D14" s="106" t="s">
        <v>193</v>
      </c>
      <c r="H14" s="97"/>
      <c r="O14" s="700"/>
      <c r="P14" s="700"/>
      <c r="Q14" s="700"/>
      <c r="R14" s="700"/>
      <c r="S14" s="700"/>
      <c r="T14" s="700"/>
      <c r="U14" s="700"/>
      <c r="W14" s="700"/>
      <c r="X14" s="700"/>
      <c r="Y14" s="700"/>
      <c r="Z14" s="700"/>
      <c r="AA14" s="700"/>
      <c r="AB14" s="700"/>
      <c r="AC14" s="700"/>
      <c r="AE14" s="700"/>
      <c r="AF14" s="700"/>
      <c r="AG14" s="700"/>
      <c r="AH14" s="700"/>
      <c r="AI14" s="700"/>
      <c r="AJ14" s="700"/>
      <c r="AK14" s="700"/>
      <c r="AS14" s="244"/>
      <c r="AT14" s="244"/>
      <c r="AU14" s="244"/>
      <c r="AV14" s="244"/>
      <c r="AW14" s="244"/>
      <c r="AX14" s="244"/>
      <c r="AY14" s="244"/>
      <c r="AZ14" s="244"/>
      <c r="BA14" s="244"/>
      <c r="BB14" s="244"/>
      <c r="BC14" s="244"/>
      <c r="BD14" s="244"/>
      <c r="BE14" s="244"/>
      <c r="BF14" s="244"/>
      <c r="BG14" s="244"/>
      <c r="BH14" s="244"/>
      <c r="BI14" s="244"/>
      <c r="BJ14" s="244"/>
      <c r="BK14" s="244"/>
      <c r="BL14" s="244"/>
      <c r="BM14" s="244"/>
      <c r="BN14" s="244"/>
      <c r="BO14" s="244"/>
      <c r="BP14" s="244"/>
      <c r="BQ14" s="244"/>
      <c r="BR14" s="244"/>
      <c r="BS14" s="244"/>
      <c r="BT14" s="244"/>
      <c r="BU14" s="244"/>
      <c r="BV14" s="244"/>
      <c r="BW14" s="244"/>
      <c r="BX14" s="244"/>
      <c r="BY14" s="244"/>
      <c r="BZ14" s="244"/>
      <c r="CA14" s="244"/>
      <c r="CB14" s="244"/>
      <c r="CC14" s="244"/>
      <c r="CD14" s="244"/>
      <c r="CE14" s="244"/>
      <c r="CF14" s="244"/>
    </row>
    <row r="15" ht="12.75" customHeight="1">
      <c r="C15" s="30" t="s">
        <v>195</v>
      </c>
      <c r="D15" s="104" t="s">
        <v>196</v>
      </c>
      <c r="H15" s="97"/>
      <c r="O15" s="21"/>
      <c r="P15" s="21"/>
      <c r="Q15" s="21"/>
      <c r="R15" s="21"/>
      <c r="S15" s="21"/>
      <c r="T15" s="21"/>
      <c r="U15" s="21"/>
      <c r="W15" s="21"/>
      <c r="X15" s="21"/>
      <c r="Y15" s="21"/>
      <c r="Z15" s="21"/>
      <c r="AA15" s="21"/>
      <c r="AB15" s="21"/>
      <c r="AC15" s="21"/>
      <c r="AE15" s="21"/>
      <c r="AF15" s="21"/>
      <c r="AG15" s="21"/>
      <c r="AH15" s="21"/>
      <c r="AI15" s="21"/>
      <c r="AJ15" s="21"/>
      <c r="AK15" s="21"/>
      <c r="AS15" s="244"/>
      <c r="AT15" s="244"/>
      <c r="AU15" s="244"/>
      <c r="AV15" s="244"/>
      <c r="AW15" s="244"/>
      <c r="AX15" s="244"/>
      <c r="AY15" s="244"/>
      <c r="AZ15" s="244"/>
      <c r="BA15" s="244"/>
      <c r="BB15" s="244"/>
      <c r="BC15" s="244"/>
      <c r="BD15" s="244"/>
      <c r="BE15" s="244"/>
      <c r="BF15" s="244"/>
      <c r="BG15" s="244"/>
      <c r="BH15" s="244"/>
      <c r="BI15" s="244"/>
      <c r="BJ15" s="244"/>
      <c r="BK15" s="244"/>
      <c r="BL15" s="244"/>
      <c r="BM15" s="244"/>
      <c r="BN15" s="244"/>
      <c r="BO15" s="244"/>
      <c r="BP15" s="244"/>
      <c r="BQ15" s="244"/>
      <c r="BR15" s="244"/>
      <c r="BS15" s="244"/>
      <c r="BT15" s="244"/>
      <c r="BU15" s="244"/>
      <c r="BV15" s="244"/>
      <c r="BW15" s="244"/>
      <c r="BX15" s="244"/>
      <c r="BY15" s="244"/>
      <c r="BZ15" s="244"/>
      <c r="CA15" s="244"/>
      <c r="CB15" s="244"/>
      <c r="CC15" s="244"/>
      <c r="CD15" s="244"/>
      <c r="CE15" s="244"/>
      <c r="CF15" s="244"/>
    </row>
    <row r="16" ht="12.75" customHeight="1">
      <c r="C16" s="105" t="s">
        <v>197</v>
      </c>
      <c r="D16" s="104" t="s">
        <v>198</v>
      </c>
      <c r="H16" s="97"/>
      <c r="O16" s="21"/>
      <c r="P16" s="21"/>
      <c r="Q16" s="21"/>
      <c r="R16" s="21"/>
      <c r="S16" s="21"/>
      <c r="T16" s="21"/>
      <c r="U16" s="21"/>
      <c r="W16" s="21"/>
      <c r="X16" s="21"/>
      <c r="Y16" s="21"/>
      <c r="Z16" s="21"/>
      <c r="AA16" s="21"/>
      <c r="AB16" s="21"/>
      <c r="AC16" s="21"/>
      <c r="AE16" s="21"/>
      <c r="AF16" s="21"/>
      <c r="AG16" s="21"/>
      <c r="AH16" s="21"/>
      <c r="AI16" s="21"/>
      <c r="AJ16" s="21"/>
      <c r="AK16" s="21"/>
      <c r="AS16" s="244"/>
      <c r="AT16" s="244"/>
      <c r="AU16" s="244"/>
      <c r="AV16" s="244"/>
      <c r="AW16" s="244"/>
      <c r="AX16" s="244"/>
      <c r="AY16" s="244"/>
      <c r="AZ16" s="244"/>
      <c r="BA16" s="244"/>
      <c r="BB16" s="244"/>
      <c r="BC16" s="244"/>
      <c r="BD16" s="244"/>
      <c r="BE16" s="244"/>
      <c r="BF16" s="244"/>
      <c r="BG16" s="244"/>
      <c r="BH16" s="244"/>
      <c r="BI16" s="244"/>
      <c r="BJ16" s="244"/>
      <c r="BK16" s="244"/>
      <c r="BL16" s="244"/>
      <c r="BM16" s="244"/>
      <c r="BN16" s="244"/>
      <c r="BO16" s="244"/>
      <c r="BP16" s="244"/>
      <c r="BQ16" s="244"/>
      <c r="BR16" s="244"/>
      <c r="BS16" s="244"/>
      <c r="BT16" s="244"/>
      <c r="BU16" s="244"/>
      <c r="BV16" s="244"/>
      <c r="BW16" s="244"/>
      <c r="BX16" s="244"/>
      <c r="BY16" s="244"/>
      <c r="BZ16" s="244"/>
      <c r="CA16" s="244"/>
      <c r="CB16" s="244"/>
      <c r="CC16" s="244"/>
      <c r="CD16" s="244"/>
      <c r="CE16" s="244"/>
      <c r="CF16" s="244"/>
    </row>
    <row r="17" ht="12.75" customHeight="1">
      <c r="C17" s="105" t="s">
        <v>199</v>
      </c>
      <c r="D17" s="104" t="s">
        <v>200</v>
      </c>
      <c r="H17" s="97"/>
      <c r="O17" s="21"/>
      <c r="P17" s="21"/>
      <c r="Q17" s="21"/>
      <c r="R17" s="21"/>
      <c r="S17" s="21"/>
      <c r="T17" s="21"/>
      <c r="U17" s="21"/>
      <c r="W17" s="21"/>
      <c r="X17" s="21"/>
      <c r="Y17" s="21"/>
      <c r="Z17" s="21"/>
      <c r="AA17" s="21"/>
      <c r="AB17" s="21"/>
      <c r="AC17" s="21"/>
      <c r="AE17" s="21"/>
      <c r="AF17" s="21"/>
      <c r="AG17" s="21"/>
      <c r="AH17" s="21"/>
      <c r="AI17" s="21"/>
      <c r="AJ17" s="21"/>
      <c r="AK17" s="21"/>
      <c r="AS17" s="244"/>
      <c r="AT17" s="244"/>
      <c r="AU17" s="244"/>
      <c r="AV17" s="244"/>
      <c r="AW17" s="244"/>
      <c r="AX17" s="244"/>
      <c r="AY17" s="244"/>
      <c r="AZ17" s="244"/>
      <c r="BA17" s="244"/>
      <c r="BB17" s="244"/>
      <c r="BC17" s="244"/>
      <c r="BD17" s="244"/>
      <c r="BE17" s="244"/>
      <c r="BF17" s="244"/>
      <c r="BG17" s="244"/>
      <c r="BH17" s="244"/>
      <c r="BI17" s="244"/>
      <c r="BJ17" s="244"/>
      <c r="BK17" s="244"/>
      <c r="BL17" s="244"/>
      <c r="BM17" s="244"/>
      <c r="BN17" s="244"/>
      <c r="BO17" s="244"/>
      <c r="BP17" s="244"/>
      <c r="BQ17" s="244"/>
      <c r="BR17" s="244"/>
      <c r="BS17" s="244"/>
      <c r="BT17" s="244"/>
      <c r="BU17" s="244"/>
      <c r="BV17" s="244"/>
      <c r="BW17" s="244"/>
      <c r="BX17" s="244"/>
      <c r="BY17" s="244"/>
      <c r="BZ17" s="244"/>
      <c r="CA17" s="244"/>
      <c r="CB17" s="244"/>
      <c r="CC17" s="244"/>
      <c r="CD17" s="244"/>
      <c r="CE17" s="244"/>
      <c r="CF17" s="244"/>
    </row>
    <row r="18" ht="12.75" customHeight="1">
      <c r="C18" s="105" t="s">
        <v>201</v>
      </c>
      <c r="D18" s="104" t="s">
        <v>202</v>
      </c>
      <c r="H18" s="97"/>
      <c r="O18" s="21"/>
      <c r="P18" s="21"/>
      <c r="Q18" s="21"/>
      <c r="R18" s="21"/>
      <c r="S18" s="21"/>
      <c r="T18" s="21"/>
      <c r="U18" s="21"/>
      <c r="W18" s="21"/>
      <c r="X18" s="21"/>
      <c r="Y18" s="21"/>
      <c r="Z18" s="21"/>
      <c r="AA18" s="21"/>
      <c r="AB18" s="21"/>
      <c r="AC18" s="21"/>
      <c r="AE18" s="21"/>
      <c r="AF18" s="21"/>
      <c r="AG18" s="21"/>
      <c r="AH18" s="21"/>
      <c r="AI18" s="21"/>
      <c r="AJ18" s="21"/>
      <c r="AK18" s="21"/>
      <c r="AS18" s="244"/>
      <c r="AT18" s="244"/>
      <c r="AU18" s="244"/>
      <c r="AV18" s="244"/>
      <c r="AW18" s="244"/>
      <c r="AX18" s="244"/>
      <c r="AY18" s="244"/>
      <c r="AZ18" s="244"/>
      <c r="BA18" s="244"/>
      <c r="BB18" s="244"/>
      <c r="BC18" s="244"/>
      <c r="BD18" s="244"/>
      <c r="BE18" s="244"/>
      <c r="BF18" s="244"/>
      <c r="BG18" s="244"/>
      <c r="BH18" s="244"/>
      <c r="BI18" s="244"/>
      <c r="BJ18" s="244"/>
      <c r="BK18" s="244"/>
      <c r="BL18" s="244"/>
      <c r="BM18" s="244"/>
      <c r="BN18" s="244"/>
      <c r="BO18" s="244"/>
      <c r="BP18" s="244"/>
      <c r="BQ18" s="244"/>
      <c r="BR18" s="244"/>
      <c r="BS18" s="244"/>
      <c r="BT18" s="244"/>
      <c r="BU18" s="244"/>
      <c r="BV18" s="244"/>
      <c r="BW18" s="244"/>
      <c r="BX18" s="244"/>
      <c r="BY18" s="244"/>
      <c r="BZ18" s="244"/>
      <c r="CA18" s="244"/>
      <c r="CB18" s="244"/>
      <c r="CC18" s="244"/>
      <c r="CD18" s="244"/>
      <c r="CE18" s="244"/>
      <c r="CF18" s="244"/>
    </row>
    <row r="19" ht="12.75" customHeight="1">
      <c r="C19" s="105" t="s">
        <v>203</v>
      </c>
      <c r="D19" s="104" t="s">
        <v>204</v>
      </c>
      <c r="H19" s="97"/>
      <c r="O19" s="21"/>
      <c r="P19" s="21"/>
      <c r="Q19" s="645" t="s">
        <v>90</v>
      </c>
      <c r="R19" s="645"/>
      <c r="S19" s="645"/>
      <c r="T19" s="645"/>
      <c r="U19" s="645"/>
      <c r="V19" s="645"/>
      <c r="W19" s="645"/>
      <c r="X19" s="21"/>
      <c r="Y19" s="21"/>
      <c r="Z19" s="645" t="s">
        <v>84</v>
      </c>
      <c r="AA19" s="645"/>
      <c r="AB19" s="645"/>
      <c r="AC19" s="645"/>
      <c r="AD19" s="645"/>
      <c r="AE19" s="645"/>
      <c r="AF19" s="645"/>
      <c r="AG19" s="21"/>
      <c r="AH19" s="21"/>
      <c r="AI19" s="645" t="s">
        <v>85</v>
      </c>
      <c r="AJ19" s="645"/>
      <c r="AK19" s="645"/>
      <c r="AL19" s="645"/>
      <c r="AM19" s="645"/>
      <c r="AN19" s="645"/>
      <c r="AO19" s="645"/>
      <c r="AS19" s="244"/>
      <c r="AT19" s="244"/>
      <c r="AU19" s="244"/>
      <c r="AV19" s="244"/>
      <c r="AW19" s="244"/>
      <c r="AX19" s="244"/>
      <c r="AY19" s="244"/>
      <c r="AZ19" s="244"/>
      <c r="BA19" s="244"/>
      <c r="BB19" s="244"/>
      <c r="BC19" s="244"/>
      <c r="BD19" s="244"/>
      <c r="BE19" s="244"/>
      <c r="BF19" s="244"/>
      <c r="BG19" s="244"/>
      <c r="BH19" s="244"/>
      <c r="BI19" s="244"/>
      <c r="BJ19" s="244"/>
      <c r="BK19" s="244"/>
      <c r="BL19" s="244"/>
      <c r="BM19" s="244"/>
      <c r="BN19" s="244"/>
      <c r="BO19" s="244"/>
      <c r="BP19" s="244"/>
      <c r="BQ19" s="244"/>
      <c r="BR19" s="244"/>
      <c r="BS19" s="244"/>
      <c r="BT19" s="244"/>
      <c r="BU19" s="244"/>
      <c r="BV19" s="244"/>
      <c r="BW19" s="244"/>
      <c r="BX19" s="244"/>
      <c r="BY19" s="244"/>
      <c r="BZ19" s="244"/>
      <c r="CA19" s="244"/>
      <c r="CB19" s="244"/>
      <c r="CC19" s="244"/>
      <c r="CD19" s="244"/>
      <c r="CE19" s="244"/>
      <c r="CF19" s="244"/>
    </row>
    <row r="20" ht="15" customHeight="1">
      <c r="Q20" s="645"/>
      <c r="R20" s="645"/>
      <c r="S20" s="645"/>
      <c r="T20" s="645"/>
      <c r="U20" s="645"/>
      <c r="V20" s="645"/>
      <c r="W20" s="645"/>
      <c r="X20" s="107"/>
      <c r="Y20" s="107"/>
      <c r="Z20" s="645"/>
      <c r="AA20" s="645"/>
      <c r="AB20" s="645"/>
      <c r="AC20" s="645"/>
      <c r="AD20" s="645"/>
      <c r="AE20" s="645"/>
      <c r="AF20" s="645"/>
      <c r="AG20" s="107"/>
      <c r="AH20" s="6"/>
      <c r="AI20" s="645"/>
      <c r="AJ20" s="645"/>
      <c r="AK20" s="645"/>
      <c r="AL20" s="645"/>
      <c r="AM20" s="645"/>
      <c r="AN20" s="645"/>
      <c r="AO20" s="645"/>
      <c r="AS20" s="244"/>
      <c r="AT20" s="244"/>
      <c r="AU20" s="244"/>
      <c r="AV20" s="701"/>
      <c r="AW20" s="701"/>
      <c r="AX20" s="701"/>
      <c r="AY20" s="701"/>
      <c r="AZ20" s="701"/>
      <c r="BA20" s="701"/>
      <c r="BB20" s="701"/>
      <c r="BC20" s="244"/>
      <c r="BD20" s="244"/>
      <c r="BE20" s="244"/>
      <c r="BF20" s="244"/>
      <c r="BG20" s="244"/>
      <c r="BH20" s="244"/>
      <c r="BI20" s="244"/>
      <c r="BJ20" s="244"/>
      <c r="BK20" s="244"/>
      <c r="BL20" s="244"/>
      <c r="BM20" s="244"/>
      <c r="BN20" s="244"/>
      <c r="BO20" s="244"/>
      <c r="BP20" s="244"/>
      <c r="BQ20" s="244"/>
      <c r="BR20" s="244"/>
      <c r="BS20" s="244"/>
      <c r="BT20" s="244"/>
      <c r="BU20" s="244"/>
      <c r="BV20" s="244"/>
      <c r="BW20" s="244"/>
      <c r="BX20" s="244"/>
      <c r="BY20" s="244"/>
      <c r="BZ20" s="244"/>
      <c r="CA20" s="244"/>
      <c r="CB20" s="244"/>
      <c r="CC20" s="244"/>
      <c r="CD20" s="244"/>
      <c r="CE20" s="244"/>
      <c r="CF20" s="244"/>
    </row>
    <row r="21" s="0" customFormat="1" ht="60" customHeight="1">
      <c r="B21" s="110"/>
      <c r="C21" s="101" t="s">
        <v>34</v>
      </c>
      <c r="D21" s="101" t="s">
        <v>35</v>
      </c>
      <c r="E21" s="111" t="s">
        <v>36</v>
      </c>
      <c r="F21" s="111" t="s">
        <v>74</v>
      </c>
      <c r="G21" s="111" t="s">
        <v>73</v>
      </c>
      <c r="H21" s="111" t="s">
        <v>70</v>
      </c>
      <c r="I21" s="111" t="s">
        <v>71</v>
      </c>
      <c r="Q21" s="119">
        <v>45900</v>
      </c>
      <c r="R21" s="119">
        <v>45901</v>
      </c>
      <c r="S21" s="119">
        <v>45902</v>
      </c>
      <c r="T21" s="119">
        <v>45903</v>
      </c>
      <c r="U21" s="119">
        <v>45904</v>
      </c>
      <c r="V21" s="119">
        <v>45905</v>
      </c>
      <c r="W21" s="119">
        <v>45906</v>
      </c>
      <c r="X21" s="120"/>
      <c r="Y21" s="120"/>
      <c r="Z21" s="119">
        <v>45900</v>
      </c>
      <c r="AA21" s="119">
        <v>45901</v>
      </c>
      <c r="AB21" s="119">
        <v>45902</v>
      </c>
      <c r="AC21" s="119">
        <v>45903</v>
      </c>
      <c r="AD21" s="119">
        <v>45904</v>
      </c>
      <c r="AE21" s="119">
        <v>45905</v>
      </c>
      <c r="AF21" s="119">
        <v>45906</v>
      </c>
      <c r="AG21" s="120"/>
      <c r="AH21" s="120"/>
      <c r="AI21" s="119">
        <v>45900</v>
      </c>
      <c r="AJ21" s="119">
        <v>45901</v>
      </c>
      <c r="AK21" s="119">
        <v>45902</v>
      </c>
      <c r="AL21" s="119">
        <v>45903</v>
      </c>
      <c r="AM21" s="119">
        <v>45904</v>
      </c>
      <c r="AN21" s="119">
        <v>45905</v>
      </c>
      <c r="AO21" s="119">
        <v>45906</v>
      </c>
      <c r="AP21" s="112"/>
      <c r="AQ21" s="112"/>
      <c r="AR21" s="112"/>
      <c r="AS21" s="270"/>
      <c r="AT21" s="270"/>
      <c r="AU21" s="244"/>
      <c r="AV21" s="244"/>
      <c r="AW21" s="244"/>
      <c r="AX21" s="244"/>
      <c r="AY21" s="244"/>
      <c r="AZ21" s="244"/>
      <c r="BA21" s="244"/>
      <c r="BB21" s="244"/>
      <c r="BC21" s="244"/>
      <c r="BD21" s="244"/>
      <c r="BE21" s="244"/>
      <c r="BF21" s="244"/>
      <c r="BG21" s="244"/>
      <c r="BH21" s="244"/>
      <c r="BI21" s="244"/>
      <c r="BJ21" s="244"/>
      <c r="BK21" s="244"/>
      <c r="BL21" s="244"/>
      <c r="BM21" s="244"/>
      <c r="BN21" s="244"/>
      <c r="BO21" s="244"/>
      <c r="BP21" s="244"/>
      <c r="BQ21" s="244"/>
      <c r="BR21" s="244"/>
      <c r="BS21" s="244"/>
      <c r="BT21" s="244"/>
      <c r="BU21" s="244"/>
      <c r="BV21" s="244"/>
      <c r="BW21" s="244"/>
      <c r="BX21" s="244"/>
      <c r="BY21" s="244"/>
      <c r="BZ21" s="244"/>
      <c r="CA21" s="244"/>
      <c r="CB21" s="244"/>
      <c r="CC21" s="244"/>
      <c r="CD21" s="244"/>
      <c r="CE21" s="244"/>
      <c r="CF21" s="244"/>
    </row>
    <row r="22" ht="18" customHeight="1">
      <c r="C22" s="702">
        <v>60180</v>
      </c>
      <c r="D22" s="702" t="s">
        <v>158</v>
      </c>
      <c r="E22" s="702" t="s">
        <v>159</v>
      </c>
      <c r="F22" s="702" t="s">
        <v>160</v>
      </c>
      <c r="G22" s="702" t="s">
        <v>161</v>
      </c>
      <c r="H22" s="703">
        <v>186</v>
      </c>
      <c r="I22" s="703" t="s">
        <v>162</v>
      </c>
      <c r="J22" s="703"/>
      <c r="K22" s="703"/>
      <c r="L22" s="703"/>
      <c r="M22" s="703"/>
      <c r="N22" s="703"/>
      <c r="O22" s="113"/>
      <c r="Q22" s="704" t="s">
        <v>163</v>
      </c>
      <c r="R22" s="705" t="s">
        <v>163</v>
      </c>
      <c r="S22" s="705" t="s">
        <v>163</v>
      </c>
      <c r="T22" s="705" t="s">
        <v>163</v>
      </c>
      <c r="U22" s="705" t="s">
        <v>163</v>
      </c>
      <c r="V22" s="705" t="s">
        <v>163</v>
      </c>
      <c r="W22" s="706" t="s">
        <v>163</v>
      </c>
      <c r="Z22" s="704" t="s">
        <v>163</v>
      </c>
      <c r="AA22" s="705" t="s">
        <v>163</v>
      </c>
      <c r="AB22" s="705" t="s">
        <v>163</v>
      </c>
      <c r="AC22" s="705" t="s">
        <v>163</v>
      </c>
      <c r="AD22" s="705" t="s">
        <v>163</v>
      </c>
      <c r="AE22" s="705" t="s">
        <v>163</v>
      </c>
      <c r="AF22" s="706" t="s">
        <v>163</v>
      </c>
      <c r="AI22" s="704" t="s">
        <v>164</v>
      </c>
      <c r="AJ22" s="705" t="s">
        <v>164</v>
      </c>
      <c r="AK22" s="705" t="s">
        <v>164</v>
      </c>
      <c r="AL22" s="705" t="s">
        <v>164</v>
      </c>
      <c r="AM22" s="705" t="s">
        <v>164</v>
      </c>
      <c r="AN22" s="705" t="s">
        <v>164</v>
      </c>
      <c r="AO22" s="706" t="s">
        <v>164</v>
      </c>
      <c r="AP22" s="213"/>
      <c r="AQ22" s="213"/>
      <c r="AR22" s="213"/>
      <c r="AS22" s="271"/>
      <c r="AT22" s="271"/>
      <c r="AU22" s="244"/>
      <c r="AV22" s="244"/>
      <c r="AW22" s="244"/>
      <c r="AX22" s="244"/>
      <c r="AY22" s="244"/>
      <c r="AZ22" s="244"/>
      <c r="BA22" s="244"/>
      <c r="BB22" s="244"/>
      <c r="BC22" s="244"/>
      <c r="BD22" s="244"/>
      <c r="BE22" s="244"/>
      <c r="BF22" s="244"/>
      <c r="BG22" s="244"/>
      <c r="BH22" s="244"/>
      <c r="BI22" s="244"/>
      <c r="BJ22" s="244"/>
      <c r="BK22" s="244"/>
      <c r="BL22" s="244"/>
      <c r="BM22" s="244"/>
      <c r="BN22" s="244"/>
      <c r="BO22" s="244"/>
      <c r="BP22" s="244"/>
      <c r="BQ22" s="244"/>
      <c r="BR22" s="244"/>
      <c r="BS22" s="244"/>
      <c r="BT22" s="244"/>
      <c r="BU22" s="244"/>
      <c r="BV22" s="244"/>
      <c r="BW22" s="244"/>
      <c r="BX22" s="244"/>
      <c r="BY22" s="244"/>
      <c r="BZ22" s="244"/>
      <c r="CA22" s="244"/>
      <c r="CB22" s="244"/>
      <c r="CC22" s="244"/>
      <c r="CD22" s="244"/>
      <c r="CE22" s="244"/>
      <c r="CF22" s="244"/>
    </row>
    <row r="23" ht="18" customHeight="1">
      <c r="C23" s="707">
        <v>27821</v>
      </c>
      <c r="D23" s="707" t="s">
        <v>165</v>
      </c>
      <c r="E23" s="707" t="s">
        <v>159</v>
      </c>
      <c r="F23" s="707" t="s">
        <v>166</v>
      </c>
      <c r="G23" s="707" t="s">
        <v>167</v>
      </c>
      <c r="H23" s="708">
        <v>108</v>
      </c>
      <c r="I23" s="708" t="s">
        <v>168</v>
      </c>
      <c r="J23" s="708"/>
      <c r="K23" s="708"/>
      <c r="L23" s="708"/>
      <c r="M23" s="708"/>
      <c r="N23" s="708"/>
      <c r="O23" s="113"/>
      <c r="Q23" s="709" t="s">
        <v>163</v>
      </c>
      <c r="R23" s="710" t="s">
        <v>163</v>
      </c>
      <c r="S23" s="710" t="s">
        <v>163</v>
      </c>
      <c r="T23" s="710" t="s">
        <v>163</v>
      </c>
      <c r="U23" s="710" t="s">
        <v>163</v>
      </c>
      <c r="V23" s="710" t="s">
        <v>163</v>
      </c>
      <c r="W23" s="711" t="s">
        <v>163</v>
      </c>
      <c r="Z23" s="709" t="s">
        <v>164</v>
      </c>
      <c r="AA23" s="710" t="s">
        <v>164</v>
      </c>
      <c r="AB23" s="710" t="s">
        <v>164</v>
      </c>
      <c r="AC23" s="710" t="s">
        <v>164</v>
      </c>
      <c r="AD23" s="710" t="s">
        <v>164</v>
      </c>
      <c r="AE23" s="710" t="s">
        <v>164</v>
      </c>
      <c r="AF23" s="711" t="s">
        <v>164</v>
      </c>
      <c r="AI23" s="709" t="s">
        <v>164</v>
      </c>
      <c r="AJ23" s="710" t="s">
        <v>164</v>
      </c>
      <c r="AK23" s="710" t="s">
        <v>164</v>
      </c>
      <c r="AL23" s="710" t="s">
        <v>164</v>
      </c>
      <c r="AM23" s="710" t="s">
        <v>164</v>
      </c>
      <c r="AN23" s="710" t="s">
        <v>164</v>
      </c>
      <c r="AO23" s="711" t="s">
        <v>164</v>
      </c>
      <c r="AP23" s="213"/>
      <c r="AQ23" s="213"/>
      <c r="AR23" s="213"/>
      <c r="AS23" s="271"/>
      <c r="AT23" s="271"/>
      <c r="AU23" s="244"/>
      <c r="AV23" s="244"/>
      <c r="AW23" s="244"/>
      <c r="AX23" s="244"/>
      <c r="AY23" s="244"/>
      <c r="AZ23" s="244"/>
      <c r="BA23" s="244"/>
      <c r="BB23" s="244"/>
      <c r="BC23" s="244"/>
      <c r="BD23" s="244"/>
      <c r="BE23" s="244"/>
      <c r="BF23" s="244"/>
      <c r="BG23" s="244"/>
      <c r="BH23" s="244"/>
      <c r="BI23" s="244"/>
      <c r="BJ23" s="244"/>
      <c r="BK23" s="244"/>
      <c r="BL23" s="244"/>
      <c r="BM23" s="244"/>
      <c r="BN23" s="244"/>
      <c r="BO23" s="244"/>
      <c r="BP23" s="244"/>
      <c r="BQ23" s="244"/>
      <c r="BR23" s="244"/>
      <c r="BS23" s="244"/>
      <c r="BT23" s="244"/>
      <c r="BU23" s="244"/>
      <c r="BV23" s="244"/>
      <c r="BW23" s="244"/>
      <c r="BX23" s="244"/>
      <c r="BY23" s="244"/>
      <c r="BZ23" s="244"/>
      <c r="CA23" s="244"/>
      <c r="CB23" s="244"/>
      <c r="CC23" s="244"/>
      <c r="CD23" s="244"/>
      <c r="CE23" s="244"/>
      <c r="CF23" s="244"/>
    </row>
    <row r="24" ht="18" customHeight="1">
      <c r="C24" s="702">
        <v>31502</v>
      </c>
      <c r="D24" s="702" t="s">
        <v>169</v>
      </c>
      <c r="E24" s="702" t="s">
        <v>159</v>
      </c>
      <c r="F24" s="702" t="s">
        <v>170</v>
      </c>
      <c r="G24" s="702" t="s">
        <v>171</v>
      </c>
      <c r="H24" s="703">
        <v>117</v>
      </c>
      <c r="I24" s="703" t="s">
        <v>172</v>
      </c>
      <c r="J24" s="703"/>
      <c r="K24" s="703"/>
      <c r="L24" s="703"/>
      <c r="M24" s="703"/>
      <c r="N24" s="703"/>
      <c r="O24" s="113"/>
      <c r="Q24" s="704" t="s">
        <v>163</v>
      </c>
      <c r="R24" s="705" t="s">
        <v>163</v>
      </c>
      <c r="S24" s="705" t="s">
        <v>163</v>
      </c>
      <c r="T24" s="705" t="s">
        <v>163</v>
      </c>
      <c r="U24" s="705" t="s">
        <v>163</v>
      </c>
      <c r="V24" s="705" t="s">
        <v>163</v>
      </c>
      <c r="W24" s="706" t="s">
        <v>163</v>
      </c>
      <c r="Z24" s="704" t="s">
        <v>164</v>
      </c>
      <c r="AA24" s="705" t="s">
        <v>164</v>
      </c>
      <c r="AB24" s="705" t="s">
        <v>164</v>
      </c>
      <c r="AC24" s="705" t="s">
        <v>164</v>
      </c>
      <c r="AD24" s="705" t="s">
        <v>164</v>
      </c>
      <c r="AE24" s="705" t="s">
        <v>164</v>
      </c>
      <c r="AF24" s="706" t="s">
        <v>164</v>
      </c>
      <c r="AI24" s="704" t="s">
        <v>164</v>
      </c>
      <c r="AJ24" s="705" t="s">
        <v>164</v>
      </c>
      <c r="AK24" s="705" t="s">
        <v>164</v>
      </c>
      <c r="AL24" s="705" t="s">
        <v>164</v>
      </c>
      <c r="AM24" s="705" t="s">
        <v>164</v>
      </c>
      <c r="AN24" s="705" t="s">
        <v>164</v>
      </c>
      <c r="AO24" s="706" t="s">
        <v>164</v>
      </c>
      <c r="AP24" s="213"/>
      <c r="AQ24" s="213"/>
      <c r="AR24" s="213"/>
      <c r="AS24" s="271"/>
      <c r="AT24" s="271"/>
      <c r="AU24" s="244"/>
      <c r="AV24" s="244"/>
      <c r="AW24" s="244"/>
      <c r="AX24" s="244"/>
      <c r="AY24" s="244"/>
      <c r="AZ24" s="244"/>
      <c r="BA24" s="244"/>
      <c r="BB24" s="244"/>
      <c r="BC24" s="244"/>
      <c r="BD24" s="244"/>
      <c r="BE24" s="244"/>
      <c r="BF24" s="244"/>
      <c r="BG24" s="244"/>
      <c r="BH24" s="244"/>
      <c r="BI24" s="244"/>
      <c r="BJ24" s="244"/>
      <c r="BK24" s="244"/>
      <c r="BL24" s="244"/>
      <c r="BM24" s="244"/>
      <c r="BN24" s="244"/>
      <c r="BO24" s="244"/>
      <c r="BP24" s="244"/>
      <c r="BQ24" s="244"/>
      <c r="BR24" s="244"/>
      <c r="BS24" s="244"/>
      <c r="BT24" s="244"/>
      <c r="BU24" s="244"/>
      <c r="BV24" s="244"/>
      <c r="BW24" s="244"/>
      <c r="BX24" s="244"/>
      <c r="BY24" s="244"/>
      <c r="BZ24" s="244"/>
      <c r="CA24" s="244"/>
      <c r="CB24" s="244"/>
      <c r="CC24" s="244"/>
      <c r="CD24" s="244"/>
      <c r="CE24" s="244"/>
      <c r="CF24" s="244"/>
    </row>
    <row r="25" ht="18" customHeight="1">
      <c r="C25" s="707">
        <v>33288</v>
      </c>
      <c r="D25" s="707" t="s">
        <v>173</v>
      </c>
      <c r="E25" s="707" t="s">
        <v>159</v>
      </c>
      <c r="F25" s="707" t="s">
        <v>166</v>
      </c>
      <c r="G25" s="707" t="s">
        <v>174</v>
      </c>
      <c r="H25" s="708">
        <v>111</v>
      </c>
      <c r="I25" s="708" t="s">
        <v>175</v>
      </c>
      <c r="J25" s="708"/>
      <c r="K25" s="708"/>
      <c r="L25" s="708"/>
      <c r="M25" s="708"/>
      <c r="N25" s="708"/>
      <c r="O25" s="113"/>
      <c r="Q25" s="709" t="s">
        <v>163</v>
      </c>
      <c r="R25" s="710" t="s">
        <v>163</v>
      </c>
      <c r="S25" s="710" t="s">
        <v>163</v>
      </c>
      <c r="T25" s="710" t="s">
        <v>163</v>
      </c>
      <c r="U25" s="710" t="s">
        <v>163</v>
      </c>
      <c r="V25" s="710" t="s">
        <v>163</v>
      </c>
      <c r="W25" s="711" t="s">
        <v>163</v>
      </c>
      <c r="Z25" s="709" t="s">
        <v>163</v>
      </c>
      <c r="AA25" s="710" t="s">
        <v>163</v>
      </c>
      <c r="AB25" s="710" t="s">
        <v>163</v>
      </c>
      <c r="AC25" s="710" t="s">
        <v>163</v>
      </c>
      <c r="AD25" s="710" t="s">
        <v>163</v>
      </c>
      <c r="AE25" s="710" t="s">
        <v>163</v>
      </c>
      <c r="AF25" s="711" t="s">
        <v>163</v>
      </c>
      <c r="AI25" s="709" t="s">
        <v>164</v>
      </c>
      <c r="AJ25" s="710" t="s">
        <v>164</v>
      </c>
      <c r="AK25" s="710" t="s">
        <v>164</v>
      </c>
      <c r="AL25" s="710" t="s">
        <v>164</v>
      </c>
      <c r="AM25" s="710" t="s">
        <v>164</v>
      </c>
      <c r="AN25" s="710" t="s">
        <v>164</v>
      </c>
      <c r="AO25" s="711" t="s">
        <v>164</v>
      </c>
      <c r="AP25" s="213"/>
      <c r="AQ25" s="213"/>
      <c r="AR25" s="213"/>
      <c r="AS25" s="271"/>
      <c r="AT25" s="271"/>
      <c r="AU25" s="244"/>
      <c r="AV25" s="244"/>
      <c r="AW25" s="244"/>
      <c r="AX25" s="244"/>
      <c r="AY25" s="244"/>
      <c r="AZ25" s="244"/>
      <c r="BA25" s="244"/>
      <c r="BB25" s="244"/>
      <c r="BC25" s="244"/>
      <c r="BD25" s="244"/>
      <c r="BE25" s="244"/>
      <c r="BF25" s="244"/>
      <c r="BG25" s="244"/>
      <c r="BH25" s="244"/>
      <c r="BI25" s="244"/>
      <c r="BJ25" s="244"/>
      <c r="BK25" s="244"/>
      <c r="BL25" s="244"/>
      <c r="BM25" s="244"/>
      <c r="BN25" s="244"/>
      <c r="BO25" s="244"/>
      <c r="BP25" s="244"/>
      <c r="BQ25" s="244"/>
      <c r="BR25" s="244"/>
      <c r="BS25" s="244"/>
      <c r="BT25" s="244"/>
      <c r="BU25" s="244"/>
      <c r="BV25" s="244"/>
      <c r="BW25" s="244"/>
      <c r="BX25" s="244"/>
      <c r="BY25" s="244"/>
      <c r="BZ25" s="244"/>
      <c r="CA25" s="244"/>
      <c r="CB25" s="244"/>
      <c r="CC25" s="244"/>
      <c r="CD25" s="244"/>
      <c r="CE25" s="244"/>
      <c r="CF25" s="244"/>
    </row>
    <row r="26" ht="18" customHeight="1">
      <c r="C26" s="702">
        <v>42440</v>
      </c>
      <c r="D26" s="702" t="s">
        <v>176</v>
      </c>
      <c r="E26" s="702" t="s">
        <v>177</v>
      </c>
      <c r="F26" s="702" t="s">
        <v>178</v>
      </c>
      <c r="G26" s="702" t="s">
        <v>179</v>
      </c>
      <c r="H26" s="703">
        <v>60</v>
      </c>
      <c r="I26" s="703" t="s">
        <v>180</v>
      </c>
      <c r="J26" s="703"/>
      <c r="K26" s="703"/>
      <c r="L26" s="703"/>
      <c r="M26" s="703"/>
      <c r="N26" s="703"/>
      <c r="O26" s="113"/>
      <c r="Q26" s="704" t="s">
        <v>163</v>
      </c>
      <c r="R26" s="705" t="s">
        <v>163</v>
      </c>
      <c r="S26" s="705" t="s">
        <v>163</v>
      </c>
      <c r="T26" s="705" t="s">
        <v>163</v>
      </c>
      <c r="U26" s="705" t="s">
        <v>163</v>
      </c>
      <c r="V26" s="705" t="s">
        <v>163</v>
      </c>
      <c r="W26" s="706" t="s">
        <v>163</v>
      </c>
      <c r="Z26" s="704" t="s">
        <v>164</v>
      </c>
      <c r="AA26" s="705" t="s">
        <v>164</v>
      </c>
      <c r="AB26" s="705" t="s">
        <v>164</v>
      </c>
      <c r="AC26" s="705" t="s">
        <v>164</v>
      </c>
      <c r="AD26" s="705" t="s">
        <v>164</v>
      </c>
      <c r="AE26" s="705" t="s">
        <v>164</v>
      </c>
      <c r="AF26" s="706" t="s">
        <v>164</v>
      </c>
      <c r="AI26" s="704" t="s">
        <v>164</v>
      </c>
      <c r="AJ26" s="705" t="s">
        <v>164</v>
      </c>
      <c r="AK26" s="705" t="s">
        <v>164</v>
      </c>
      <c r="AL26" s="705" t="s">
        <v>164</v>
      </c>
      <c r="AM26" s="705" t="s">
        <v>164</v>
      </c>
      <c r="AN26" s="705" t="s">
        <v>164</v>
      </c>
      <c r="AO26" s="706" t="s">
        <v>164</v>
      </c>
      <c r="AP26" s="213"/>
      <c r="AQ26" s="213"/>
      <c r="AR26" s="213"/>
      <c r="AS26" s="271"/>
      <c r="AT26" s="271"/>
      <c r="AU26" s="244"/>
      <c r="AV26" s="244"/>
      <c r="AW26" s="244"/>
      <c r="AX26" s="244"/>
      <c r="AY26" s="244"/>
      <c r="AZ26" s="244"/>
      <c r="BA26" s="244"/>
      <c r="BB26" s="244"/>
      <c r="BC26" s="244"/>
      <c r="BD26" s="244"/>
      <c r="BE26" s="244"/>
      <c r="BF26" s="244"/>
      <c r="BG26" s="244"/>
      <c r="BH26" s="244"/>
      <c r="BI26" s="244"/>
      <c r="BJ26" s="244"/>
      <c r="BK26" s="244"/>
      <c r="BL26" s="244"/>
      <c r="BM26" s="244"/>
      <c r="BN26" s="244"/>
      <c r="BO26" s="244"/>
      <c r="BP26" s="244"/>
      <c r="BQ26" s="244"/>
      <c r="BR26" s="244"/>
      <c r="BS26" s="244"/>
      <c r="BT26" s="244"/>
      <c r="BU26" s="244"/>
      <c r="BV26" s="244"/>
      <c r="BW26" s="244"/>
      <c r="BX26" s="244"/>
      <c r="BY26" s="244"/>
      <c r="BZ26" s="244"/>
      <c r="CA26" s="244"/>
      <c r="CB26" s="244"/>
      <c r="CC26" s="244"/>
      <c r="CD26" s="244"/>
      <c r="CE26" s="244"/>
      <c r="CF26" s="244"/>
    </row>
    <row r="27" ht="18" customHeight="1">
      <c r="C27" s="707">
        <v>58062</v>
      </c>
      <c r="D27" s="707" t="s">
        <v>181</v>
      </c>
      <c r="E27" s="707" t="s">
        <v>182</v>
      </c>
      <c r="F27" s="707" t="s">
        <v>183</v>
      </c>
      <c r="G27" s="707" t="s">
        <v>184</v>
      </c>
      <c r="H27" s="708">
        <v>126</v>
      </c>
      <c r="I27" s="708" t="s">
        <v>185</v>
      </c>
      <c r="J27" s="708"/>
      <c r="K27" s="708"/>
      <c r="L27" s="708"/>
      <c r="M27" s="708"/>
      <c r="N27" s="708"/>
      <c r="O27" s="113"/>
      <c r="Q27" s="709" t="s">
        <v>163</v>
      </c>
      <c r="R27" s="710" t="s">
        <v>163</v>
      </c>
      <c r="S27" s="710" t="s">
        <v>163</v>
      </c>
      <c r="T27" s="710" t="s">
        <v>163</v>
      </c>
      <c r="U27" s="710" t="s">
        <v>163</v>
      </c>
      <c r="V27" s="710" t="s">
        <v>163</v>
      </c>
      <c r="W27" s="711" t="s">
        <v>163</v>
      </c>
      <c r="Z27" s="709" t="s">
        <v>163</v>
      </c>
      <c r="AA27" s="710" t="s">
        <v>163</v>
      </c>
      <c r="AB27" s="710" t="s">
        <v>163</v>
      </c>
      <c r="AC27" s="710" t="s">
        <v>186</v>
      </c>
      <c r="AD27" s="710" t="s">
        <v>163</v>
      </c>
      <c r="AE27" s="710" t="s">
        <v>163</v>
      </c>
      <c r="AF27" s="711" t="s">
        <v>163</v>
      </c>
      <c r="AI27" s="709" t="s">
        <v>163</v>
      </c>
      <c r="AJ27" s="710" t="s">
        <v>163</v>
      </c>
      <c r="AK27" s="710" t="s">
        <v>163</v>
      </c>
      <c r="AL27" s="710" t="s">
        <v>163</v>
      </c>
      <c r="AM27" s="710" t="s">
        <v>163</v>
      </c>
      <c r="AN27" s="710" t="s">
        <v>163</v>
      </c>
      <c r="AO27" s="711" t="s">
        <v>163</v>
      </c>
      <c r="AP27" s="213"/>
      <c r="AQ27" s="213"/>
      <c r="AR27" s="213"/>
      <c r="AS27" s="271"/>
      <c r="AT27" s="271"/>
      <c r="AU27" s="244"/>
      <c r="AV27" s="244"/>
      <c r="AW27" s="244"/>
      <c r="AX27" s="244"/>
      <c r="AY27" s="244"/>
      <c r="AZ27" s="244"/>
      <c r="BA27" s="244"/>
      <c r="BB27" s="244"/>
      <c r="BC27" s="244"/>
      <c r="BD27" s="244"/>
      <c r="BE27" s="244"/>
      <c r="BF27" s="244"/>
      <c r="BG27" s="244"/>
      <c r="BH27" s="244"/>
      <c r="BI27" s="244"/>
      <c r="BJ27" s="244"/>
      <c r="BK27" s="244"/>
      <c r="BL27" s="244"/>
      <c r="BM27" s="244"/>
      <c r="BN27" s="244"/>
      <c r="BO27" s="244"/>
      <c r="BP27" s="244"/>
      <c r="BQ27" s="244"/>
      <c r="BR27" s="244"/>
      <c r="BS27" s="244"/>
      <c r="BT27" s="244"/>
      <c r="BU27" s="244"/>
      <c r="BV27" s="244"/>
      <c r="BW27" s="244"/>
      <c r="BX27" s="244"/>
      <c r="BY27" s="244"/>
      <c r="BZ27" s="244"/>
      <c r="CA27" s="244"/>
      <c r="CB27" s="244"/>
      <c r="CC27" s="244"/>
      <c r="CD27" s="244"/>
      <c r="CE27" s="244"/>
      <c r="CF27" s="244"/>
    </row>
    <row r="28" ht="18" customHeight="1">
      <c r="C28" s="114"/>
      <c r="D28" s="118"/>
      <c r="E28" s="118"/>
      <c r="F28" s="118"/>
      <c r="G28" s="118"/>
      <c r="H28" s="703">
        <v>708</v>
      </c>
      <c r="I28" s="712"/>
      <c r="J28" s="712"/>
      <c r="K28" s="712"/>
      <c r="L28" s="712"/>
      <c r="M28" s="712"/>
      <c r="N28" s="712"/>
      <c r="O28" s="113"/>
      <c r="AP28" s="213"/>
      <c r="AQ28" s="213"/>
      <c r="AR28" s="213"/>
      <c r="AS28" s="271"/>
      <c r="AT28" s="271"/>
      <c r="AU28" s="244"/>
      <c r="AV28" s="244"/>
      <c r="AW28" s="244"/>
      <c r="AX28" s="244"/>
      <c r="AY28" s="244"/>
      <c r="AZ28" s="244"/>
      <c r="BA28" s="244"/>
      <c r="BB28" s="244"/>
      <c r="BC28" s="244"/>
      <c r="BD28" s="244"/>
      <c r="BE28" s="244"/>
      <c r="BF28" s="244"/>
      <c r="BG28" s="244"/>
      <c r="BH28" s="244"/>
      <c r="BI28" s="244"/>
      <c r="BJ28" s="244"/>
      <c r="BK28" s="244"/>
      <c r="BL28" s="244"/>
      <c r="BM28" s="244"/>
      <c r="BN28" s="244"/>
      <c r="BO28" s="244"/>
      <c r="BP28" s="244"/>
      <c r="BQ28" s="244"/>
      <c r="BR28" s="244"/>
      <c r="BS28" s="244"/>
      <c r="BT28" s="244"/>
      <c r="BU28" s="244"/>
      <c r="BV28" s="244"/>
      <c r="BW28" s="244"/>
      <c r="BX28" s="244"/>
      <c r="BY28" s="244"/>
      <c r="BZ28" s="244"/>
      <c r="CA28" s="244"/>
      <c r="CB28" s="244"/>
      <c r="CC28" s="244"/>
      <c r="CD28" s="244"/>
      <c r="CE28" s="244"/>
      <c r="CF28" s="244"/>
    </row>
    <row r="29" ht="18" customHeight="1">
      <c r="C29" s="114"/>
      <c r="D29" s="118"/>
      <c r="E29" s="118"/>
      <c r="F29" s="118"/>
      <c r="G29" s="118"/>
      <c r="H29" s="118"/>
      <c r="I29" s="712"/>
      <c r="J29" s="712"/>
      <c r="K29" s="712"/>
      <c r="L29" s="712"/>
      <c r="M29" s="712"/>
      <c r="N29" s="712"/>
      <c r="O29" s="113"/>
      <c r="P29" t="s">
        <v>187</v>
      </c>
      <c r="AP29" s="213"/>
      <c r="AQ29" s="213"/>
      <c r="AR29" s="213"/>
      <c r="AS29" s="271"/>
      <c r="AT29" s="271"/>
      <c r="AU29" s="244"/>
      <c r="AV29" s="244"/>
      <c r="AW29" s="244"/>
      <c r="AX29" s="244"/>
      <c r="AY29" s="244"/>
      <c r="AZ29" s="244"/>
      <c r="BA29" s="244"/>
      <c r="BB29" s="244"/>
      <c r="BC29" s="244"/>
      <c r="BD29" s="244"/>
      <c r="BE29" s="244"/>
      <c r="BF29" s="244"/>
      <c r="BG29" s="244"/>
      <c r="BH29" s="244"/>
      <c r="BI29" s="244"/>
      <c r="BJ29" s="244"/>
      <c r="BK29" s="244"/>
      <c r="BL29" s="244"/>
      <c r="BM29" s="244"/>
      <c r="BN29" s="244"/>
      <c r="BO29" s="244"/>
      <c r="BP29" s="244"/>
      <c r="BQ29" s="244"/>
      <c r="BR29" s="244"/>
      <c r="BS29" s="244"/>
      <c r="BT29" s="244"/>
      <c r="BU29" s="244"/>
      <c r="BV29" s="244"/>
      <c r="BW29" s="244"/>
      <c r="BX29" s="244"/>
      <c r="BY29" s="244"/>
      <c r="BZ29" s="244"/>
      <c r="CA29" s="244"/>
      <c r="CB29" s="244"/>
      <c r="CC29" s="244"/>
      <c r="CD29" s="244"/>
      <c r="CE29" s="244"/>
      <c r="CF29" s="244"/>
    </row>
    <row r="30" ht="18" customHeight="1">
      <c r="C30" s="114"/>
      <c r="D30" s="118"/>
      <c r="E30" s="118"/>
      <c r="F30" s="118"/>
      <c r="G30" s="118"/>
      <c r="H30" s="118"/>
      <c r="I30" s="712"/>
      <c r="J30" s="712"/>
      <c r="K30" s="712"/>
      <c r="L30" s="712"/>
      <c r="M30" s="712"/>
      <c r="N30" s="712"/>
      <c r="O30" s="113"/>
      <c r="AP30" s="213"/>
      <c r="AQ30" s="213"/>
      <c r="AR30" s="213"/>
      <c r="AS30" s="271"/>
      <c r="AT30" s="271"/>
      <c r="AU30" s="244"/>
      <c r="AV30" s="244"/>
      <c r="AW30" s="244"/>
      <c r="AX30" s="244"/>
      <c r="AY30" s="244"/>
      <c r="AZ30" s="244"/>
      <c r="BA30" s="244"/>
      <c r="BB30" s="244"/>
      <c r="BC30" s="244"/>
      <c r="BD30" s="244"/>
      <c r="BE30" s="244"/>
      <c r="BF30" s="244"/>
      <c r="BG30" s="244"/>
      <c r="BH30" s="244"/>
      <c r="BI30" s="244"/>
      <c r="BJ30" s="244"/>
      <c r="BK30" s="244"/>
      <c r="BL30" s="244"/>
      <c r="BM30" s="244"/>
      <c r="BN30" s="244"/>
      <c r="BO30" s="244"/>
      <c r="BP30" s="244"/>
      <c r="BQ30" s="244"/>
      <c r="BR30" s="244"/>
      <c r="BS30" s="244"/>
      <c r="BT30" s="244"/>
      <c r="BU30" s="244"/>
      <c r="BV30" s="244"/>
      <c r="BW30" s="244"/>
      <c r="BX30" s="244"/>
      <c r="BY30" s="244"/>
      <c r="BZ30" s="244"/>
      <c r="CA30" s="244"/>
      <c r="CB30" s="244"/>
      <c r="CC30" s="244"/>
      <c r="CD30" s="244"/>
      <c r="CE30" s="244"/>
      <c r="CF30" s="244"/>
    </row>
    <row r="31" ht="18" customHeight="1">
      <c r="C31" s="114"/>
      <c r="D31" s="118"/>
      <c r="E31" s="118"/>
      <c r="F31" s="118"/>
      <c r="G31" s="118"/>
      <c r="H31" s="118"/>
      <c r="I31" s="712"/>
      <c r="J31" s="712"/>
      <c r="K31" s="712"/>
      <c r="L31" s="712"/>
      <c r="M31" s="712"/>
      <c r="N31" s="712"/>
      <c r="O31" s="113"/>
      <c r="AP31" s="213"/>
      <c r="AQ31" s="213"/>
      <c r="AR31" s="213"/>
      <c r="AS31" s="271"/>
      <c r="AT31" s="271"/>
      <c r="AU31" s="244"/>
      <c r="AV31" s="244"/>
      <c r="AW31" s="244"/>
      <c r="AX31" s="244"/>
      <c r="AY31" s="244"/>
      <c r="AZ31" s="244"/>
      <c r="BA31" s="244"/>
      <c r="BB31" s="244"/>
      <c r="BC31" s="244"/>
      <c r="BD31" s="244"/>
      <c r="BE31" s="244"/>
      <c r="BF31" s="244"/>
      <c r="BG31" s="244"/>
      <c r="BH31" s="244"/>
      <c r="BI31" s="244"/>
      <c r="BJ31" s="244"/>
      <c r="BK31" s="244"/>
      <c r="BL31" s="244"/>
      <c r="BM31" s="244"/>
      <c r="BN31" s="244"/>
      <c r="BO31" s="244"/>
      <c r="BP31" s="244"/>
      <c r="BQ31" s="244"/>
      <c r="BR31" s="244"/>
      <c r="BS31" s="244"/>
      <c r="BT31" s="244"/>
      <c r="BU31" s="244"/>
      <c r="BV31" s="244"/>
      <c r="BW31" s="244"/>
      <c r="BX31" s="244"/>
      <c r="BY31" s="244"/>
      <c r="BZ31" s="244"/>
      <c r="CA31" s="244"/>
      <c r="CB31" s="244"/>
      <c r="CC31" s="244"/>
      <c r="CD31" s="244"/>
      <c r="CE31" s="244"/>
      <c r="CF31" s="244"/>
    </row>
    <row r="32" ht="18" customHeight="1">
      <c r="C32" s="114"/>
      <c r="D32" s="118"/>
      <c r="E32" s="118"/>
      <c r="F32" s="118"/>
      <c r="G32" s="118"/>
      <c r="H32" s="118"/>
      <c r="I32" s="712"/>
      <c r="J32" s="712"/>
      <c r="K32" s="712"/>
      <c r="L32" s="712"/>
      <c r="M32" s="712"/>
      <c r="N32" s="712"/>
      <c r="O32" s="113"/>
      <c r="AP32" s="213"/>
      <c r="AQ32" s="213"/>
      <c r="AR32" s="213"/>
      <c r="AS32" s="271"/>
      <c r="AT32" s="271"/>
      <c r="AU32" s="244"/>
      <c r="AV32" s="244"/>
      <c r="AW32" s="244"/>
      <c r="AX32" s="244"/>
      <c r="AY32" s="244"/>
      <c r="AZ32" s="244"/>
      <c r="BA32" s="244"/>
      <c r="BB32" s="244"/>
      <c r="BC32" s="244"/>
      <c r="BD32" s="244"/>
      <c r="BE32" s="244"/>
      <c r="BF32" s="244"/>
      <c r="BG32" s="244"/>
      <c r="BH32" s="244"/>
      <c r="BI32" s="244"/>
      <c r="BJ32" s="244"/>
      <c r="BK32" s="244"/>
      <c r="BL32" s="244"/>
      <c r="BM32" s="244"/>
      <c r="BN32" s="244"/>
      <c r="BO32" s="244"/>
      <c r="BP32" s="244"/>
      <c r="BQ32" s="244"/>
      <c r="BR32" s="244"/>
      <c r="BS32" s="244"/>
      <c r="BT32" s="244"/>
      <c r="BU32" s="244"/>
      <c r="BV32" s="244"/>
      <c r="BW32" s="244"/>
      <c r="BX32" s="244"/>
      <c r="BY32" s="244"/>
      <c r="BZ32" s="244"/>
      <c r="CA32" s="244"/>
      <c r="CB32" s="244"/>
      <c r="CC32" s="244"/>
      <c r="CD32" s="244"/>
      <c r="CE32" s="244"/>
      <c r="CF32" s="244"/>
    </row>
    <row r="33" ht="18" customHeight="1">
      <c r="C33" s="114"/>
      <c r="D33" s="118"/>
      <c r="E33" s="118"/>
      <c r="F33" s="118"/>
      <c r="G33" s="118"/>
      <c r="H33" s="118"/>
      <c r="I33" s="712"/>
      <c r="J33" s="712"/>
      <c r="K33" s="712"/>
      <c r="L33" s="712"/>
      <c r="M33" s="712"/>
      <c r="N33" s="712"/>
      <c r="O33" s="113"/>
      <c r="AP33" s="213"/>
      <c r="AQ33" s="213"/>
      <c r="AR33" s="213"/>
      <c r="AS33" s="271"/>
      <c r="AT33" s="271"/>
      <c r="AU33" s="244"/>
      <c r="AV33" s="244"/>
      <c r="AW33" s="244"/>
      <c r="AX33" s="244"/>
      <c r="AY33" s="244"/>
      <c r="AZ33" s="244"/>
      <c r="BA33" s="244"/>
      <c r="BB33" s="244"/>
      <c r="BC33" s="244"/>
      <c r="BD33" s="244"/>
      <c r="BE33" s="244"/>
      <c r="BF33" s="244"/>
      <c r="BG33" s="244"/>
      <c r="BH33" s="244"/>
      <c r="BI33" s="244"/>
      <c r="BJ33" s="244"/>
      <c r="BK33" s="244"/>
      <c r="BL33" s="244"/>
      <c r="BM33" s="244"/>
      <c r="BN33" s="244"/>
      <c r="BO33" s="244"/>
      <c r="BP33" s="244"/>
      <c r="BQ33" s="244"/>
      <c r="BR33" s="244"/>
      <c r="BS33" s="244"/>
      <c r="BT33" s="244"/>
      <c r="BU33" s="244"/>
      <c r="BV33" s="244"/>
      <c r="BW33" s="244"/>
      <c r="BX33" s="244"/>
      <c r="BY33" s="244"/>
      <c r="BZ33" s="244"/>
      <c r="CA33" s="244"/>
      <c r="CB33" s="244"/>
      <c r="CC33" s="244"/>
      <c r="CD33" s="244"/>
      <c r="CE33" s="244"/>
      <c r="CF33" s="244"/>
    </row>
    <row r="34" ht="18" customHeight="1">
      <c r="C34" s="114"/>
      <c r="D34" s="118"/>
      <c r="E34" s="118"/>
      <c r="F34" s="118"/>
      <c r="G34" s="118"/>
      <c r="H34" s="118"/>
      <c r="I34" s="712"/>
      <c r="J34" s="712"/>
      <c r="K34" s="712"/>
      <c r="L34" s="712"/>
      <c r="M34" s="712"/>
      <c r="N34" s="712"/>
      <c r="O34" s="113"/>
      <c r="AP34" s="213"/>
      <c r="AQ34" s="213"/>
      <c r="AR34" s="213"/>
      <c r="AS34" s="271"/>
      <c r="AT34" s="271"/>
      <c r="AU34" s="244"/>
      <c r="AV34" s="244"/>
      <c r="AW34" s="244"/>
      <c r="AX34" s="244"/>
      <c r="AY34" s="244"/>
      <c r="AZ34" s="244"/>
      <c r="BA34" s="244"/>
      <c r="BB34" s="244"/>
      <c r="BC34" s="244"/>
      <c r="BD34" s="244"/>
      <c r="BE34" s="244"/>
      <c r="BF34" s="244"/>
      <c r="BG34" s="244"/>
      <c r="BH34" s="244"/>
      <c r="BI34" s="244"/>
      <c r="BJ34" s="244"/>
      <c r="BK34" s="244"/>
      <c r="BL34" s="244"/>
      <c r="BM34" s="244"/>
      <c r="BN34" s="244"/>
      <c r="BO34" s="244"/>
      <c r="BP34" s="244"/>
      <c r="BQ34" s="244"/>
      <c r="BR34" s="244"/>
      <c r="BS34" s="244"/>
      <c r="BT34" s="244"/>
      <c r="BU34" s="244"/>
      <c r="BV34" s="244"/>
      <c r="BW34" s="244"/>
      <c r="BX34" s="244"/>
      <c r="BY34" s="244"/>
      <c r="BZ34" s="244"/>
      <c r="CA34" s="244"/>
      <c r="CB34" s="244"/>
      <c r="CC34" s="244"/>
      <c r="CD34" s="244"/>
      <c r="CE34" s="244"/>
      <c r="CF34" s="244"/>
    </row>
    <row r="35" ht="18" customHeight="1">
      <c r="C35" s="114"/>
      <c r="D35" s="118"/>
      <c r="E35" s="118"/>
      <c r="F35" s="118"/>
      <c r="G35" s="118"/>
      <c r="H35" s="118"/>
      <c r="I35" s="712"/>
      <c r="J35" s="712"/>
      <c r="K35" s="712"/>
      <c r="L35" s="712"/>
      <c r="M35" s="712"/>
      <c r="N35" s="712"/>
      <c r="O35" s="113"/>
      <c r="AP35" s="213"/>
      <c r="AQ35" s="213"/>
      <c r="AR35" s="213"/>
      <c r="AS35" s="271"/>
      <c r="AT35" s="271"/>
      <c r="AU35" s="244"/>
      <c r="AV35" s="244"/>
      <c r="AW35" s="244"/>
      <c r="AX35" s="244"/>
      <c r="AY35" s="244"/>
      <c r="AZ35" s="244"/>
      <c r="BA35" s="244"/>
      <c r="BB35" s="244"/>
      <c r="BC35" s="244"/>
      <c r="BD35" s="244"/>
      <c r="BE35" s="244"/>
      <c r="BF35" s="244"/>
      <c r="BG35" s="244"/>
      <c r="BH35" s="244"/>
      <c r="BI35" s="244"/>
      <c r="BJ35" s="244"/>
      <c r="BK35" s="244"/>
      <c r="BL35" s="244"/>
      <c r="BM35" s="244"/>
      <c r="BN35" s="244"/>
      <c r="BO35" s="244"/>
      <c r="BP35" s="244"/>
      <c r="BQ35" s="244"/>
      <c r="BR35" s="244"/>
      <c r="BS35" s="244"/>
      <c r="BT35" s="244"/>
      <c r="BU35" s="244"/>
      <c r="BV35" s="244"/>
      <c r="BW35" s="244"/>
      <c r="BX35" s="244"/>
      <c r="BY35" s="244"/>
      <c r="BZ35" s="244"/>
      <c r="CA35" s="244"/>
      <c r="CB35" s="244"/>
      <c r="CC35" s="244"/>
      <c r="CD35" s="244"/>
      <c r="CE35" s="244"/>
      <c r="CF35" s="244"/>
    </row>
    <row r="36" ht="18" customHeight="1">
      <c r="C36" s="114"/>
      <c r="D36" s="118"/>
      <c r="E36" s="118"/>
      <c r="F36" s="118"/>
      <c r="G36" s="118"/>
      <c r="H36" s="118"/>
      <c r="I36" s="712"/>
      <c r="J36" s="712"/>
      <c r="K36" s="712"/>
      <c r="L36" s="712"/>
      <c r="M36" s="712"/>
      <c r="N36" s="712"/>
      <c r="O36" s="113"/>
      <c r="AP36" s="213"/>
      <c r="AQ36" s="213"/>
      <c r="AR36" s="213"/>
      <c r="AS36" s="271"/>
      <c r="AT36" s="271"/>
      <c r="AU36" s="244"/>
      <c r="AV36" s="244"/>
      <c r="AW36" s="244"/>
      <c r="AX36" s="244"/>
      <c r="AY36" s="244"/>
      <c r="AZ36" s="244"/>
      <c r="BA36" s="244"/>
      <c r="BB36" s="244"/>
      <c r="BC36" s="244"/>
      <c r="BD36" s="244"/>
      <c r="BE36" s="244"/>
      <c r="BF36" s="244"/>
      <c r="BG36" s="244"/>
      <c r="BH36" s="244"/>
      <c r="BI36" s="244"/>
      <c r="BJ36" s="244"/>
      <c r="BK36" s="244"/>
      <c r="BL36" s="244"/>
      <c r="BM36" s="244"/>
      <c r="BN36" s="244"/>
      <c r="BO36" s="244"/>
      <c r="BP36" s="244"/>
      <c r="BQ36" s="244"/>
      <c r="BR36" s="244"/>
      <c r="BS36" s="244"/>
      <c r="BT36" s="244"/>
      <c r="BU36" s="244"/>
      <c r="BV36" s="244"/>
      <c r="BW36" s="244"/>
      <c r="BX36" s="244"/>
      <c r="BY36" s="244"/>
      <c r="BZ36" s="244"/>
      <c r="CA36" s="244"/>
      <c r="CB36" s="244"/>
      <c r="CC36" s="244"/>
      <c r="CD36" s="244"/>
      <c r="CE36" s="244"/>
      <c r="CF36" s="244"/>
    </row>
    <row r="37" ht="18" customHeight="1">
      <c r="C37" s="114"/>
      <c r="D37" s="118"/>
      <c r="E37" s="118"/>
      <c r="F37" s="118"/>
      <c r="G37" s="118"/>
      <c r="H37" s="118"/>
      <c r="I37" s="712"/>
      <c r="J37" s="712"/>
      <c r="K37" s="712"/>
      <c r="L37" s="712"/>
      <c r="M37" s="712"/>
      <c r="N37" s="712"/>
      <c r="O37" s="113"/>
      <c r="AP37" s="213"/>
      <c r="AQ37" s="213"/>
      <c r="AR37" s="213"/>
      <c r="AS37" s="271"/>
      <c r="AT37" s="271"/>
      <c r="AU37" s="244"/>
      <c r="AV37" s="244"/>
      <c r="AW37" s="244"/>
      <c r="AX37" s="244"/>
      <c r="AY37" s="244"/>
      <c r="AZ37" s="244"/>
      <c r="BA37" s="244"/>
      <c r="BB37" s="244"/>
      <c r="BC37" s="244"/>
      <c r="BD37" s="244"/>
      <c r="BE37" s="244"/>
      <c r="BF37" s="244"/>
      <c r="BG37" s="244"/>
      <c r="BH37" s="244"/>
      <c r="BI37" s="244"/>
      <c r="BJ37" s="244"/>
      <c r="BK37" s="244"/>
      <c r="BL37" s="244"/>
      <c r="BM37" s="244"/>
      <c r="BN37" s="244"/>
      <c r="BO37" s="244"/>
      <c r="BP37" s="244"/>
      <c r="BQ37" s="244"/>
      <c r="BR37" s="244"/>
      <c r="BS37" s="244"/>
      <c r="BT37" s="244"/>
      <c r="BU37" s="244"/>
      <c r="BV37" s="244"/>
      <c r="BW37" s="244"/>
      <c r="BX37" s="244"/>
      <c r="BY37" s="244"/>
      <c r="BZ37" s="244"/>
      <c r="CA37" s="244"/>
      <c r="CB37" s="244"/>
      <c r="CC37" s="244"/>
      <c r="CD37" s="244"/>
      <c r="CE37" s="244"/>
      <c r="CF37" s="244"/>
    </row>
    <row r="38" ht="18" customHeight="1">
      <c r="C38" s="114"/>
      <c r="D38" s="118"/>
      <c r="E38" s="118"/>
      <c r="F38" s="118"/>
      <c r="G38" s="118"/>
      <c r="H38" s="118"/>
      <c r="I38" s="712"/>
      <c r="J38" s="712"/>
      <c r="K38" s="712"/>
      <c r="L38" s="712"/>
      <c r="M38" s="712"/>
      <c r="N38" s="712"/>
      <c r="O38" s="113"/>
      <c r="AP38" s="213"/>
      <c r="AQ38" s="213"/>
      <c r="AR38" s="213"/>
      <c r="AS38" s="271"/>
      <c r="AT38" s="271"/>
      <c r="AU38" s="244"/>
      <c r="AV38" s="244"/>
      <c r="AW38" s="244"/>
      <c r="AX38" s="244"/>
      <c r="AY38" s="244"/>
      <c r="AZ38" s="244"/>
      <c r="BA38" s="244"/>
      <c r="BB38" s="244"/>
      <c r="BC38" s="244"/>
      <c r="BD38" s="244"/>
      <c r="BE38" s="244"/>
      <c r="BF38" s="244"/>
      <c r="BG38" s="244"/>
      <c r="BH38" s="244"/>
      <c r="BI38" s="244"/>
      <c r="BJ38" s="244"/>
      <c r="BK38" s="244"/>
      <c r="BL38" s="244"/>
      <c r="BM38" s="244"/>
      <c r="BN38" s="244"/>
      <c r="BO38" s="244"/>
      <c r="BP38" s="244"/>
      <c r="BQ38" s="244"/>
      <c r="BR38" s="244"/>
      <c r="BS38" s="244"/>
      <c r="BT38" s="244"/>
      <c r="BU38" s="244"/>
      <c r="BV38" s="244"/>
      <c r="BW38" s="244"/>
      <c r="BX38" s="244"/>
      <c r="BY38" s="244"/>
      <c r="BZ38" s="244"/>
      <c r="CA38" s="244"/>
      <c r="CB38" s="244"/>
      <c r="CC38" s="244"/>
      <c r="CD38" s="244"/>
      <c r="CE38" s="244"/>
      <c r="CF38" s="244"/>
    </row>
    <row r="39" ht="18" customHeight="1">
      <c r="C39" s="114"/>
      <c r="D39" s="118"/>
      <c r="E39" s="118"/>
      <c r="F39" s="118"/>
      <c r="G39" s="118"/>
      <c r="H39" s="118"/>
      <c r="I39" s="712"/>
      <c r="J39" s="712"/>
      <c r="K39" s="712"/>
      <c r="L39" s="712"/>
      <c r="M39" s="712"/>
      <c r="N39" s="712"/>
      <c r="O39" s="113"/>
      <c r="AP39" s="213"/>
      <c r="AQ39" s="213"/>
      <c r="AR39" s="213"/>
      <c r="AS39" s="271"/>
      <c r="AT39" s="271"/>
      <c r="AU39" s="244"/>
      <c r="AV39" s="244"/>
      <c r="AW39" s="244"/>
      <c r="AX39" s="244"/>
      <c r="AY39" s="244"/>
      <c r="AZ39" s="244"/>
      <c r="BA39" s="244"/>
      <c r="BB39" s="244"/>
      <c r="BC39" s="244"/>
      <c r="BD39" s="244"/>
      <c r="BE39" s="244"/>
      <c r="BF39" s="244"/>
      <c r="BG39" s="244"/>
      <c r="BH39" s="244"/>
      <c r="BI39" s="244"/>
      <c r="BJ39" s="244"/>
      <c r="BK39" s="244"/>
      <c r="BL39" s="244"/>
      <c r="BM39" s="244"/>
      <c r="BN39" s="244"/>
      <c r="BO39" s="244"/>
      <c r="BP39" s="244"/>
      <c r="BQ39" s="244"/>
      <c r="BR39" s="244"/>
      <c r="BS39" s="244"/>
      <c r="BT39" s="244"/>
      <c r="BU39" s="244"/>
      <c r="BV39" s="244"/>
      <c r="BW39" s="244"/>
      <c r="BX39" s="244"/>
      <c r="BY39" s="244"/>
      <c r="BZ39" s="244"/>
      <c r="CA39" s="244"/>
      <c r="CB39" s="244"/>
      <c r="CC39" s="244"/>
      <c r="CD39" s="244"/>
      <c r="CE39" s="244"/>
      <c r="CF39" s="244"/>
    </row>
    <row r="40" ht="18" customHeight="1">
      <c r="C40" s="114"/>
      <c r="D40" s="118"/>
      <c r="E40" s="118"/>
      <c r="F40" s="118"/>
      <c r="G40" s="118"/>
      <c r="H40" s="118"/>
      <c r="I40" s="712"/>
      <c r="J40" s="712"/>
      <c r="K40" s="712"/>
      <c r="L40" s="712"/>
      <c r="M40" s="712"/>
      <c r="N40" s="712"/>
      <c r="O40" s="113"/>
      <c r="AP40" s="213"/>
      <c r="AQ40" s="213"/>
      <c r="AR40" s="213"/>
      <c r="AS40" s="271"/>
      <c r="AT40" s="271"/>
      <c r="AU40" s="244"/>
      <c r="AV40" s="244"/>
      <c r="AW40" s="244"/>
      <c r="AX40" s="244"/>
      <c r="AY40" s="244"/>
      <c r="AZ40" s="244"/>
      <c r="BA40" s="244"/>
      <c r="BB40" s="244"/>
      <c r="BC40" s="244"/>
      <c r="BD40" s="244"/>
      <c r="BE40" s="244"/>
      <c r="BF40" s="244"/>
      <c r="BG40" s="244"/>
      <c r="BH40" s="244"/>
      <c r="BI40" s="244"/>
      <c r="BJ40" s="244"/>
      <c r="BK40" s="244"/>
      <c r="BL40" s="244"/>
      <c r="BM40" s="244"/>
      <c r="BN40" s="244"/>
      <c r="BO40" s="244"/>
      <c r="BP40" s="244"/>
      <c r="BQ40" s="244"/>
      <c r="BR40" s="244"/>
      <c r="BS40" s="244"/>
      <c r="BT40" s="244"/>
      <c r="BU40" s="244"/>
      <c r="BV40" s="244"/>
      <c r="BW40" s="244"/>
      <c r="BX40" s="244"/>
      <c r="BY40" s="244"/>
      <c r="BZ40" s="244"/>
      <c r="CA40" s="244"/>
      <c r="CB40" s="244"/>
      <c r="CC40" s="244"/>
      <c r="CD40" s="244"/>
      <c r="CE40" s="244"/>
      <c r="CF40" s="244"/>
    </row>
    <row r="41" ht="18" customHeight="1">
      <c r="C41" s="114"/>
      <c r="D41" s="118"/>
      <c r="E41" s="118"/>
      <c r="F41" s="118"/>
      <c r="G41" s="118"/>
      <c r="H41" s="118"/>
      <c r="I41" s="712"/>
      <c r="J41" s="712"/>
      <c r="K41" s="712"/>
      <c r="L41" s="712"/>
      <c r="M41" s="712"/>
      <c r="N41" s="712"/>
      <c r="O41" s="113"/>
      <c r="AP41" s="213"/>
      <c r="AQ41" s="213"/>
      <c r="AR41" s="213"/>
      <c r="AS41" s="271"/>
      <c r="AT41" s="271"/>
      <c r="AU41" s="244"/>
      <c r="AV41" s="244"/>
      <c r="AW41" s="244"/>
      <c r="AX41" s="244"/>
      <c r="AY41" s="244"/>
      <c r="AZ41" s="244"/>
      <c r="BA41" s="244"/>
      <c r="BB41" s="244"/>
      <c r="BC41" s="244"/>
      <c r="BD41" s="244"/>
      <c r="BE41" s="244"/>
      <c r="BF41" s="244"/>
      <c r="BG41" s="244"/>
      <c r="BH41" s="244"/>
      <c r="BI41" s="244"/>
      <c r="BJ41" s="244"/>
      <c r="BK41" s="244"/>
      <c r="BL41" s="244"/>
      <c r="BM41" s="244"/>
      <c r="BN41" s="244"/>
      <c r="BO41" s="244"/>
      <c r="BP41" s="244"/>
      <c r="BQ41" s="244"/>
      <c r="BR41" s="244"/>
      <c r="BS41" s="244"/>
      <c r="BT41" s="244"/>
      <c r="BU41" s="244"/>
      <c r="BV41" s="244"/>
      <c r="BW41" s="244"/>
      <c r="BX41" s="244"/>
      <c r="BY41" s="244"/>
      <c r="BZ41" s="244"/>
      <c r="CA41" s="244"/>
      <c r="CB41" s="244"/>
      <c r="CC41" s="244"/>
      <c r="CD41" s="244"/>
      <c r="CE41" s="244"/>
      <c r="CF41" s="244"/>
    </row>
    <row r="42" ht="0" hidden="1" customHeight="1">
      <c r="C42" s="114"/>
      <c r="D42" s="118"/>
      <c r="E42" s="118"/>
      <c r="F42" s="118"/>
      <c r="G42" s="118"/>
      <c r="H42" s="118"/>
      <c r="I42" s="712"/>
      <c r="J42" s="712"/>
      <c r="K42" s="712"/>
      <c r="L42" s="712"/>
      <c r="M42" s="712"/>
      <c r="N42" s="712"/>
      <c r="O42" s="113"/>
      <c r="AP42" s="213"/>
      <c r="AQ42" s="213"/>
      <c r="AR42" s="213"/>
      <c r="AS42" s="271"/>
      <c r="AT42" s="271"/>
      <c r="AU42" s="244"/>
      <c r="AV42" s="244"/>
      <c r="AW42" s="244"/>
      <c r="AX42" s="244"/>
      <c r="AY42" s="244"/>
      <c r="AZ42" s="244"/>
      <c r="BA42" s="244"/>
      <c r="BB42" s="244"/>
      <c r="BC42" s="244"/>
      <c r="BD42" s="244"/>
      <c r="BE42" s="244"/>
      <c r="BF42" s="244"/>
      <c r="BG42" s="244"/>
      <c r="BH42" s="244"/>
      <c r="BI42" s="244"/>
      <c r="BJ42" s="244"/>
      <c r="BK42" s="244"/>
      <c r="BL42" s="244"/>
      <c r="BM42" s="244"/>
      <c r="BN42" s="244"/>
      <c r="BO42" s="244"/>
      <c r="BP42" s="244"/>
      <c r="BQ42" s="244"/>
      <c r="BR42" s="244"/>
      <c r="BS42" s="244"/>
      <c r="BT42" s="244"/>
      <c r="BU42" s="244"/>
      <c r="BV42" s="244"/>
      <c r="BW42" s="244"/>
      <c r="BX42" s="244"/>
      <c r="BY42" s="244"/>
      <c r="BZ42" s="244"/>
      <c r="CA42" s="244"/>
      <c r="CB42" s="244"/>
      <c r="CC42" s="244"/>
      <c r="CD42" s="244"/>
      <c r="CE42" s="244"/>
      <c r="CF42" s="244"/>
    </row>
    <row r="43" ht="0" hidden="1" customHeight="1">
      <c r="C43" s="114"/>
      <c r="D43" s="118"/>
      <c r="E43" s="118"/>
      <c r="F43" s="118"/>
      <c r="G43" s="118"/>
      <c r="H43" s="118"/>
      <c r="I43" s="712"/>
      <c r="J43" s="712"/>
      <c r="K43" s="712"/>
      <c r="L43" s="712"/>
      <c r="M43" s="712"/>
      <c r="N43" s="712"/>
      <c r="O43" s="113"/>
      <c r="AP43" s="213"/>
      <c r="AQ43" s="213"/>
      <c r="AR43" s="213"/>
      <c r="AS43" s="271"/>
      <c r="AT43" s="271"/>
      <c r="AU43" s="244"/>
      <c r="AV43" s="244"/>
      <c r="AW43" s="244"/>
      <c r="AX43" s="244"/>
      <c r="AY43" s="244"/>
      <c r="AZ43" s="244"/>
      <c r="BA43" s="244"/>
      <c r="BB43" s="244"/>
      <c r="BC43" s="244"/>
      <c r="BD43" s="244"/>
      <c r="BE43" s="244"/>
      <c r="BF43" s="244"/>
      <c r="BG43" s="244"/>
      <c r="BH43" s="244"/>
      <c r="BI43" s="244"/>
      <c r="BJ43" s="244"/>
      <c r="BK43" s="244"/>
      <c r="BL43" s="244"/>
      <c r="BM43" s="244"/>
      <c r="BN43" s="244"/>
      <c r="BO43" s="244"/>
      <c r="BP43" s="244"/>
      <c r="BQ43" s="244"/>
      <c r="BR43" s="244"/>
      <c r="BS43" s="244"/>
      <c r="BT43" s="244"/>
      <c r="BU43" s="244"/>
      <c r="BV43" s="244"/>
      <c r="BW43" s="244"/>
      <c r="BX43" s="244"/>
      <c r="BY43" s="244"/>
      <c r="BZ43" s="244"/>
      <c r="CA43" s="244"/>
      <c r="CB43" s="244"/>
      <c r="CC43" s="244"/>
      <c r="CD43" s="244"/>
      <c r="CE43" s="244"/>
      <c r="CF43" s="244"/>
    </row>
    <row r="44" ht="0" hidden="1" customHeight="1">
      <c r="C44" s="114"/>
      <c r="D44" s="118"/>
      <c r="E44" s="118"/>
      <c r="F44" s="118"/>
      <c r="G44" s="118"/>
      <c r="H44" s="118"/>
      <c r="I44" s="712"/>
      <c r="J44" s="712"/>
      <c r="K44" s="712"/>
      <c r="L44" s="712"/>
      <c r="M44" s="712"/>
      <c r="N44" s="712"/>
      <c r="O44" s="113"/>
      <c r="AP44" s="213"/>
      <c r="AQ44" s="213"/>
      <c r="AR44" s="213"/>
      <c r="AS44" s="271"/>
      <c r="AT44" s="271"/>
      <c r="AU44" s="244"/>
      <c r="AV44" s="244"/>
      <c r="AW44" s="244"/>
      <c r="AX44" s="244"/>
      <c r="AY44" s="244"/>
      <c r="AZ44" s="244"/>
      <c r="BA44" s="244"/>
      <c r="BB44" s="244"/>
      <c r="BC44" s="244"/>
      <c r="BD44" s="244"/>
      <c r="BE44" s="244"/>
      <c r="BF44" s="244"/>
      <c r="BG44" s="244"/>
      <c r="BH44" s="244"/>
      <c r="BI44" s="244"/>
      <c r="BJ44" s="244"/>
      <c r="BK44" s="244"/>
      <c r="BL44" s="244"/>
      <c r="BM44" s="244"/>
      <c r="BN44" s="244"/>
      <c r="BO44" s="244"/>
      <c r="BP44" s="244"/>
      <c r="BQ44" s="244"/>
      <c r="BR44" s="244"/>
      <c r="BS44" s="244"/>
      <c r="BT44" s="244"/>
      <c r="BU44" s="244"/>
      <c r="BV44" s="244"/>
      <c r="BW44" s="244"/>
      <c r="BX44" s="244"/>
      <c r="BY44" s="244"/>
      <c r="BZ44" s="244"/>
      <c r="CA44" s="244"/>
      <c r="CB44" s="244"/>
      <c r="CC44" s="244"/>
      <c r="CD44" s="244"/>
      <c r="CE44" s="244"/>
      <c r="CF44" s="244"/>
    </row>
    <row r="45" ht="0" hidden="1" customHeight="1">
      <c r="C45" s="114"/>
      <c r="D45" s="118"/>
      <c r="E45" s="118"/>
      <c r="F45" s="118"/>
      <c r="G45" s="118"/>
      <c r="H45" s="118"/>
      <c r="I45" s="712"/>
      <c r="J45" s="712"/>
      <c r="K45" s="712"/>
      <c r="L45" s="712"/>
      <c r="M45" s="712"/>
      <c r="N45" s="712"/>
      <c r="O45" s="113"/>
      <c r="AP45" s="213"/>
      <c r="AQ45" s="213"/>
      <c r="AR45" s="213"/>
      <c r="AS45" s="271"/>
      <c r="AT45" s="271"/>
      <c r="AU45" s="244"/>
      <c r="AV45" s="244"/>
      <c r="AW45" s="244"/>
      <c r="AX45" s="244"/>
      <c r="AY45" s="244"/>
      <c r="AZ45" s="244"/>
      <c r="BA45" s="244"/>
      <c r="BB45" s="244"/>
      <c r="BC45" s="244"/>
      <c r="BD45" s="244"/>
      <c r="BE45" s="244"/>
      <c r="BF45" s="244"/>
      <c r="BG45" s="244"/>
      <c r="BH45" s="244"/>
      <c r="BI45" s="244"/>
      <c r="BJ45" s="244"/>
      <c r="BK45" s="244"/>
      <c r="BL45" s="244"/>
      <c r="BM45" s="244"/>
      <c r="BN45" s="244"/>
      <c r="BO45" s="244"/>
      <c r="BP45" s="244"/>
      <c r="BQ45" s="244"/>
      <c r="BR45" s="244"/>
      <c r="BS45" s="244"/>
      <c r="BT45" s="244"/>
      <c r="BU45" s="244"/>
      <c r="BV45" s="244"/>
      <c r="BW45" s="244"/>
      <c r="BX45" s="244"/>
      <c r="BY45" s="244"/>
      <c r="BZ45" s="244"/>
      <c r="CA45" s="244"/>
      <c r="CB45" s="244"/>
      <c r="CC45" s="244"/>
      <c r="CD45" s="244"/>
      <c r="CE45" s="244"/>
      <c r="CF45" s="244"/>
    </row>
    <row r="46" ht="0" hidden="1" customHeight="1">
      <c r="C46" s="114"/>
      <c r="D46" s="118"/>
      <c r="E46" s="118"/>
      <c r="F46" s="118"/>
      <c r="G46" s="118"/>
      <c r="H46" s="118"/>
      <c r="I46" s="712"/>
      <c r="J46" s="712"/>
      <c r="K46" s="712"/>
      <c r="L46" s="712"/>
      <c r="M46" s="712"/>
      <c r="N46" s="712"/>
      <c r="O46" s="113"/>
      <c r="AP46" s="213"/>
      <c r="AQ46" s="213"/>
      <c r="AR46" s="213"/>
      <c r="AS46" s="271"/>
      <c r="AT46" s="271"/>
      <c r="AU46" s="244"/>
      <c r="AV46" s="244"/>
      <c r="AW46" s="244"/>
      <c r="AX46" s="244"/>
      <c r="AY46" s="244"/>
      <c r="AZ46" s="244"/>
      <c r="BA46" s="244"/>
      <c r="BB46" s="244"/>
      <c r="BC46" s="244"/>
      <c r="BD46" s="244"/>
      <c r="BE46" s="244"/>
      <c r="BF46" s="244"/>
      <c r="BG46" s="244"/>
      <c r="BH46" s="244"/>
      <c r="BI46" s="244"/>
      <c r="BJ46" s="244"/>
      <c r="BK46" s="244"/>
      <c r="BL46" s="244"/>
      <c r="BM46" s="244"/>
      <c r="BN46" s="244"/>
      <c r="BO46" s="244"/>
      <c r="BP46" s="244"/>
      <c r="BQ46" s="244"/>
      <c r="BR46" s="244"/>
      <c r="BS46" s="244"/>
      <c r="BT46" s="244"/>
      <c r="BU46" s="244"/>
      <c r="BV46" s="244"/>
      <c r="BW46" s="244"/>
      <c r="BX46" s="244"/>
      <c r="BY46" s="244"/>
      <c r="BZ46" s="244"/>
      <c r="CA46" s="244"/>
      <c r="CB46" s="244"/>
      <c r="CC46" s="244"/>
      <c r="CD46" s="244"/>
      <c r="CE46" s="244"/>
      <c r="CF46" s="244"/>
    </row>
    <row r="47" ht="0" hidden="1" customHeight="1">
      <c r="C47" s="114"/>
      <c r="D47" s="118"/>
      <c r="E47" s="118"/>
      <c r="F47" s="118"/>
      <c r="G47" s="118"/>
      <c r="H47" s="118"/>
      <c r="I47" s="712"/>
      <c r="J47" s="712"/>
      <c r="K47" s="712"/>
      <c r="L47" s="712"/>
      <c r="M47" s="712"/>
      <c r="N47" s="712"/>
      <c r="O47" s="113"/>
      <c r="AP47" s="213"/>
      <c r="AQ47" s="213"/>
      <c r="AR47" s="213"/>
      <c r="AS47" s="271"/>
      <c r="AT47" s="271"/>
      <c r="AU47" s="244"/>
      <c r="AV47" s="244"/>
      <c r="AW47" s="244"/>
      <c r="AX47" s="244"/>
      <c r="AY47" s="244"/>
      <c r="AZ47" s="244"/>
      <c r="BA47" s="244"/>
      <c r="BB47" s="244"/>
      <c r="BC47" s="244"/>
      <c r="BD47" s="244"/>
      <c r="BE47" s="244"/>
      <c r="BF47" s="244"/>
      <c r="BG47" s="244"/>
      <c r="BH47" s="244"/>
      <c r="BI47" s="244"/>
      <c r="BJ47" s="244"/>
      <c r="BK47" s="244"/>
      <c r="BL47" s="244"/>
      <c r="BM47" s="244"/>
      <c r="BN47" s="244"/>
      <c r="BO47" s="244"/>
      <c r="BP47" s="244"/>
      <c r="BQ47" s="244"/>
      <c r="BR47" s="244"/>
      <c r="BS47" s="244"/>
      <c r="BT47" s="244"/>
      <c r="BU47" s="244"/>
      <c r="BV47" s="244"/>
      <c r="BW47" s="244"/>
      <c r="BX47" s="244"/>
      <c r="BY47" s="244"/>
      <c r="BZ47" s="244"/>
      <c r="CA47" s="244"/>
      <c r="CB47" s="244"/>
      <c r="CC47" s="244"/>
      <c r="CD47" s="244"/>
      <c r="CE47" s="244"/>
      <c r="CF47" s="244"/>
    </row>
    <row r="48" ht="0" hidden="1" customHeight="1">
      <c r="C48" s="114"/>
      <c r="D48" s="118"/>
      <c r="E48" s="118"/>
      <c r="F48" s="118"/>
      <c r="G48" s="118"/>
      <c r="H48" s="118"/>
      <c r="I48" s="712"/>
      <c r="J48" s="712"/>
      <c r="K48" s="712"/>
      <c r="L48" s="712"/>
      <c r="M48" s="712"/>
      <c r="N48" s="712"/>
      <c r="O48" s="113"/>
      <c r="AP48" s="213"/>
      <c r="AQ48" s="213"/>
      <c r="AR48" s="213"/>
      <c r="AS48" s="271"/>
      <c r="AT48" s="271"/>
      <c r="AU48" s="244"/>
      <c r="AV48" s="244"/>
      <c r="AW48" s="244"/>
      <c r="AX48" s="244"/>
      <c r="AY48" s="244"/>
      <c r="AZ48" s="244"/>
      <c r="BA48" s="244"/>
      <c r="BB48" s="244"/>
      <c r="BC48" s="244"/>
      <c r="BD48" s="244"/>
      <c r="BE48" s="244"/>
      <c r="BF48" s="244"/>
      <c r="BG48" s="244"/>
      <c r="BH48" s="244"/>
      <c r="BI48" s="244"/>
      <c r="BJ48" s="244"/>
      <c r="BK48" s="244"/>
      <c r="BL48" s="244"/>
      <c r="BM48" s="244"/>
      <c r="BN48" s="244"/>
      <c r="BO48" s="244"/>
      <c r="BP48" s="244"/>
      <c r="BQ48" s="244"/>
      <c r="BR48" s="244"/>
      <c r="BS48" s="244"/>
      <c r="BT48" s="244"/>
      <c r="BU48" s="244"/>
      <c r="BV48" s="244"/>
      <c r="BW48" s="244"/>
      <c r="BX48" s="244"/>
      <c r="BY48" s="244"/>
      <c r="BZ48" s="244"/>
      <c r="CA48" s="244"/>
      <c r="CB48" s="244"/>
      <c r="CC48" s="244"/>
      <c r="CD48" s="244"/>
      <c r="CE48" s="244"/>
      <c r="CF48" s="244"/>
    </row>
    <row r="49" ht="0" hidden="1" customHeight="1">
      <c r="C49" s="114"/>
      <c r="D49" s="118"/>
      <c r="E49" s="118"/>
      <c r="F49" s="118"/>
      <c r="G49" s="118"/>
      <c r="H49" s="118"/>
      <c r="I49" s="712"/>
      <c r="J49" s="712"/>
      <c r="K49" s="712"/>
      <c r="L49" s="712"/>
      <c r="M49" s="712"/>
      <c r="N49" s="712"/>
      <c r="O49" s="113"/>
      <c r="AP49" s="213"/>
      <c r="AQ49" s="213"/>
      <c r="AR49" s="213"/>
      <c r="AS49" s="271"/>
      <c r="AT49" s="271"/>
      <c r="AU49" s="244"/>
      <c r="AV49" s="244"/>
      <c r="AW49" s="244"/>
      <c r="AX49" s="244"/>
      <c r="AY49" s="244"/>
      <c r="AZ49" s="244"/>
      <c r="BA49" s="244"/>
      <c r="BB49" s="244"/>
      <c r="BC49" s="244"/>
      <c r="BD49" s="244"/>
      <c r="BE49" s="244"/>
      <c r="BF49" s="244"/>
      <c r="BG49" s="244"/>
      <c r="BH49" s="244"/>
      <c r="BI49" s="244"/>
      <c r="BJ49" s="244"/>
      <c r="BK49" s="244"/>
      <c r="BL49" s="244"/>
      <c r="BM49" s="244"/>
      <c r="BN49" s="244"/>
      <c r="BO49" s="244"/>
      <c r="BP49" s="244"/>
      <c r="BQ49" s="244"/>
      <c r="BR49" s="244"/>
      <c r="BS49" s="244"/>
      <c r="BT49" s="244"/>
      <c r="BU49" s="244"/>
      <c r="BV49" s="244"/>
      <c r="BW49" s="244"/>
      <c r="BX49" s="244"/>
      <c r="BY49" s="244"/>
      <c r="BZ49" s="244"/>
      <c r="CA49" s="244"/>
      <c r="CB49" s="244"/>
      <c r="CC49" s="244"/>
      <c r="CD49" s="244"/>
      <c r="CE49" s="244"/>
      <c r="CF49" s="244"/>
    </row>
    <row r="50" ht="0" hidden="1" customHeight="1">
      <c r="C50" s="114"/>
      <c r="D50" s="118"/>
      <c r="E50" s="118"/>
      <c r="F50" s="118"/>
      <c r="G50" s="118"/>
      <c r="H50" s="118"/>
      <c r="I50" s="712"/>
      <c r="J50" s="712"/>
      <c r="K50" s="712"/>
      <c r="L50" s="712"/>
      <c r="M50" s="712"/>
      <c r="N50" s="712"/>
      <c r="O50" s="113"/>
      <c r="AP50" s="213"/>
      <c r="AQ50" s="213"/>
      <c r="AR50" s="213"/>
      <c r="AS50" s="271"/>
      <c r="AT50" s="271"/>
      <c r="AU50" s="244"/>
      <c r="AV50" s="244"/>
      <c r="AW50" s="244"/>
      <c r="AX50" s="244"/>
      <c r="AY50" s="244"/>
      <c r="AZ50" s="244"/>
      <c r="BA50" s="244"/>
      <c r="BB50" s="244"/>
      <c r="BC50" s="244"/>
      <c r="BD50" s="244"/>
      <c r="BE50" s="244"/>
      <c r="BF50" s="244"/>
      <c r="BG50" s="244"/>
      <c r="BH50" s="244"/>
      <c r="BI50" s="244"/>
      <c r="BJ50" s="244"/>
      <c r="BK50" s="244"/>
      <c r="BL50" s="244"/>
      <c r="BM50" s="244"/>
      <c r="BN50" s="244"/>
      <c r="BO50" s="244"/>
      <c r="BP50" s="244"/>
      <c r="BQ50" s="244"/>
      <c r="BR50" s="244"/>
      <c r="BS50" s="244"/>
      <c r="BT50" s="244"/>
      <c r="BU50" s="244"/>
      <c r="BV50" s="244"/>
      <c r="BW50" s="244"/>
      <c r="BX50" s="244"/>
      <c r="BY50" s="244"/>
      <c r="BZ50" s="244"/>
      <c r="CA50" s="244"/>
      <c r="CB50" s="244"/>
      <c r="CC50" s="244"/>
      <c r="CD50" s="244"/>
      <c r="CE50" s="244"/>
      <c r="CF50" s="244"/>
    </row>
    <row r="51" ht="0" hidden="1" customHeight="1">
      <c r="C51" s="114"/>
      <c r="D51" s="118"/>
      <c r="E51" s="118"/>
      <c r="F51" s="118"/>
      <c r="G51" s="118"/>
      <c r="H51" s="118"/>
      <c r="I51" s="712"/>
      <c r="J51" s="712"/>
      <c r="K51" s="712"/>
      <c r="L51" s="712"/>
      <c r="M51" s="712"/>
      <c r="N51" s="712"/>
      <c r="O51" s="113"/>
      <c r="AP51" s="213"/>
      <c r="AQ51" s="213"/>
      <c r="AR51" s="213"/>
      <c r="AS51" s="271"/>
      <c r="AT51" s="271"/>
      <c r="AU51" s="244"/>
      <c r="AV51" s="244"/>
      <c r="AW51" s="244"/>
      <c r="AX51" s="244"/>
      <c r="AY51" s="244"/>
      <c r="AZ51" s="244"/>
      <c r="BA51" s="244"/>
      <c r="BB51" s="244"/>
      <c r="BC51" s="244"/>
      <c r="BD51" s="244"/>
      <c r="BE51" s="244"/>
      <c r="BF51" s="244"/>
      <c r="BG51" s="244"/>
      <c r="BH51" s="244"/>
      <c r="BI51" s="244"/>
      <c r="BJ51" s="244"/>
      <c r="BK51" s="244"/>
      <c r="BL51" s="244"/>
      <c r="BM51" s="244"/>
      <c r="BN51" s="244"/>
      <c r="BO51" s="244"/>
      <c r="BP51" s="244"/>
      <c r="BQ51" s="244"/>
      <c r="BR51" s="244"/>
      <c r="BS51" s="244"/>
      <c r="BT51" s="244"/>
      <c r="BU51" s="244"/>
      <c r="BV51" s="244"/>
      <c r="BW51" s="244"/>
      <c r="BX51" s="244"/>
      <c r="BY51" s="244"/>
      <c r="BZ51" s="244"/>
      <c r="CA51" s="244"/>
      <c r="CB51" s="244"/>
      <c r="CC51" s="244"/>
      <c r="CD51" s="244"/>
      <c r="CE51" s="244"/>
      <c r="CF51" s="244"/>
    </row>
    <row r="52" ht="0" hidden="1" customHeight="1">
      <c r="C52" s="114"/>
      <c r="D52" s="118"/>
      <c r="E52" s="118"/>
      <c r="F52" s="118"/>
      <c r="G52" s="118"/>
      <c r="H52" s="118"/>
      <c r="I52" s="712"/>
      <c r="J52" s="712"/>
      <c r="K52" s="712"/>
      <c r="L52" s="712"/>
      <c r="M52" s="712"/>
      <c r="N52" s="712"/>
      <c r="O52" s="113"/>
      <c r="AP52" s="213"/>
      <c r="AQ52" s="213"/>
      <c r="AR52" s="213"/>
      <c r="AS52" s="271"/>
      <c r="AT52" s="271"/>
      <c r="AU52" s="244"/>
      <c r="AV52" s="244"/>
      <c r="AW52" s="244"/>
      <c r="AX52" s="244"/>
      <c r="AY52" s="244"/>
      <c r="AZ52" s="244"/>
      <c r="BA52" s="244"/>
      <c r="BB52" s="244"/>
      <c r="BC52" s="244"/>
      <c r="BD52" s="244"/>
      <c r="BE52" s="244"/>
      <c r="BF52" s="244"/>
      <c r="BG52" s="244"/>
      <c r="BH52" s="244"/>
      <c r="BI52" s="244"/>
      <c r="BJ52" s="244"/>
      <c r="BK52" s="244"/>
      <c r="BL52" s="244"/>
      <c r="BM52" s="244"/>
      <c r="BN52" s="244"/>
      <c r="BO52" s="244"/>
      <c r="BP52" s="244"/>
      <c r="BQ52" s="244"/>
      <c r="BR52" s="244"/>
      <c r="BS52" s="244"/>
      <c r="BT52" s="244"/>
      <c r="BU52" s="244"/>
      <c r="BV52" s="244"/>
      <c r="BW52" s="244"/>
      <c r="BX52" s="244"/>
      <c r="BY52" s="244"/>
      <c r="BZ52" s="244"/>
      <c r="CA52" s="244"/>
      <c r="CB52" s="244"/>
      <c r="CC52" s="244"/>
      <c r="CD52" s="244"/>
      <c r="CE52" s="244"/>
      <c r="CF52" s="244"/>
    </row>
    <row r="53" ht="0" hidden="1" customHeight="1">
      <c r="C53" s="114"/>
      <c r="D53" s="118"/>
      <c r="E53" s="118"/>
      <c r="F53" s="118"/>
      <c r="G53" s="118"/>
      <c r="H53" s="118"/>
      <c r="I53" s="712"/>
      <c r="J53" s="712"/>
      <c r="K53" s="712"/>
      <c r="L53" s="712"/>
      <c r="M53" s="712"/>
      <c r="N53" s="712"/>
      <c r="O53" s="113"/>
      <c r="AP53" s="213"/>
      <c r="AQ53" s="213"/>
      <c r="AR53" s="213"/>
      <c r="AS53" s="271"/>
      <c r="AT53" s="271"/>
      <c r="AU53" s="244"/>
      <c r="AV53" s="244"/>
      <c r="AW53" s="244"/>
      <c r="AX53" s="244"/>
      <c r="AY53" s="244"/>
      <c r="AZ53" s="244"/>
      <c r="BA53" s="244"/>
      <c r="BB53" s="244"/>
      <c r="BC53" s="244"/>
      <c r="BD53" s="244"/>
      <c r="BE53" s="244"/>
      <c r="BF53" s="244"/>
      <c r="BG53" s="244"/>
      <c r="BH53" s="244"/>
      <c r="BI53" s="244"/>
      <c r="BJ53" s="244"/>
      <c r="BK53" s="244"/>
      <c r="BL53" s="244"/>
      <c r="BM53" s="244"/>
      <c r="BN53" s="244"/>
      <c r="BO53" s="244"/>
      <c r="BP53" s="244"/>
      <c r="BQ53" s="244"/>
      <c r="BR53" s="244"/>
      <c r="BS53" s="244"/>
      <c r="BT53" s="244"/>
      <c r="BU53" s="244"/>
      <c r="BV53" s="244"/>
      <c r="BW53" s="244"/>
      <c r="BX53" s="244"/>
      <c r="BY53" s="244"/>
      <c r="BZ53" s="244"/>
      <c r="CA53" s="244"/>
      <c r="CB53" s="244"/>
      <c r="CC53" s="244"/>
      <c r="CD53" s="244"/>
      <c r="CE53" s="244"/>
      <c r="CF53" s="244"/>
    </row>
    <row r="54" ht="0" hidden="1" customHeight="1">
      <c r="C54" s="114"/>
      <c r="D54" s="118"/>
      <c r="E54" s="118"/>
      <c r="F54" s="118"/>
      <c r="G54" s="118"/>
      <c r="H54" s="118"/>
      <c r="I54" s="712"/>
      <c r="J54" s="712"/>
      <c r="K54" s="712"/>
      <c r="L54" s="712"/>
      <c r="M54" s="712"/>
      <c r="N54" s="712"/>
      <c r="O54" s="113"/>
      <c r="AP54" s="213"/>
      <c r="AQ54" s="213"/>
      <c r="AR54" s="213"/>
      <c r="AS54" s="271"/>
      <c r="AT54" s="271"/>
      <c r="AU54" s="244"/>
      <c r="AV54" s="244"/>
      <c r="AW54" s="244"/>
      <c r="AX54" s="244"/>
      <c r="AY54" s="244"/>
      <c r="AZ54" s="244"/>
      <c r="BA54" s="244"/>
      <c r="BB54" s="244"/>
      <c r="BC54" s="244"/>
      <c r="BD54" s="244"/>
      <c r="BE54" s="244"/>
      <c r="BF54" s="244"/>
      <c r="BG54" s="244"/>
      <c r="BH54" s="244"/>
      <c r="BI54" s="244"/>
      <c r="BJ54" s="244"/>
      <c r="BK54" s="244"/>
      <c r="BL54" s="244"/>
      <c r="BM54" s="244"/>
      <c r="BN54" s="244"/>
      <c r="BO54" s="244"/>
      <c r="BP54" s="244"/>
      <c r="BQ54" s="244"/>
      <c r="BR54" s="244"/>
      <c r="BS54" s="244"/>
      <c r="BT54" s="244"/>
      <c r="BU54" s="244"/>
      <c r="BV54" s="244"/>
      <c r="BW54" s="244"/>
      <c r="BX54" s="244"/>
      <c r="BY54" s="244"/>
      <c r="BZ54" s="244"/>
      <c r="CA54" s="244"/>
      <c r="CB54" s="244"/>
      <c r="CC54" s="244"/>
      <c r="CD54" s="244"/>
      <c r="CE54" s="244"/>
      <c r="CF54" s="244"/>
    </row>
    <row r="55" ht="0" hidden="1" customHeight="1">
      <c r="C55" s="114"/>
      <c r="D55" s="118"/>
      <c r="E55" s="118"/>
      <c r="F55" s="118"/>
      <c r="G55" s="118"/>
      <c r="H55" s="118"/>
      <c r="I55" s="712"/>
      <c r="J55" s="712"/>
      <c r="K55" s="712"/>
      <c r="L55" s="712"/>
      <c r="M55" s="712"/>
      <c r="N55" s="712"/>
      <c r="O55" s="113"/>
      <c r="AP55" s="213"/>
      <c r="AQ55" s="213"/>
      <c r="AR55" s="213"/>
      <c r="AS55" s="271"/>
      <c r="AT55" s="271"/>
      <c r="AU55" s="244"/>
      <c r="AV55" s="244"/>
      <c r="AW55" s="244"/>
      <c r="AX55" s="244"/>
      <c r="AY55" s="244"/>
      <c r="AZ55" s="244"/>
      <c r="BA55" s="244"/>
      <c r="BB55" s="244"/>
      <c r="BC55" s="244"/>
      <c r="BD55" s="244"/>
      <c r="BE55" s="244"/>
      <c r="BF55" s="244"/>
      <c r="BG55" s="244"/>
      <c r="BH55" s="244"/>
      <c r="BI55" s="244"/>
      <c r="BJ55" s="244"/>
      <c r="BK55" s="244"/>
      <c r="BL55" s="244"/>
      <c r="BM55" s="244"/>
      <c r="BN55" s="244"/>
      <c r="BO55" s="244"/>
      <c r="BP55" s="244"/>
      <c r="BQ55" s="244"/>
      <c r="BR55" s="244"/>
      <c r="BS55" s="244"/>
      <c r="BT55" s="244"/>
      <c r="BU55" s="244"/>
      <c r="BV55" s="244"/>
      <c r="BW55" s="244"/>
      <c r="BX55" s="244"/>
      <c r="BY55" s="244"/>
      <c r="BZ55" s="244"/>
      <c r="CA55" s="244"/>
      <c r="CB55" s="244"/>
      <c r="CC55" s="244"/>
      <c r="CD55" s="244"/>
      <c r="CE55" s="244"/>
      <c r="CF55" s="244"/>
    </row>
    <row r="56" ht="0" hidden="1" customHeight="1">
      <c r="C56" s="114"/>
      <c r="D56" s="118"/>
      <c r="E56" s="118"/>
      <c r="F56" s="118"/>
      <c r="G56" s="118"/>
      <c r="H56" s="118"/>
      <c r="I56" s="712"/>
      <c r="J56" s="712"/>
      <c r="K56" s="712"/>
      <c r="L56" s="712"/>
      <c r="M56" s="712"/>
      <c r="N56" s="712"/>
      <c r="O56" s="113"/>
      <c r="AP56" s="213"/>
      <c r="AQ56" s="213"/>
      <c r="AR56" s="213"/>
      <c r="AS56" s="271"/>
      <c r="AT56" s="271"/>
      <c r="AU56" s="244"/>
      <c r="AV56" s="244"/>
      <c r="AW56" s="244"/>
      <c r="AX56" s="244"/>
      <c r="AY56" s="244"/>
      <c r="AZ56" s="244"/>
      <c r="BA56" s="244"/>
      <c r="BB56" s="244"/>
      <c r="BC56" s="244"/>
      <c r="BD56" s="244"/>
      <c r="BE56" s="244"/>
      <c r="BF56" s="244"/>
      <c r="BG56" s="244"/>
      <c r="BH56" s="244"/>
      <c r="BI56" s="244"/>
      <c r="BJ56" s="244"/>
      <c r="BK56" s="244"/>
      <c r="BL56" s="244"/>
      <c r="BM56" s="244"/>
      <c r="BN56" s="244"/>
      <c r="BO56" s="244"/>
      <c r="BP56" s="244"/>
      <c r="BQ56" s="244"/>
      <c r="BR56" s="244"/>
      <c r="BS56" s="244"/>
      <c r="BT56" s="244"/>
      <c r="BU56" s="244"/>
      <c r="BV56" s="244"/>
      <c r="BW56" s="244"/>
      <c r="BX56" s="244"/>
      <c r="BY56" s="244"/>
      <c r="BZ56" s="244"/>
      <c r="CA56" s="244"/>
      <c r="CB56" s="244"/>
      <c r="CC56" s="244"/>
      <c r="CD56" s="244"/>
      <c r="CE56" s="244"/>
      <c r="CF56" s="244"/>
    </row>
    <row r="57" ht="0" hidden="1" customHeight="1">
      <c r="C57" s="114"/>
      <c r="D57" s="118"/>
      <c r="E57" s="118"/>
      <c r="F57" s="118"/>
      <c r="G57" s="118"/>
      <c r="H57" s="118"/>
      <c r="I57" s="712"/>
      <c r="J57" s="712"/>
      <c r="K57" s="712"/>
      <c r="L57" s="712"/>
      <c r="M57" s="712"/>
      <c r="N57" s="712"/>
      <c r="O57" s="113"/>
      <c r="AP57" s="213"/>
      <c r="AQ57" s="213"/>
      <c r="AR57" s="213"/>
      <c r="AS57" s="271"/>
      <c r="AT57" s="271"/>
      <c r="AU57" s="244"/>
      <c r="AV57" s="244"/>
      <c r="AW57" s="244"/>
      <c r="AX57" s="244"/>
      <c r="AY57" s="244"/>
      <c r="AZ57" s="244"/>
      <c r="BA57" s="244"/>
      <c r="BB57" s="244"/>
      <c r="BC57" s="244"/>
      <c r="BD57" s="244"/>
      <c r="BE57" s="244"/>
      <c r="BF57" s="244"/>
      <c r="BG57" s="244"/>
      <c r="BH57" s="244"/>
      <c r="BI57" s="244"/>
      <c r="BJ57" s="244"/>
      <c r="BK57" s="244"/>
      <c r="BL57" s="244"/>
      <c r="BM57" s="244"/>
      <c r="BN57" s="244"/>
      <c r="BO57" s="244"/>
      <c r="BP57" s="244"/>
      <c r="BQ57" s="244"/>
      <c r="BR57" s="244"/>
      <c r="BS57" s="244"/>
      <c r="BT57" s="244"/>
      <c r="BU57" s="244"/>
      <c r="BV57" s="244"/>
      <c r="BW57" s="244"/>
      <c r="BX57" s="244"/>
      <c r="BY57" s="244"/>
      <c r="BZ57" s="244"/>
      <c r="CA57" s="244"/>
      <c r="CB57" s="244"/>
      <c r="CC57" s="244"/>
      <c r="CD57" s="244"/>
      <c r="CE57" s="244"/>
      <c r="CF57" s="244"/>
    </row>
    <row r="58" ht="0" hidden="1" customHeight="1">
      <c r="C58" s="114"/>
      <c r="D58" s="118"/>
      <c r="E58" s="118"/>
      <c r="F58" s="118"/>
      <c r="G58" s="118"/>
      <c r="H58" s="118"/>
      <c r="I58" s="712"/>
      <c r="J58" s="712"/>
      <c r="K58" s="712"/>
      <c r="L58" s="712"/>
      <c r="M58" s="712"/>
      <c r="N58" s="712"/>
      <c r="O58" s="113"/>
      <c r="AP58" s="213"/>
      <c r="AQ58" s="213"/>
      <c r="AR58" s="213"/>
      <c r="AS58" s="271"/>
      <c r="AT58" s="271"/>
      <c r="AU58" s="244"/>
      <c r="AV58" s="244"/>
      <c r="AW58" s="244"/>
      <c r="AX58" s="244"/>
      <c r="AY58" s="244"/>
      <c r="AZ58" s="244"/>
      <c r="BA58" s="244"/>
      <c r="BB58" s="244"/>
      <c r="BC58" s="244"/>
      <c r="BD58" s="244"/>
      <c r="BE58" s="244"/>
      <c r="BF58" s="244"/>
      <c r="BG58" s="244"/>
      <c r="BH58" s="244"/>
      <c r="BI58" s="244"/>
      <c r="BJ58" s="244"/>
      <c r="BK58" s="244"/>
      <c r="BL58" s="244"/>
      <c r="BM58" s="244"/>
      <c r="BN58" s="244"/>
      <c r="BO58" s="244"/>
      <c r="BP58" s="244"/>
      <c r="BQ58" s="244"/>
      <c r="BR58" s="244"/>
      <c r="BS58" s="244"/>
      <c r="BT58" s="244"/>
      <c r="BU58" s="244"/>
      <c r="BV58" s="244"/>
      <c r="BW58" s="244"/>
      <c r="BX58" s="244"/>
      <c r="BY58" s="244"/>
      <c r="BZ58" s="244"/>
      <c r="CA58" s="244"/>
      <c r="CB58" s="244"/>
      <c r="CC58" s="244"/>
      <c r="CD58" s="244"/>
      <c r="CE58" s="244"/>
      <c r="CF58" s="244"/>
    </row>
    <row r="59" ht="0" hidden="1" customHeight="1">
      <c r="C59" s="114"/>
      <c r="D59" s="118"/>
      <c r="E59" s="118"/>
      <c r="F59" s="118"/>
      <c r="G59" s="118"/>
      <c r="H59" s="118"/>
      <c r="I59" s="712"/>
      <c r="J59" s="712"/>
      <c r="K59" s="712"/>
      <c r="L59" s="712"/>
      <c r="M59" s="712"/>
      <c r="N59" s="712"/>
      <c r="O59" s="113"/>
      <c r="AP59" s="213"/>
      <c r="AQ59" s="213"/>
      <c r="AR59" s="213"/>
      <c r="AS59" s="271"/>
      <c r="AT59" s="271"/>
      <c r="AU59" s="244"/>
      <c r="AV59" s="244"/>
      <c r="AW59" s="244"/>
      <c r="AX59" s="244"/>
      <c r="AY59" s="244"/>
      <c r="AZ59" s="244"/>
      <c r="BA59" s="244"/>
      <c r="BB59" s="244"/>
      <c r="BC59" s="244"/>
      <c r="BD59" s="244"/>
      <c r="BE59" s="244"/>
      <c r="BF59" s="244"/>
      <c r="BG59" s="244"/>
      <c r="BH59" s="244"/>
      <c r="BI59" s="244"/>
      <c r="BJ59" s="244"/>
      <c r="BK59" s="244"/>
      <c r="BL59" s="244"/>
      <c r="BM59" s="244"/>
      <c r="BN59" s="244"/>
      <c r="BO59" s="244"/>
      <c r="BP59" s="244"/>
      <c r="BQ59" s="244"/>
      <c r="BR59" s="244"/>
      <c r="BS59" s="244"/>
      <c r="BT59" s="244"/>
      <c r="BU59" s="244"/>
      <c r="BV59" s="244"/>
      <c r="BW59" s="244"/>
      <c r="BX59" s="244"/>
      <c r="BY59" s="244"/>
      <c r="BZ59" s="244"/>
      <c r="CA59" s="244"/>
      <c r="CB59" s="244"/>
      <c r="CC59" s="244"/>
      <c r="CD59" s="244"/>
      <c r="CE59" s="244"/>
      <c r="CF59" s="244"/>
    </row>
    <row r="60" ht="0" hidden="1" customHeight="1">
      <c r="C60" s="114"/>
      <c r="D60" s="118"/>
      <c r="E60" s="118"/>
      <c r="F60" s="118"/>
      <c r="G60" s="118"/>
      <c r="H60" s="118"/>
      <c r="I60" s="712"/>
      <c r="J60" s="712"/>
      <c r="K60" s="712"/>
      <c r="L60" s="712"/>
      <c r="M60" s="712"/>
      <c r="N60" s="712"/>
      <c r="O60" s="113"/>
      <c r="AP60" s="213"/>
      <c r="AQ60" s="213"/>
      <c r="AR60" s="213"/>
      <c r="AS60" s="271"/>
      <c r="AT60" s="271"/>
      <c r="AU60" s="244"/>
      <c r="AV60" s="244"/>
      <c r="AW60" s="244"/>
      <c r="AX60" s="244"/>
      <c r="AY60" s="244"/>
      <c r="AZ60" s="244"/>
      <c r="BA60" s="244"/>
      <c r="BB60" s="244"/>
      <c r="BC60" s="244"/>
      <c r="BD60" s="244"/>
      <c r="BE60" s="244"/>
      <c r="BF60" s="244"/>
      <c r="BG60" s="244"/>
      <c r="BH60" s="244"/>
      <c r="BI60" s="244"/>
      <c r="BJ60" s="244"/>
      <c r="BK60" s="244"/>
      <c r="BL60" s="244"/>
      <c r="BM60" s="244"/>
      <c r="BN60" s="244"/>
      <c r="BO60" s="244"/>
      <c r="BP60" s="244"/>
      <c r="BQ60" s="244"/>
      <c r="BR60" s="244"/>
      <c r="BS60" s="244"/>
      <c r="BT60" s="244"/>
      <c r="BU60" s="244"/>
      <c r="BV60" s="244"/>
      <c r="BW60" s="244"/>
      <c r="BX60" s="244"/>
      <c r="BY60" s="244"/>
      <c r="BZ60" s="244"/>
      <c r="CA60" s="244"/>
      <c r="CB60" s="244"/>
      <c r="CC60" s="244"/>
      <c r="CD60" s="244"/>
      <c r="CE60" s="244"/>
      <c r="CF60" s="244"/>
    </row>
    <row r="61" ht="0" hidden="1" customHeight="1">
      <c r="C61" s="114"/>
      <c r="D61" s="118"/>
      <c r="E61" s="118"/>
      <c r="F61" s="118"/>
      <c r="G61" s="118"/>
      <c r="H61" s="118"/>
      <c r="I61" s="712"/>
      <c r="J61" s="712"/>
      <c r="K61" s="712"/>
      <c r="L61" s="712"/>
      <c r="M61" s="712"/>
      <c r="N61" s="712"/>
      <c r="O61" s="113"/>
      <c r="AP61" s="213"/>
      <c r="AQ61" s="213"/>
      <c r="AR61" s="213"/>
      <c r="AS61" s="271"/>
      <c r="AT61" s="271"/>
      <c r="AU61" s="244"/>
      <c r="AV61" s="244"/>
      <c r="AW61" s="244"/>
      <c r="AX61" s="244"/>
      <c r="AY61" s="244"/>
      <c r="AZ61" s="244"/>
      <c r="BA61" s="244"/>
      <c r="BB61" s="244"/>
      <c r="BC61" s="244"/>
      <c r="BD61" s="244"/>
      <c r="BE61" s="244"/>
      <c r="BF61" s="244"/>
      <c r="BG61" s="244"/>
      <c r="BH61" s="244"/>
      <c r="BI61" s="244"/>
      <c r="BJ61" s="244"/>
      <c r="BK61" s="244"/>
      <c r="BL61" s="244"/>
      <c r="BM61" s="244"/>
      <c r="BN61" s="244"/>
      <c r="BO61" s="244"/>
      <c r="BP61" s="244"/>
      <c r="BQ61" s="244"/>
      <c r="BR61" s="244"/>
      <c r="BS61" s="244"/>
      <c r="BT61" s="244"/>
      <c r="BU61" s="244"/>
      <c r="BV61" s="244"/>
      <c r="BW61" s="244"/>
      <c r="BX61" s="244"/>
      <c r="BY61" s="244"/>
      <c r="BZ61" s="244"/>
      <c r="CA61" s="244"/>
      <c r="CB61" s="244"/>
      <c r="CC61" s="244"/>
      <c r="CD61" s="244"/>
      <c r="CE61" s="244"/>
      <c r="CF61" s="244"/>
    </row>
    <row r="62" ht="0" hidden="1" customHeight="1">
      <c r="C62" s="114"/>
      <c r="D62" s="118"/>
      <c r="E62" s="118"/>
      <c r="F62" s="118"/>
      <c r="G62" s="118"/>
      <c r="H62" s="118"/>
      <c r="I62" s="712"/>
      <c r="J62" s="712"/>
      <c r="K62" s="712"/>
      <c r="L62" s="712"/>
      <c r="M62" s="712"/>
      <c r="N62" s="712"/>
      <c r="O62" s="113"/>
      <c r="AP62" s="213"/>
      <c r="AQ62" s="213"/>
      <c r="AR62" s="213"/>
      <c r="AS62" s="271"/>
      <c r="AT62" s="271"/>
      <c r="AU62" s="244"/>
      <c r="AV62" s="244"/>
      <c r="AW62" s="244"/>
      <c r="AX62" s="244"/>
      <c r="AY62" s="244"/>
      <c r="AZ62" s="244"/>
      <c r="BA62" s="244"/>
      <c r="BB62" s="244"/>
      <c r="BC62" s="244"/>
      <c r="BD62" s="244"/>
      <c r="BE62" s="244"/>
      <c r="BF62" s="244"/>
      <c r="BG62" s="244"/>
      <c r="BH62" s="244"/>
      <c r="BI62" s="244"/>
      <c r="BJ62" s="244"/>
      <c r="BK62" s="244"/>
      <c r="BL62" s="244"/>
      <c r="BM62" s="244"/>
      <c r="BN62" s="244"/>
      <c r="BO62" s="244"/>
      <c r="BP62" s="244"/>
      <c r="BQ62" s="244"/>
      <c r="BR62" s="244"/>
      <c r="BS62" s="244"/>
      <c r="BT62" s="244"/>
      <c r="BU62" s="244"/>
      <c r="BV62" s="244"/>
      <c r="BW62" s="244"/>
      <c r="BX62" s="244"/>
      <c r="BY62" s="244"/>
      <c r="BZ62" s="244"/>
      <c r="CA62" s="244"/>
      <c r="CB62" s="244"/>
      <c r="CC62" s="244"/>
      <c r="CD62" s="244"/>
      <c r="CE62" s="244"/>
      <c r="CF62" s="244"/>
    </row>
    <row r="63" ht="0" hidden="1" customHeight="1">
      <c r="C63" s="114"/>
      <c r="D63" s="118"/>
      <c r="E63" s="118"/>
      <c r="F63" s="118"/>
      <c r="G63" s="118"/>
      <c r="H63" s="118"/>
      <c r="I63" s="712"/>
      <c r="J63" s="712"/>
      <c r="K63" s="712"/>
      <c r="L63" s="712"/>
      <c r="M63" s="712"/>
      <c r="N63" s="712"/>
      <c r="O63" s="113"/>
      <c r="AP63" s="213"/>
      <c r="AQ63" s="213"/>
      <c r="AR63" s="213"/>
      <c r="AS63" s="271"/>
      <c r="AT63" s="271"/>
      <c r="AU63" s="244"/>
      <c r="AV63" s="244"/>
      <c r="AW63" s="244"/>
      <c r="AX63" s="244"/>
      <c r="AY63" s="244"/>
      <c r="AZ63" s="244"/>
      <c r="BA63" s="244"/>
      <c r="BB63" s="244"/>
      <c r="BC63" s="244"/>
      <c r="BD63" s="244"/>
      <c r="BE63" s="244"/>
      <c r="BF63" s="244"/>
      <c r="BG63" s="244"/>
      <c r="BH63" s="244"/>
      <c r="BI63" s="244"/>
      <c r="BJ63" s="244"/>
      <c r="BK63" s="244"/>
      <c r="BL63" s="244"/>
      <c r="BM63" s="244"/>
      <c r="BN63" s="244"/>
      <c r="BO63" s="244"/>
      <c r="BP63" s="244"/>
      <c r="BQ63" s="244"/>
      <c r="BR63" s="244"/>
      <c r="BS63" s="244"/>
      <c r="BT63" s="244"/>
      <c r="BU63" s="244"/>
      <c r="BV63" s="244"/>
      <c r="BW63" s="244"/>
      <c r="BX63" s="244"/>
      <c r="BY63" s="244"/>
      <c r="BZ63" s="244"/>
      <c r="CA63" s="244"/>
      <c r="CB63" s="244"/>
      <c r="CC63" s="244"/>
      <c r="CD63" s="244"/>
      <c r="CE63" s="244"/>
      <c r="CF63" s="244"/>
    </row>
    <row r="64" ht="0" hidden="1" customHeight="1">
      <c r="C64" s="114"/>
      <c r="D64" s="118"/>
      <c r="E64" s="118"/>
      <c r="F64" s="118"/>
      <c r="G64" s="118"/>
      <c r="H64" s="118"/>
      <c r="I64" s="712"/>
      <c r="J64" s="712"/>
      <c r="K64" s="712"/>
      <c r="L64" s="712"/>
      <c r="M64" s="712"/>
      <c r="N64" s="712"/>
      <c r="O64" s="113"/>
      <c r="AP64" s="213"/>
      <c r="AQ64" s="213"/>
      <c r="AR64" s="213"/>
      <c r="AS64" s="271"/>
      <c r="AT64" s="271"/>
      <c r="AU64" s="244"/>
      <c r="AV64" s="244"/>
      <c r="AW64" s="244"/>
      <c r="AX64" s="244"/>
      <c r="AY64" s="244"/>
      <c r="AZ64" s="244"/>
      <c r="BA64" s="244"/>
      <c r="BB64" s="244"/>
      <c r="BC64" s="244"/>
      <c r="BD64" s="244"/>
      <c r="BE64" s="244"/>
      <c r="BF64" s="244"/>
      <c r="BG64" s="244"/>
      <c r="BH64" s="244"/>
      <c r="BI64" s="244"/>
      <c r="BJ64" s="244"/>
      <c r="BK64" s="244"/>
      <c r="BL64" s="244"/>
      <c r="BM64" s="244"/>
      <c r="BN64" s="244"/>
      <c r="BO64" s="244"/>
      <c r="BP64" s="244"/>
      <c r="BQ64" s="244"/>
      <c r="BR64" s="244"/>
      <c r="BS64" s="244"/>
      <c r="BT64" s="244"/>
      <c r="BU64" s="244"/>
      <c r="BV64" s="244"/>
      <c r="BW64" s="244"/>
      <c r="BX64" s="244"/>
      <c r="BY64" s="244"/>
      <c r="BZ64" s="244"/>
      <c r="CA64" s="244"/>
      <c r="CB64" s="244"/>
      <c r="CC64" s="244"/>
      <c r="CD64" s="244"/>
      <c r="CE64" s="244"/>
      <c r="CF64" s="244"/>
    </row>
    <row r="65" ht="0" hidden="1" customHeight="1">
      <c r="C65" s="114"/>
      <c r="D65" s="118"/>
      <c r="E65" s="118"/>
      <c r="F65" s="118"/>
      <c r="G65" s="118"/>
      <c r="H65" s="118"/>
      <c r="I65" s="712"/>
      <c r="J65" s="712"/>
      <c r="K65" s="712"/>
      <c r="L65" s="712"/>
      <c r="M65" s="712"/>
      <c r="N65" s="712"/>
      <c r="O65" s="113"/>
      <c r="AP65" s="213"/>
      <c r="AQ65" s="213"/>
      <c r="AR65" s="213"/>
      <c r="AS65" s="271"/>
      <c r="AT65" s="271"/>
      <c r="AU65" s="244"/>
      <c r="AV65" s="244"/>
      <c r="AW65" s="244"/>
      <c r="AX65" s="244"/>
      <c r="AY65" s="244"/>
      <c r="AZ65" s="244"/>
      <c r="BA65" s="244"/>
      <c r="BB65" s="244"/>
      <c r="BC65" s="244"/>
      <c r="BD65" s="244"/>
      <c r="BE65" s="244"/>
      <c r="BF65" s="244"/>
      <c r="BG65" s="244"/>
      <c r="BH65" s="244"/>
      <c r="BI65" s="244"/>
      <c r="BJ65" s="244"/>
      <c r="BK65" s="244"/>
      <c r="BL65" s="244"/>
      <c r="BM65" s="244"/>
      <c r="BN65" s="244"/>
      <c r="BO65" s="244"/>
      <c r="BP65" s="244"/>
      <c r="BQ65" s="244"/>
      <c r="BR65" s="244"/>
      <c r="BS65" s="244"/>
      <c r="BT65" s="244"/>
      <c r="BU65" s="244"/>
      <c r="BV65" s="244"/>
      <c r="BW65" s="244"/>
      <c r="BX65" s="244"/>
      <c r="BY65" s="244"/>
      <c r="BZ65" s="244"/>
      <c r="CA65" s="244"/>
      <c r="CB65" s="244"/>
      <c r="CC65" s="244"/>
      <c r="CD65" s="244"/>
      <c r="CE65" s="244"/>
      <c r="CF65" s="244"/>
    </row>
    <row r="66" ht="0" hidden="1" customHeight="1">
      <c r="C66" s="114"/>
      <c r="D66" s="118"/>
      <c r="E66" s="118"/>
      <c r="F66" s="118"/>
      <c r="G66" s="118"/>
      <c r="H66" s="118"/>
      <c r="I66" s="712"/>
      <c r="J66" s="712"/>
      <c r="K66" s="712"/>
      <c r="L66" s="712"/>
      <c r="M66" s="712"/>
      <c r="N66" s="712"/>
      <c r="O66" s="113"/>
      <c r="AP66" s="213"/>
      <c r="AQ66" s="213"/>
      <c r="AR66" s="213"/>
      <c r="AS66" s="271"/>
      <c r="AT66" s="271"/>
      <c r="AU66" s="244"/>
      <c r="AV66" s="244"/>
      <c r="AW66" s="244"/>
      <c r="AX66" s="244"/>
      <c r="AY66" s="244"/>
      <c r="AZ66" s="244"/>
      <c r="BA66" s="244"/>
      <c r="BB66" s="244"/>
      <c r="BC66" s="244"/>
      <c r="BD66" s="244"/>
      <c r="BE66" s="244"/>
      <c r="BF66" s="244"/>
      <c r="BG66" s="244"/>
      <c r="BH66" s="244"/>
      <c r="BI66" s="244"/>
      <c r="BJ66" s="244"/>
      <c r="BK66" s="244"/>
      <c r="BL66" s="244"/>
      <c r="BM66" s="244"/>
      <c r="BN66" s="244"/>
      <c r="BO66" s="244"/>
      <c r="BP66" s="244"/>
      <c r="BQ66" s="244"/>
      <c r="BR66" s="244"/>
      <c r="BS66" s="244"/>
      <c r="BT66" s="244"/>
      <c r="BU66" s="244"/>
      <c r="BV66" s="244"/>
      <c r="BW66" s="244"/>
      <c r="BX66" s="244"/>
      <c r="BY66" s="244"/>
      <c r="BZ66" s="244"/>
      <c r="CA66" s="244"/>
      <c r="CB66" s="244"/>
      <c r="CC66" s="244"/>
      <c r="CD66" s="244"/>
      <c r="CE66" s="244"/>
      <c r="CF66" s="244"/>
    </row>
    <row r="67" ht="0" hidden="1" customHeight="1">
      <c r="C67" s="114"/>
      <c r="D67" s="118"/>
      <c r="E67" s="118"/>
      <c r="F67" s="118"/>
      <c r="G67" s="118"/>
      <c r="H67" s="118"/>
      <c r="I67" s="712"/>
      <c r="J67" s="712"/>
      <c r="K67" s="712"/>
      <c r="L67" s="712"/>
      <c r="M67" s="712"/>
      <c r="N67" s="712"/>
      <c r="O67" s="113"/>
      <c r="AP67" s="213"/>
      <c r="AQ67" s="213"/>
      <c r="AR67" s="213"/>
      <c r="AS67" s="271"/>
      <c r="AT67" s="271"/>
      <c r="AU67" s="244"/>
      <c r="AV67" s="244"/>
      <c r="AW67" s="244"/>
      <c r="AX67" s="244"/>
      <c r="AY67" s="244"/>
      <c r="AZ67" s="244"/>
      <c r="BA67" s="244"/>
      <c r="BB67" s="244"/>
      <c r="BC67" s="244"/>
      <c r="BD67" s="244"/>
      <c r="BE67" s="244"/>
      <c r="BF67" s="244"/>
      <c r="BG67" s="244"/>
      <c r="BH67" s="244"/>
      <c r="BI67" s="244"/>
      <c r="BJ67" s="244"/>
      <c r="BK67" s="244"/>
      <c r="BL67" s="244"/>
      <c r="BM67" s="244"/>
      <c r="BN67" s="244"/>
      <c r="BO67" s="244"/>
      <c r="BP67" s="244"/>
      <c r="BQ67" s="244"/>
      <c r="BR67" s="244"/>
      <c r="BS67" s="244"/>
      <c r="BT67" s="244"/>
      <c r="BU67" s="244"/>
      <c r="BV67" s="244"/>
      <c r="BW67" s="244"/>
      <c r="BX67" s="244"/>
      <c r="BY67" s="244"/>
      <c r="BZ67" s="244"/>
      <c r="CA67" s="244"/>
      <c r="CB67" s="244"/>
      <c r="CC67" s="244"/>
      <c r="CD67" s="244"/>
      <c r="CE67" s="244"/>
      <c r="CF67" s="244"/>
    </row>
    <row r="68" ht="0" hidden="1" customHeight="1">
      <c r="C68" s="114"/>
      <c r="D68" s="118"/>
      <c r="E68" s="118"/>
      <c r="F68" s="118"/>
      <c r="G68" s="118"/>
      <c r="H68" s="118"/>
      <c r="I68" s="712"/>
      <c r="J68" s="712"/>
      <c r="K68" s="712"/>
      <c r="L68" s="712"/>
      <c r="M68" s="712"/>
      <c r="N68" s="712"/>
      <c r="O68" s="113"/>
      <c r="AP68" s="213"/>
      <c r="AQ68" s="213"/>
      <c r="AR68" s="213"/>
      <c r="AS68" s="271"/>
      <c r="AT68" s="271"/>
      <c r="AU68" s="244"/>
      <c r="AV68" s="244"/>
      <c r="AW68" s="244"/>
      <c r="AX68" s="244"/>
      <c r="AY68" s="244"/>
      <c r="AZ68" s="244"/>
      <c r="BA68" s="244"/>
      <c r="BB68" s="244"/>
      <c r="BC68" s="244"/>
      <c r="BD68" s="244"/>
      <c r="BE68" s="244"/>
      <c r="BF68" s="244"/>
      <c r="BG68" s="244"/>
      <c r="BH68" s="244"/>
      <c r="BI68" s="244"/>
      <c r="BJ68" s="244"/>
      <c r="BK68" s="244"/>
      <c r="BL68" s="244"/>
      <c r="BM68" s="244"/>
      <c r="BN68" s="244"/>
      <c r="BO68" s="244"/>
      <c r="BP68" s="244"/>
      <c r="BQ68" s="244"/>
      <c r="BR68" s="244"/>
      <c r="BS68" s="244"/>
      <c r="BT68" s="244"/>
      <c r="BU68" s="244"/>
      <c r="BV68" s="244"/>
      <c r="BW68" s="244"/>
      <c r="BX68" s="244"/>
      <c r="BY68" s="244"/>
      <c r="BZ68" s="244"/>
      <c r="CA68" s="244"/>
      <c r="CB68" s="244"/>
      <c r="CC68" s="244"/>
      <c r="CD68" s="244"/>
      <c r="CE68" s="244"/>
      <c r="CF68" s="244"/>
    </row>
    <row r="69" ht="0" hidden="1" customHeight="1">
      <c r="C69" s="114"/>
      <c r="D69" s="118"/>
      <c r="E69" s="118"/>
      <c r="F69" s="118"/>
      <c r="G69" s="118"/>
      <c r="H69" s="118"/>
      <c r="I69" s="712"/>
      <c r="J69" s="712"/>
      <c r="K69" s="712"/>
      <c r="L69" s="712"/>
      <c r="M69" s="712"/>
      <c r="N69" s="712"/>
      <c r="O69" s="113"/>
      <c r="AP69" s="213"/>
      <c r="AQ69" s="213"/>
      <c r="AR69" s="213"/>
      <c r="AS69" s="271"/>
      <c r="AT69" s="271"/>
      <c r="AU69" s="244"/>
      <c r="AV69" s="244"/>
      <c r="AW69" s="244"/>
      <c r="AX69" s="244"/>
      <c r="AY69" s="244"/>
      <c r="AZ69" s="244"/>
      <c r="BA69" s="244"/>
      <c r="BB69" s="244"/>
      <c r="BC69" s="244"/>
      <c r="BD69" s="244"/>
      <c r="BE69" s="244"/>
      <c r="BF69" s="244"/>
      <c r="BG69" s="244"/>
      <c r="BH69" s="244"/>
      <c r="BI69" s="244"/>
      <c r="BJ69" s="244"/>
      <c r="BK69" s="244"/>
      <c r="BL69" s="244"/>
      <c r="BM69" s="244"/>
      <c r="BN69" s="244"/>
      <c r="BO69" s="244"/>
      <c r="BP69" s="244"/>
      <c r="BQ69" s="244"/>
      <c r="BR69" s="244"/>
      <c r="BS69" s="244"/>
      <c r="BT69" s="244"/>
      <c r="BU69" s="244"/>
      <c r="BV69" s="244"/>
      <c r="BW69" s="244"/>
      <c r="BX69" s="244"/>
      <c r="BY69" s="244"/>
      <c r="BZ69" s="244"/>
      <c r="CA69" s="244"/>
      <c r="CB69" s="244"/>
      <c r="CC69" s="244"/>
      <c r="CD69" s="244"/>
      <c r="CE69" s="244"/>
      <c r="CF69" s="244"/>
    </row>
    <row r="70" ht="0" hidden="1" customHeight="1">
      <c r="C70" s="114"/>
      <c r="D70" s="118"/>
      <c r="E70" s="118"/>
      <c r="F70" s="118"/>
      <c r="G70" s="118"/>
      <c r="H70" s="118"/>
      <c r="I70" s="712"/>
      <c r="J70" s="712"/>
      <c r="K70" s="712"/>
      <c r="L70" s="712"/>
      <c r="M70" s="712"/>
      <c r="N70" s="712"/>
      <c r="O70" s="113"/>
      <c r="AP70" s="213"/>
      <c r="AQ70" s="213"/>
      <c r="AR70" s="213"/>
      <c r="AS70" s="271"/>
      <c r="AT70" s="271"/>
      <c r="AU70" s="244"/>
      <c r="AV70" s="244"/>
      <c r="AW70" s="244"/>
      <c r="AX70" s="244"/>
      <c r="AY70" s="244"/>
      <c r="AZ70" s="244"/>
      <c r="BA70" s="244"/>
      <c r="BB70" s="244"/>
      <c r="BC70" s="244"/>
      <c r="BD70" s="244"/>
      <c r="BE70" s="244"/>
      <c r="BF70" s="244"/>
      <c r="BG70" s="244"/>
      <c r="BH70" s="244"/>
      <c r="BI70" s="244"/>
      <c r="BJ70" s="244"/>
      <c r="BK70" s="244"/>
      <c r="BL70" s="244"/>
      <c r="BM70" s="244"/>
      <c r="BN70" s="244"/>
      <c r="BO70" s="244"/>
      <c r="BP70" s="244"/>
      <c r="BQ70" s="244"/>
      <c r="BR70" s="244"/>
      <c r="BS70" s="244"/>
      <c r="BT70" s="244"/>
      <c r="BU70" s="244"/>
      <c r="BV70" s="244"/>
      <c r="BW70" s="244"/>
      <c r="BX70" s="244"/>
      <c r="BY70" s="244"/>
      <c r="BZ70" s="244"/>
      <c r="CA70" s="244"/>
      <c r="CB70" s="244"/>
      <c r="CC70" s="244"/>
      <c r="CD70" s="244"/>
      <c r="CE70" s="244"/>
      <c r="CF70" s="244"/>
    </row>
    <row r="71" ht="0" hidden="1" customHeight="1">
      <c r="C71" s="114"/>
      <c r="D71" s="118"/>
      <c r="E71" s="118"/>
      <c r="F71" s="118"/>
      <c r="G71" s="118"/>
      <c r="H71" s="118"/>
      <c r="I71" s="712"/>
      <c r="J71" s="712"/>
      <c r="K71" s="712"/>
      <c r="L71" s="712"/>
      <c r="M71" s="712"/>
      <c r="N71" s="712"/>
      <c r="O71" s="113"/>
      <c r="AP71" s="213"/>
      <c r="AQ71" s="213"/>
      <c r="AR71" s="213"/>
      <c r="AS71" s="271"/>
      <c r="AT71" s="271"/>
      <c r="AU71" s="244"/>
      <c r="AV71" s="244"/>
      <c r="AW71" s="244"/>
      <c r="AX71" s="244"/>
      <c r="AY71" s="244"/>
      <c r="AZ71" s="244"/>
      <c r="BA71" s="244"/>
      <c r="BB71" s="244"/>
      <c r="BC71" s="244"/>
      <c r="BD71" s="244"/>
      <c r="BE71" s="244"/>
      <c r="BF71" s="244"/>
      <c r="BG71" s="244"/>
      <c r="BH71" s="244"/>
      <c r="BI71" s="244"/>
      <c r="BJ71" s="244"/>
      <c r="BK71" s="244"/>
      <c r="BL71" s="244"/>
      <c r="BM71" s="244"/>
      <c r="BN71" s="244"/>
      <c r="BO71" s="244"/>
      <c r="BP71" s="244"/>
      <c r="BQ71" s="244"/>
      <c r="BR71" s="244"/>
      <c r="BS71" s="244"/>
      <c r="BT71" s="244"/>
      <c r="BU71" s="244"/>
      <c r="BV71" s="244"/>
      <c r="BW71" s="244"/>
      <c r="BX71" s="244"/>
      <c r="BY71" s="244"/>
      <c r="BZ71" s="244"/>
      <c r="CA71" s="244"/>
      <c r="CB71" s="244"/>
      <c r="CC71" s="244"/>
      <c r="CD71" s="244"/>
      <c r="CE71" s="244"/>
      <c r="CF71" s="244"/>
    </row>
    <row r="72" ht="0" hidden="1" customHeight="1">
      <c r="C72" s="114"/>
      <c r="D72" s="118"/>
      <c r="E72" s="118"/>
      <c r="F72" s="118"/>
      <c r="G72" s="118"/>
      <c r="H72" s="118"/>
      <c r="I72" s="712"/>
      <c r="J72" s="712"/>
      <c r="K72" s="712"/>
      <c r="L72" s="712"/>
      <c r="M72" s="712"/>
      <c r="N72" s="712"/>
      <c r="O72" s="113"/>
      <c r="AP72" s="213"/>
      <c r="AQ72" s="213"/>
      <c r="AR72" s="213"/>
      <c r="AS72" s="271"/>
      <c r="AT72" s="271"/>
      <c r="AU72" s="244"/>
      <c r="AV72" s="244"/>
      <c r="AW72" s="244"/>
      <c r="AX72" s="244"/>
      <c r="AY72" s="244"/>
      <c r="AZ72" s="244"/>
      <c r="BA72" s="244"/>
      <c r="BB72" s="244"/>
      <c r="BC72" s="244"/>
      <c r="BD72" s="244"/>
      <c r="BE72" s="244"/>
      <c r="BF72" s="244"/>
      <c r="BG72" s="244"/>
      <c r="BH72" s="244"/>
      <c r="BI72" s="244"/>
      <c r="BJ72" s="244"/>
      <c r="BK72" s="244"/>
      <c r="BL72" s="244"/>
      <c r="BM72" s="244"/>
      <c r="BN72" s="244"/>
      <c r="BO72" s="244"/>
      <c r="BP72" s="244"/>
      <c r="BQ72" s="244"/>
      <c r="BR72" s="244"/>
      <c r="BS72" s="244"/>
      <c r="BT72" s="244"/>
      <c r="BU72" s="244"/>
      <c r="BV72" s="244"/>
      <c r="BW72" s="244"/>
      <c r="BX72" s="244"/>
      <c r="BY72" s="244"/>
      <c r="BZ72" s="244"/>
      <c r="CA72" s="244"/>
      <c r="CB72" s="244"/>
      <c r="CC72" s="244"/>
      <c r="CD72" s="244"/>
      <c r="CE72" s="244"/>
      <c r="CF72" s="244"/>
    </row>
    <row r="73" ht="0" hidden="1" customHeight="1">
      <c r="C73" s="114"/>
      <c r="D73" s="118"/>
      <c r="E73" s="118"/>
      <c r="F73" s="118"/>
      <c r="G73" s="118"/>
      <c r="H73" s="118"/>
      <c r="I73" s="712"/>
      <c r="J73" s="712"/>
      <c r="K73" s="712"/>
      <c r="L73" s="712"/>
      <c r="M73" s="712"/>
      <c r="N73" s="712"/>
      <c r="O73" s="113"/>
      <c r="AP73" s="213"/>
      <c r="AQ73" s="213"/>
      <c r="AR73" s="213"/>
      <c r="AS73" s="271"/>
      <c r="AT73" s="271"/>
      <c r="AU73" s="244"/>
      <c r="AV73" s="244"/>
      <c r="AW73" s="244"/>
      <c r="AX73" s="244"/>
      <c r="AY73" s="244"/>
      <c r="AZ73" s="244"/>
      <c r="BA73" s="244"/>
      <c r="BB73" s="244"/>
      <c r="BC73" s="244"/>
      <c r="BD73" s="244"/>
      <c r="BE73" s="244"/>
      <c r="BF73" s="244"/>
      <c r="BG73" s="244"/>
      <c r="BH73" s="244"/>
      <c r="BI73" s="244"/>
      <c r="BJ73" s="244"/>
      <c r="BK73" s="244"/>
      <c r="BL73" s="244"/>
      <c r="BM73" s="244"/>
      <c r="BN73" s="244"/>
      <c r="BO73" s="244"/>
      <c r="BP73" s="244"/>
      <c r="BQ73" s="244"/>
      <c r="BR73" s="244"/>
      <c r="BS73" s="244"/>
      <c r="BT73" s="244"/>
      <c r="BU73" s="244"/>
      <c r="BV73" s="244"/>
      <c r="BW73" s="244"/>
      <c r="BX73" s="244"/>
      <c r="BY73" s="244"/>
      <c r="BZ73" s="244"/>
      <c r="CA73" s="244"/>
      <c r="CB73" s="244"/>
      <c r="CC73" s="244"/>
      <c r="CD73" s="244"/>
      <c r="CE73" s="244"/>
      <c r="CF73" s="244"/>
    </row>
    <row r="74" ht="0" hidden="1" customHeight="1">
      <c r="C74" s="114"/>
      <c r="D74" s="118"/>
      <c r="E74" s="118"/>
      <c r="F74" s="118"/>
      <c r="G74" s="118"/>
      <c r="H74" s="118"/>
      <c r="I74" s="712"/>
      <c r="J74" s="712"/>
      <c r="K74" s="712"/>
      <c r="L74" s="712"/>
      <c r="M74" s="712"/>
      <c r="N74" s="712"/>
      <c r="O74" s="113"/>
      <c r="AP74" s="213"/>
      <c r="AQ74" s="213"/>
      <c r="AR74" s="213"/>
      <c r="AS74" s="271"/>
      <c r="AT74" s="271"/>
      <c r="AU74" s="244"/>
      <c r="AV74" s="244"/>
      <c r="AW74" s="244"/>
      <c r="AX74" s="244"/>
      <c r="AY74" s="244"/>
      <c r="AZ74" s="244"/>
      <c r="BA74" s="244"/>
      <c r="BB74" s="244"/>
      <c r="BC74" s="244"/>
      <c r="BD74" s="244"/>
      <c r="BE74" s="244"/>
      <c r="BF74" s="244"/>
      <c r="BG74" s="244"/>
      <c r="BH74" s="244"/>
      <c r="BI74" s="244"/>
      <c r="BJ74" s="244"/>
      <c r="BK74" s="244"/>
      <c r="BL74" s="244"/>
      <c r="BM74" s="244"/>
      <c r="BN74" s="244"/>
      <c r="BO74" s="244"/>
      <c r="BP74" s="244"/>
      <c r="BQ74" s="244"/>
      <c r="BR74" s="244"/>
      <c r="BS74" s="244"/>
      <c r="BT74" s="244"/>
      <c r="BU74" s="244"/>
      <c r="BV74" s="244"/>
      <c r="BW74" s="244"/>
      <c r="BX74" s="244"/>
      <c r="BY74" s="244"/>
      <c r="BZ74" s="244"/>
      <c r="CA74" s="244"/>
      <c r="CB74" s="244"/>
      <c r="CC74" s="244"/>
      <c r="CD74" s="244"/>
      <c r="CE74" s="244"/>
      <c r="CF74" s="244"/>
    </row>
    <row r="75" ht="0" hidden="1" customHeight="1">
      <c r="C75" s="114"/>
      <c r="D75" s="118"/>
      <c r="E75" s="118"/>
      <c r="F75" s="118"/>
      <c r="G75" s="118"/>
      <c r="H75" s="118"/>
      <c r="I75" s="712"/>
      <c r="J75" s="712"/>
      <c r="K75" s="712"/>
      <c r="L75" s="712"/>
      <c r="M75" s="712"/>
      <c r="N75" s="712"/>
      <c r="O75" s="113"/>
      <c r="AP75" s="213"/>
      <c r="AQ75" s="213"/>
      <c r="AR75" s="213"/>
      <c r="AS75" s="271"/>
      <c r="AT75" s="271"/>
      <c r="AU75" s="244"/>
      <c r="AV75" s="244"/>
      <c r="AW75" s="244"/>
      <c r="AX75" s="244"/>
      <c r="AY75" s="244"/>
      <c r="AZ75" s="244"/>
      <c r="BA75" s="244"/>
      <c r="BB75" s="244"/>
      <c r="BC75" s="244"/>
      <c r="BD75" s="244"/>
      <c r="BE75" s="244"/>
      <c r="BF75" s="244"/>
      <c r="BG75" s="244"/>
      <c r="BH75" s="244"/>
      <c r="BI75" s="244"/>
      <c r="BJ75" s="244"/>
      <c r="BK75" s="244"/>
      <c r="BL75" s="244"/>
      <c r="BM75" s="244"/>
      <c r="BN75" s="244"/>
      <c r="BO75" s="244"/>
      <c r="BP75" s="244"/>
      <c r="BQ75" s="244"/>
      <c r="BR75" s="244"/>
      <c r="BS75" s="244"/>
      <c r="BT75" s="244"/>
      <c r="BU75" s="244"/>
      <c r="BV75" s="244"/>
      <c r="BW75" s="244"/>
      <c r="BX75" s="244"/>
      <c r="BY75" s="244"/>
      <c r="BZ75" s="244"/>
      <c r="CA75" s="244"/>
      <c r="CB75" s="244"/>
      <c r="CC75" s="244"/>
      <c r="CD75" s="244"/>
      <c r="CE75" s="244"/>
      <c r="CF75" s="244"/>
    </row>
    <row r="76" ht="0" hidden="1" customHeight="1">
      <c r="C76" s="114"/>
      <c r="D76" s="118"/>
      <c r="E76" s="118"/>
      <c r="F76" s="118"/>
      <c r="G76" s="118"/>
      <c r="H76" s="118"/>
      <c r="I76" s="712"/>
      <c r="J76" s="712"/>
      <c r="K76" s="712"/>
      <c r="L76" s="712"/>
      <c r="M76" s="712"/>
      <c r="N76" s="712"/>
      <c r="O76" s="113"/>
      <c r="AP76" s="213"/>
      <c r="AQ76" s="213"/>
      <c r="AR76" s="213"/>
      <c r="AS76" s="271"/>
      <c r="AT76" s="271"/>
      <c r="AU76" s="244"/>
      <c r="AV76" s="244"/>
      <c r="AW76" s="244"/>
      <c r="AX76" s="244"/>
      <c r="AY76" s="244"/>
      <c r="AZ76" s="244"/>
      <c r="BA76" s="244"/>
      <c r="BB76" s="244"/>
      <c r="BC76" s="244"/>
      <c r="BD76" s="244"/>
      <c r="BE76" s="244"/>
      <c r="BF76" s="244"/>
      <c r="BG76" s="244"/>
      <c r="BH76" s="244"/>
      <c r="BI76" s="244"/>
      <c r="BJ76" s="244"/>
      <c r="BK76" s="244"/>
      <c r="BL76" s="244"/>
      <c r="BM76" s="244"/>
      <c r="BN76" s="244"/>
      <c r="BO76" s="244"/>
      <c r="BP76" s="244"/>
      <c r="BQ76" s="244"/>
      <c r="BR76" s="244"/>
      <c r="BS76" s="244"/>
      <c r="BT76" s="244"/>
      <c r="BU76" s="244"/>
      <c r="BV76" s="244"/>
      <c r="BW76" s="244"/>
      <c r="BX76" s="244"/>
      <c r="BY76" s="244"/>
      <c r="BZ76" s="244"/>
      <c r="CA76" s="244"/>
      <c r="CB76" s="244"/>
      <c r="CC76" s="244"/>
      <c r="CD76" s="244"/>
      <c r="CE76" s="244"/>
      <c r="CF76" s="244"/>
    </row>
    <row r="77" ht="0" hidden="1" customHeight="1">
      <c r="C77" s="114"/>
      <c r="D77" s="118"/>
      <c r="E77" s="118"/>
      <c r="F77" s="118"/>
      <c r="G77" s="118"/>
      <c r="H77" s="118"/>
      <c r="I77" s="712"/>
      <c r="J77" s="712"/>
      <c r="K77" s="712"/>
      <c r="L77" s="712"/>
      <c r="M77" s="712"/>
      <c r="N77" s="712"/>
      <c r="O77" s="113"/>
      <c r="AP77" s="213"/>
      <c r="AQ77" s="213"/>
      <c r="AR77" s="213"/>
      <c r="AS77" s="271"/>
      <c r="AT77" s="271"/>
      <c r="AU77" s="244"/>
      <c r="AV77" s="244"/>
      <c r="AW77" s="244"/>
      <c r="AX77" s="244"/>
      <c r="AY77" s="244"/>
      <c r="AZ77" s="244"/>
      <c r="BA77" s="244"/>
      <c r="BB77" s="244"/>
      <c r="BC77" s="244"/>
      <c r="BD77" s="244"/>
      <c r="BE77" s="244"/>
      <c r="BF77" s="244"/>
      <c r="BG77" s="244"/>
      <c r="BH77" s="244"/>
      <c r="BI77" s="244"/>
      <c r="BJ77" s="244"/>
      <c r="BK77" s="244"/>
      <c r="BL77" s="244"/>
      <c r="BM77" s="244"/>
      <c r="BN77" s="244"/>
      <c r="BO77" s="244"/>
      <c r="BP77" s="244"/>
      <c r="BQ77" s="244"/>
      <c r="BR77" s="244"/>
      <c r="BS77" s="244"/>
      <c r="BT77" s="244"/>
      <c r="BU77" s="244"/>
      <c r="BV77" s="244"/>
      <c r="BW77" s="244"/>
      <c r="BX77" s="244"/>
      <c r="BY77" s="244"/>
      <c r="BZ77" s="244"/>
      <c r="CA77" s="244"/>
      <c r="CB77" s="244"/>
      <c r="CC77" s="244"/>
      <c r="CD77" s="244"/>
      <c r="CE77" s="244"/>
      <c r="CF77" s="244"/>
    </row>
    <row r="78" ht="0" hidden="1" customHeight="1">
      <c r="C78" s="114"/>
      <c r="D78" s="118"/>
      <c r="E78" s="118"/>
      <c r="F78" s="118"/>
      <c r="G78" s="118"/>
      <c r="H78" s="118"/>
      <c r="I78" s="712"/>
      <c r="J78" s="712"/>
      <c r="K78" s="712"/>
      <c r="L78" s="712"/>
      <c r="M78" s="712"/>
      <c r="N78" s="712"/>
      <c r="O78" s="113"/>
      <c r="AP78" s="213"/>
      <c r="AQ78" s="213"/>
      <c r="AR78" s="213"/>
      <c r="AS78" s="271"/>
      <c r="AT78" s="271"/>
      <c r="AU78" s="244"/>
      <c r="AV78" s="244"/>
      <c r="AW78" s="244"/>
      <c r="AX78" s="244"/>
      <c r="AY78" s="244"/>
      <c r="AZ78" s="244"/>
      <c r="BA78" s="244"/>
      <c r="BB78" s="244"/>
      <c r="BC78" s="244"/>
      <c r="BD78" s="244"/>
      <c r="BE78" s="244"/>
      <c r="BF78" s="244"/>
      <c r="BG78" s="244"/>
      <c r="BH78" s="244"/>
      <c r="BI78" s="244"/>
      <c r="BJ78" s="244"/>
      <c r="BK78" s="244"/>
      <c r="BL78" s="244"/>
      <c r="BM78" s="244"/>
      <c r="BN78" s="244"/>
      <c r="BO78" s="244"/>
      <c r="BP78" s="244"/>
      <c r="BQ78" s="244"/>
      <c r="BR78" s="244"/>
      <c r="BS78" s="244"/>
      <c r="BT78" s="244"/>
      <c r="BU78" s="244"/>
      <c r="BV78" s="244"/>
      <c r="BW78" s="244"/>
      <c r="BX78" s="244"/>
      <c r="BY78" s="244"/>
      <c r="BZ78" s="244"/>
      <c r="CA78" s="244"/>
      <c r="CB78" s="244"/>
      <c r="CC78" s="244"/>
      <c r="CD78" s="244"/>
      <c r="CE78" s="244"/>
      <c r="CF78" s="244"/>
    </row>
    <row r="79" ht="0" hidden="1" customHeight="1">
      <c r="C79" s="114"/>
      <c r="D79" s="118"/>
      <c r="E79" s="118"/>
      <c r="F79" s="118"/>
      <c r="G79" s="118"/>
      <c r="H79" s="118"/>
      <c r="I79" s="712"/>
      <c r="J79" s="712"/>
      <c r="K79" s="712"/>
      <c r="L79" s="712"/>
      <c r="M79" s="712"/>
      <c r="N79" s="712"/>
      <c r="O79" s="113"/>
      <c r="AP79" s="213"/>
      <c r="AQ79" s="213"/>
      <c r="AR79" s="213"/>
      <c r="AS79" s="271"/>
      <c r="AT79" s="271"/>
      <c r="AU79" s="244"/>
      <c r="AV79" s="244"/>
      <c r="AW79" s="244"/>
      <c r="AX79" s="244"/>
      <c r="AY79" s="244"/>
      <c r="AZ79" s="244"/>
      <c r="BA79" s="244"/>
      <c r="BB79" s="244"/>
      <c r="BC79" s="244"/>
      <c r="BD79" s="244"/>
      <c r="BE79" s="244"/>
      <c r="BF79" s="244"/>
      <c r="BG79" s="244"/>
      <c r="BH79" s="244"/>
      <c r="BI79" s="244"/>
      <c r="BJ79" s="244"/>
      <c r="BK79" s="244"/>
      <c r="BL79" s="244"/>
      <c r="BM79" s="244"/>
      <c r="BN79" s="244"/>
      <c r="BO79" s="244"/>
      <c r="BP79" s="244"/>
      <c r="BQ79" s="244"/>
      <c r="BR79" s="244"/>
      <c r="BS79" s="244"/>
      <c r="BT79" s="244"/>
      <c r="BU79" s="244"/>
      <c r="BV79" s="244"/>
      <c r="BW79" s="244"/>
      <c r="BX79" s="244"/>
      <c r="BY79" s="244"/>
      <c r="BZ79" s="244"/>
      <c r="CA79" s="244"/>
      <c r="CB79" s="244"/>
      <c r="CC79" s="244"/>
      <c r="CD79" s="244"/>
      <c r="CE79" s="244"/>
      <c r="CF79" s="244"/>
    </row>
    <row r="80" ht="0" hidden="1" customHeight="1">
      <c r="C80" s="114"/>
      <c r="D80" s="118"/>
      <c r="E80" s="118"/>
      <c r="F80" s="118"/>
      <c r="G80" s="118"/>
      <c r="H80" s="118"/>
      <c r="I80" s="712"/>
      <c r="J80" s="712"/>
      <c r="K80" s="712"/>
      <c r="L80" s="712"/>
      <c r="M80" s="712"/>
      <c r="N80" s="712"/>
      <c r="O80" s="113"/>
      <c r="AP80" s="213"/>
      <c r="AQ80" s="213"/>
      <c r="AR80" s="213"/>
      <c r="AS80" s="271"/>
      <c r="AT80" s="271"/>
      <c r="AU80" s="244"/>
      <c r="AV80" s="244"/>
      <c r="AW80" s="244"/>
      <c r="AX80" s="244"/>
      <c r="AY80" s="244"/>
      <c r="AZ80" s="244"/>
      <c r="BA80" s="244"/>
      <c r="BB80" s="244"/>
      <c r="BC80" s="244"/>
      <c r="BD80" s="244"/>
      <c r="BE80" s="244"/>
      <c r="BF80" s="244"/>
      <c r="BG80" s="244"/>
      <c r="BH80" s="244"/>
      <c r="BI80" s="244"/>
      <c r="BJ80" s="244"/>
      <c r="BK80" s="244"/>
      <c r="BL80" s="244"/>
      <c r="BM80" s="244"/>
      <c r="BN80" s="244"/>
      <c r="BO80" s="244"/>
      <c r="BP80" s="244"/>
      <c r="BQ80" s="244"/>
      <c r="BR80" s="244"/>
      <c r="BS80" s="244"/>
      <c r="BT80" s="244"/>
      <c r="BU80" s="244"/>
      <c r="BV80" s="244"/>
      <c r="BW80" s="244"/>
      <c r="BX80" s="244"/>
      <c r="BY80" s="244"/>
      <c r="BZ80" s="244"/>
      <c r="CA80" s="244"/>
      <c r="CB80" s="244"/>
      <c r="CC80" s="244"/>
      <c r="CD80" s="244"/>
      <c r="CE80" s="244"/>
      <c r="CF80" s="244"/>
    </row>
    <row r="81" ht="0" hidden="1" customHeight="1">
      <c r="C81" s="114"/>
      <c r="D81" s="118"/>
      <c r="E81" s="118"/>
      <c r="F81" s="118"/>
      <c r="G81" s="118"/>
      <c r="H81" s="118"/>
      <c r="I81" s="712"/>
      <c r="J81" s="712"/>
      <c r="K81" s="712"/>
      <c r="L81" s="712"/>
      <c r="M81" s="712"/>
      <c r="N81" s="712"/>
      <c r="O81" s="113"/>
      <c r="AP81" s="213"/>
      <c r="AQ81" s="213"/>
      <c r="AR81" s="213"/>
      <c r="AS81" s="271"/>
      <c r="AT81" s="271"/>
      <c r="AU81" s="244"/>
      <c r="AV81" s="244"/>
      <c r="AW81" s="244"/>
      <c r="AX81" s="244"/>
      <c r="AY81" s="244"/>
      <c r="AZ81" s="244"/>
      <c r="BA81" s="244"/>
      <c r="BB81" s="244"/>
      <c r="BC81" s="244"/>
      <c r="BD81" s="244"/>
      <c r="BE81" s="244"/>
      <c r="BF81" s="244"/>
      <c r="BG81" s="244"/>
      <c r="BH81" s="244"/>
      <c r="BI81" s="244"/>
      <c r="BJ81" s="244"/>
      <c r="BK81" s="244"/>
      <c r="BL81" s="244"/>
      <c r="BM81" s="244"/>
      <c r="BN81" s="244"/>
      <c r="BO81" s="244"/>
      <c r="BP81" s="244"/>
      <c r="BQ81" s="244"/>
      <c r="BR81" s="244"/>
      <c r="BS81" s="244"/>
      <c r="BT81" s="244"/>
      <c r="BU81" s="244"/>
      <c r="BV81" s="244"/>
      <c r="BW81" s="244"/>
      <c r="BX81" s="244"/>
      <c r="BY81" s="244"/>
      <c r="BZ81" s="244"/>
      <c r="CA81" s="244"/>
      <c r="CB81" s="244"/>
      <c r="CC81" s="244"/>
      <c r="CD81" s="244"/>
      <c r="CE81" s="244"/>
      <c r="CF81" s="244"/>
    </row>
    <row r="82" ht="0" hidden="1" customHeight="1">
      <c r="C82" s="114"/>
      <c r="D82" s="118"/>
      <c r="E82" s="118"/>
      <c r="F82" s="118"/>
      <c r="G82" s="118"/>
      <c r="H82" s="118"/>
      <c r="I82" s="712"/>
      <c r="J82" s="712"/>
      <c r="K82" s="712"/>
      <c r="L82" s="712"/>
      <c r="M82" s="712"/>
      <c r="N82" s="712"/>
      <c r="O82" s="113"/>
      <c r="AP82" s="213"/>
      <c r="AQ82" s="213"/>
      <c r="AR82" s="213"/>
      <c r="AS82" s="271"/>
      <c r="AT82" s="271"/>
      <c r="AU82" s="244"/>
      <c r="AV82" s="244"/>
      <c r="AW82" s="244"/>
      <c r="AX82" s="244"/>
      <c r="AY82" s="244"/>
      <c r="AZ82" s="244"/>
      <c r="BA82" s="244"/>
      <c r="BB82" s="244"/>
      <c r="BC82" s="244"/>
      <c r="BD82" s="244"/>
      <c r="BE82" s="244"/>
      <c r="BF82" s="244"/>
      <c r="BG82" s="244"/>
      <c r="BH82" s="244"/>
      <c r="BI82" s="244"/>
      <c r="BJ82" s="244"/>
      <c r="BK82" s="244"/>
      <c r="BL82" s="244"/>
      <c r="BM82" s="244"/>
      <c r="BN82" s="244"/>
      <c r="BO82" s="244"/>
      <c r="BP82" s="244"/>
      <c r="BQ82" s="244"/>
      <c r="BR82" s="244"/>
      <c r="BS82" s="244"/>
      <c r="BT82" s="244"/>
      <c r="BU82" s="244"/>
      <c r="BV82" s="244"/>
      <c r="BW82" s="244"/>
      <c r="BX82" s="244"/>
      <c r="BY82" s="244"/>
      <c r="BZ82" s="244"/>
      <c r="CA82" s="244"/>
      <c r="CB82" s="244"/>
      <c r="CC82" s="244"/>
      <c r="CD82" s="244"/>
      <c r="CE82" s="244"/>
      <c r="CF82" s="244"/>
    </row>
    <row r="83" ht="0" hidden="1" customHeight="1">
      <c r="C83" s="114"/>
      <c r="D83" s="118"/>
      <c r="E83" s="118"/>
      <c r="F83" s="118"/>
      <c r="G83" s="118"/>
      <c r="H83" s="118"/>
      <c r="I83" s="712"/>
      <c r="J83" s="712"/>
      <c r="K83" s="712"/>
      <c r="L83" s="712"/>
      <c r="M83" s="712"/>
      <c r="N83" s="712"/>
      <c r="O83" s="113"/>
      <c r="AP83" s="213"/>
      <c r="AQ83" s="213"/>
      <c r="AR83" s="213"/>
      <c r="AS83" s="271"/>
      <c r="AT83" s="271"/>
      <c r="AU83" s="244"/>
      <c r="AV83" s="244"/>
      <c r="AW83" s="244"/>
      <c r="AX83" s="244"/>
      <c r="AY83" s="244"/>
      <c r="AZ83" s="244"/>
      <c r="BA83" s="244"/>
      <c r="BB83" s="244"/>
      <c r="BC83" s="244"/>
      <c r="BD83" s="244"/>
      <c r="BE83" s="244"/>
      <c r="BF83" s="244"/>
      <c r="BG83" s="244"/>
      <c r="BH83" s="244"/>
      <c r="BI83" s="244"/>
      <c r="BJ83" s="244"/>
      <c r="BK83" s="244"/>
      <c r="BL83" s="244"/>
      <c r="BM83" s="244"/>
      <c r="BN83" s="244"/>
      <c r="BO83" s="244"/>
      <c r="BP83" s="244"/>
      <c r="BQ83" s="244"/>
      <c r="BR83" s="244"/>
      <c r="BS83" s="244"/>
      <c r="BT83" s="244"/>
      <c r="BU83" s="244"/>
      <c r="BV83" s="244"/>
      <c r="BW83" s="244"/>
      <c r="BX83" s="244"/>
      <c r="BY83" s="244"/>
      <c r="BZ83" s="244"/>
      <c r="CA83" s="244"/>
      <c r="CB83" s="244"/>
      <c r="CC83" s="244"/>
      <c r="CD83" s="244"/>
      <c r="CE83" s="244"/>
      <c r="CF83" s="244"/>
    </row>
    <row r="84" ht="0" hidden="1" customHeight="1">
      <c r="C84" s="114"/>
      <c r="D84" s="118"/>
      <c r="E84" s="118"/>
      <c r="F84" s="118"/>
      <c r="G84" s="118"/>
      <c r="H84" s="118"/>
      <c r="I84" s="712"/>
      <c r="J84" s="712"/>
      <c r="K84" s="712"/>
      <c r="L84" s="712"/>
      <c r="M84" s="712"/>
      <c r="N84" s="712"/>
      <c r="O84" s="113"/>
      <c r="AP84" s="213"/>
      <c r="AQ84" s="213"/>
      <c r="AR84" s="213"/>
      <c r="AS84" s="271"/>
      <c r="AT84" s="271"/>
      <c r="AU84" s="244"/>
      <c r="AV84" s="244"/>
      <c r="AW84" s="244"/>
      <c r="AX84" s="244"/>
      <c r="AY84" s="244"/>
      <c r="AZ84" s="244"/>
      <c r="BA84" s="244"/>
      <c r="BB84" s="244"/>
      <c r="BC84" s="244"/>
      <c r="BD84" s="244"/>
      <c r="BE84" s="244"/>
      <c r="BF84" s="244"/>
      <c r="BG84" s="244"/>
      <c r="BH84" s="244"/>
      <c r="BI84" s="244"/>
      <c r="BJ84" s="244"/>
      <c r="BK84" s="244"/>
      <c r="BL84" s="244"/>
      <c r="BM84" s="244"/>
      <c r="BN84" s="244"/>
      <c r="BO84" s="244"/>
      <c r="BP84" s="244"/>
      <c r="BQ84" s="244"/>
      <c r="BR84" s="244"/>
      <c r="BS84" s="244"/>
      <c r="BT84" s="244"/>
      <c r="BU84" s="244"/>
      <c r="BV84" s="244"/>
      <c r="BW84" s="244"/>
      <c r="BX84" s="244"/>
      <c r="BY84" s="244"/>
      <c r="BZ84" s="244"/>
      <c r="CA84" s="244"/>
      <c r="CB84" s="244"/>
      <c r="CC84" s="244"/>
      <c r="CD84" s="244"/>
      <c r="CE84" s="244"/>
      <c r="CF84" s="244"/>
    </row>
    <row r="85" ht="0" hidden="1" customHeight="1">
      <c r="C85" s="114"/>
      <c r="D85" s="118"/>
      <c r="E85" s="118"/>
      <c r="F85" s="118"/>
      <c r="G85" s="118"/>
      <c r="H85" s="118"/>
      <c r="I85" s="712"/>
      <c r="J85" s="712"/>
      <c r="K85" s="712"/>
      <c r="L85" s="712"/>
      <c r="M85" s="712"/>
      <c r="N85" s="712"/>
      <c r="O85" s="113"/>
      <c r="AP85" s="213"/>
      <c r="AQ85" s="213"/>
      <c r="AR85" s="213"/>
      <c r="AS85" s="271"/>
      <c r="AT85" s="271"/>
      <c r="AU85" s="244"/>
      <c r="AV85" s="244"/>
      <c r="AW85" s="244"/>
      <c r="AX85" s="244"/>
      <c r="AY85" s="244"/>
      <c r="AZ85" s="244"/>
      <c r="BA85" s="244"/>
      <c r="BB85" s="244"/>
      <c r="BC85" s="244"/>
      <c r="BD85" s="244"/>
      <c r="BE85" s="244"/>
      <c r="BF85" s="244"/>
      <c r="BG85" s="244"/>
      <c r="BH85" s="244"/>
      <c r="BI85" s="244"/>
      <c r="BJ85" s="244"/>
      <c r="BK85" s="244"/>
      <c r="BL85" s="244"/>
      <c r="BM85" s="244"/>
      <c r="BN85" s="244"/>
      <c r="BO85" s="244"/>
      <c r="BP85" s="244"/>
      <c r="BQ85" s="244"/>
      <c r="BR85" s="244"/>
      <c r="BS85" s="244"/>
      <c r="BT85" s="244"/>
      <c r="BU85" s="244"/>
      <c r="BV85" s="244"/>
      <c r="BW85" s="244"/>
      <c r="BX85" s="244"/>
      <c r="BY85" s="244"/>
      <c r="BZ85" s="244"/>
      <c r="CA85" s="244"/>
      <c r="CB85" s="244"/>
      <c r="CC85" s="244"/>
      <c r="CD85" s="244"/>
      <c r="CE85" s="244"/>
      <c r="CF85" s="244"/>
    </row>
    <row r="86" ht="0" hidden="1" customHeight="1">
      <c r="C86" s="114"/>
      <c r="D86" s="118"/>
      <c r="E86" s="118"/>
      <c r="F86" s="118"/>
      <c r="G86" s="118"/>
      <c r="H86" s="118"/>
      <c r="I86" s="712"/>
      <c r="J86" s="712"/>
      <c r="K86" s="712"/>
      <c r="L86" s="712"/>
      <c r="M86" s="712"/>
      <c r="N86" s="712"/>
      <c r="O86" s="113"/>
      <c r="AP86" s="213"/>
      <c r="AQ86" s="213"/>
      <c r="AR86" s="213"/>
      <c r="AS86" s="271"/>
      <c r="AT86" s="271"/>
      <c r="AU86" s="244"/>
      <c r="AV86" s="244"/>
      <c r="AW86" s="244"/>
      <c r="AX86" s="244"/>
      <c r="AY86" s="244"/>
      <c r="AZ86" s="244"/>
      <c r="BA86" s="244"/>
      <c r="BB86" s="244"/>
      <c r="BC86" s="244"/>
      <c r="BD86" s="244"/>
      <c r="BE86" s="244"/>
      <c r="BF86" s="244"/>
      <c r="BG86" s="244"/>
      <c r="BH86" s="244"/>
      <c r="BI86" s="244"/>
      <c r="BJ86" s="244"/>
      <c r="BK86" s="244"/>
      <c r="BL86" s="244"/>
      <c r="BM86" s="244"/>
      <c r="BN86" s="244"/>
      <c r="BO86" s="244"/>
      <c r="BP86" s="244"/>
      <c r="BQ86" s="244"/>
      <c r="BR86" s="244"/>
      <c r="BS86" s="244"/>
      <c r="BT86" s="244"/>
      <c r="BU86" s="244"/>
      <c r="BV86" s="244"/>
      <c r="BW86" s="244"/>
      <c r="BX86" s="244"/>
      <c r="BY86" s="244"/>
      <c r="BZ86" s="244"/>
      <c r="CA86" s="244"/>
      <c r="CB86" s="244"/>
      <c r="CC86" s="244"/>
      <c r="CD86" s="244"/>
      <c r="CE86" s="244"/>
      <c r="CF86" s="244"/>
    </row>
    <row r="87" ht="0" hidden="1" customHeight="1">
      <c r="C87" s="114"/>
      <c r="D87" s="118"/>
      <c r="E87" s="118"/>
      <c r="F87" s="118"/>
      <c r="G87" s="118"/>
      <c r="H87" s="118"/>
      <c r="I87" s="712"/>
      <c r="J87" s="712"/>
      <c r="K87" s="712"/>
      <c r="L87" s="712"/>
      <c r="M87" s="712"/>
      <c r="N87" s="712"/>
      <c r="O87" s="113"/>
      <c r="AP87" s="213"/>
      <c r="AQ87" s="213"/>
      <c r="AR87" s="213"/>
      <c r="AS87" s="271"/>
      <c r="AT87" s="271"/>
      <c r="AU87" s="244"/>
      <c r="AV87" s="244"/>
      <c r="AW87" s="244"/>
      <c r="AX87" s="244"/>
      <c r="AY87" s="244"/>
      <c r="AZ87" s="244"/>
      <c r="BA87" s="244"/>
      <c r="BB87" s="244"/>
      <c r="BC87" s="244"/>
      <c r="BD87" s="244"/>
      <c r="BE87" s="244"/>
      <c r="BF87" s="244"/>
      <c r="BG87" s="244"/>
      <c r="BH87" s="244"/>
      <c r="BI87" s="244"/>
      <c r="BJ87" s="244"/>
      <c r="BK87" s="244"/>
      <c r="BL87" s="244"/>
      <c r="BM87" s="244"/>
      <c r="BN87" s="244"/>
      <c r="BO87" s="244"/>
      <c r="BP87" s="244"/>
      <c r="BQ87" s="244"/>
      <c r="BR87" s="244"/>
      <c r="BS87" s="244"/>
      <c r="BT87" s="244"/>
      <c r="BU87" s="244"/>
      <c r="BV87" s="244"/>
      <c r="BW87" s="244"/>
      <c r="BX87" s="244"/>
      <c r="BY87" s="244"/>
      <c r="BZ87" s="244"/>
      <c r="CA87" s="244"/>
      <c r="CB87" s="244"/>
      <c r="CC87" s="244"/>
      <c r="CD87" s="244"/>
      <c r="CE87" s="244"/>
      <c r="CF87" s="244"/>
    </row>
    <row r="88" ht="0" hidden="1" customHeight="1">
      <c r="C88" s="114"/>
      <c r="D88" s="118"/>
      <c r="E88" s="118"/>
      <c r="F88" s="118"/>
      <c r="G88" s="118"/>
      <c r="H88" s="118"/>
      <c r="I88" s="712"/>
      <c r="J88" s="712"/>
      <c r="K88" s="712"/>
      <c r="L88" s="712"/>
      <c r="M88" s="712"/>
      <c r="N88" s="712"/>
      <c r="O88" s="113"/>
      <c r="AP88" s="213"/>
      <c r="AQ88" s="213"/>
      <c r="AR88" s="213"/>
      <c r="AS88" s="271"/>
      <c r="AT88" s="271"/>
      <c r="AU88" s="244"/>
      <c r="AV88" s="244"/>
      <c r="AW88" s="244"/>
      <c r="AX88" s="244"/>
      <c r="AY88" s="244"/>
      <c r="AZ88" s="244"/>
      <c r="BA88" s="244"/>
      <c r="BB88" s="244"/>
      <c r="BC88" s="244"/>
      <c r="BD88" s="244"/>
      <c r="BE88" s="244"/>
      <c r="BF88" s="244"/>
      <c r="BG88" s="244"/>
      <c r="BH88" s="244"/>
      <c r="BI88" s="244"/>
      <c r="BJ88" s="244"/>
      <c r="BK88" s="244"/>
      <c r="BL88" s="244"/>
      <c r="BM88" s="244"/>
      <c r="BN88" s="244"/>
      <c r="BO88" s="244"/>
      <c r="BP88" s="244"/>
      <c r="BQ88" s="244"/>
      <c r="BR88" s="244"/>
      <c r="BS88" s="244"/>
      <c r="BT88" s="244"/>
      <c r="BU88" s="244"/>
      <c r="BV88" s="244"/>
      <c r="BW88" s="244"/>
      <c r="BX88" s="244"/>
      <c r="BY88" s="244"/>
      <c r="BZ88" s="244"/>
      <c r="CA88" s="244"/>
      <c r="CB88" s="244"/>
      <c r="CC88" s="244"/>
      <c r="CD88" s="244"/>
      <c r="CE88" s="244"/>
      <c r="CF88" s="244"/>
    </row>
    <row r="89" ht="0" hidden="1" customHeight="1">
      <c r="C89" s="114"/>
      <c r="D89" s="118"/>
      <c r="E89" s="118"/>
      <c r="F89" s="118"/>
      <c r="G89" s="118"/>
      <c r="H89" s="118"/>
      <c r="I89" s="712"/>
      <c r="J89" s="712"/>
      <c r="K89" s="712"/>
      <c r="L89" s="712"/>
      <c r="M89" s="712"/>
      <c r="N89" s="712"/>
      <c r="O89" s="113"/>
      <c r="AP89" s="213"/>
      <c r="AQ89" s="213"/>
      <c r="AR89" s="213"/>
      <c r="AS89" s="271"/>
      <c r="AT89" s="271"/>
      <c r="AU89" s="244"/>
      <c r="AV89" s="244"/>
      <c r="AW89" s="244"/>
      <c r="AX89" s="244"/>
      <c r="AY89" s="244"/>
      <c r="AZ89" s="244"/>
      <c r="BA89" s="244"/>
      <c r="BB89" s="244"/>
      <c r="BC89" s="244"/>
      <c r="BD89" s="244"/>
      <c r="BE89" s="244"/>
      <c r="BF89" s="244"/>
      <c r="BG89" s="244"/>
      <c r="BH89" s="244"/>
      <c r="BI89" s="244"/>
      <c r="BJ89" s="244"/>
      <c r="BK89" s="244"/>
      <c r="BL89" s="244"/>
      <c r="BM89" s="244"/>
      <c r="BN89" s="244"/>
      <c r="BO89" s="244"/>
      <c r="BP89" s="244"/>
      <c r="BQ89" s="244"/>
      <c r="BR89" s="244"/>
      <c r="BS89" s="244"/>
      <c r="BT89" s="244"/>
      <c r="BU89" s="244"/>
      <c r="BV89" s="244"/>
      <c r="BW89" s="244"/>
      <c r="BX89" s="244"/>
      <c r="BY89" s="244"/>
      <c r="BZ89" s="244"/>
      <c r="CA89" s="244"/>
      <c r="CB89" s="244"/>
      <c r="CC89" s="244"/>
      <c r="CD89" s="244"/>
      <c r="CE89" s="244"/>
      <c r="CF89" s="244"/>
    </row>
    <row r="90" ht="0" hidden="1" customHeight="1">
      <c r="C90" s="114"/>
      <c r="D90" s="118"/>
      <c r="E90" s="118"/>
      <c r="F90" s="118"/>
      <c r="G90" s="118"/>
      <c r="H90" s="118"/>
      <c r="I90" s="712"/>
      <c r="J90" s="712"/>
      <c r="K90" s="712"/>
      <c r="L90" s="712"/>
      <c r="M90" s="712"/>
      <c r="N90" s="712"/>
      <c r="O90" s="113"/>
      <c r="AP90" s="213"/>
      <c r="AQ90" s="213"/>
      <c r="AR90" s="213"/>
      <c r="AS90" s="271"/>
      <c r="AT90" s="271"/>
      <c r="AU90" s="244"/>
      <c r="AV90" s="244"/>
      <c r="AW90" s="244"/>
      <c r="AX90" s="244"/>
      <c r="AY90" s="244"/>
      <c r="AZ90" s="244"/>
      <c r="BA90" s="244"/>
      <c r="BB90" s="244"/>
      <c r="BC90" s="244"/>
      <c r="BD90" s="244"/>
      <c r="BE90" s="244"/>
      <c r="BF90" s="244"/>
      <c r="BG90" s="244"/>
      <c r="BH90" s="244"/>
      <c r="BI90" s="244"/>
      <c r="BJ90" s="244"/>
      <c r="BK90" s="244"/>
      <c r="BL90" s="244"/>
      <c r="BM90" s="244"/>
      <c r="BN90" s="244"/>
      <c r="BO90" s="244"/>
      <c r="BP90" s="244"/>
      <c r="BQ90" s="244"/>
      <c r="BR90" s="244"/>
      <c r="BS90" s="244"/>
      <c r="BT90" s="244"/>
      <c r="BU90" s="244"/>
      <c r="BV90" s="244"/>
      <c r="BW90" s="244"/>
      <c r="BX90" s="244"/>
      <c r="BY90" s="244"/>
      <c r="BZ90" s="244"/>
      <c r="CA90" s="244"/>
      <c r="CB90" s="244"/>
      <c r="CC90" s="244"/>
      <c r="CD90" s="244"/>
      <c r="CE90" s="244"/>
      <c r="CF90" s="244"/>
    </row>
    <row r="91" ht="0" hidden="1" customHeight="1">
      <c r="C91" s="114"/>
      <c r="D91" s="118"/>
      <c r="E91" s="118"/>
      <c r="F91" s="118"/>
      <c r="G91" s="118"/>
      <c r="H91" s="118"/>
      <c r="I91" s="712"/>
      <c r="J91" s="712"/>
      <c r="K91" s="712"/>
      <c r="L91" s="712"/>
      <c r="M91" s="712"/>
      <c r="N91" s="712"/>
      <c r="O91" s="113"/>
      <c r="AP91" s="213"/>
      <c r="AQ91" s="213"/>
      <c r="AR91" s="213"/>
      <c r="AS91" s="271"/>
      <c r="AT91" s="271"/>
      <c r="AU91" s="244"/>
      <c r="AV91" s="244"/>
      <c r="AW91" s="244"/>
      <c r="AX91" s="244"/>
      <c r="AY91" s="244"/>
      <c r="AZ91" s="244"/>
      <c r="BA91" s="244"/>
      <c r="BB91" s="244"/>
      <c r="BC91" s="244"/>
      <c r="BD91" s="244"/>
      <c r="BE91" s="244"/>
      <c r="BF91" s="244"/>
      <c r="BG91" s="244"/>
      <c r="BH91" s="244"/>
      <c r="BI91" s="244"/>
      <c r="BJ91" s="244"/>
      <c r="BK91" s="244"/>
      <c r="BL91" s="244"/>
      <c r="BM91" s="244"/>
      <c r="BN91" s="244"/>
      <c r="BO91" s="244"/>
      <c r="BP91" s="244"/>
      <c r="BQ91" s="244"/>
      <c r="BR91" s="244"/>
      <c r="BS91" s="244"/>
      <c r="BT91" s="244"/>
      <c r="BU91" s="244"/>
      <c r="BV91" s="244"/>
      <c r="BW91" s="244"/>
      <c r="BX91" s="244"/>
      <c r="BY91" s="244"/>
      <c r="BZ91" s="244"/>
      <c r="CA91" s="244"/>
      <c r="CB91" s="244"/>
      <c r="CC91" s="244"/>
      <c r="CD91" s="244"/>
      <c r="CE91" s="244"/>
      <c r="CF91" s="244"/>
    </row>
    <row r="92" ht="0" hidden="1" customHeight="1">
      <c r="C92" s="114"/>
      <c r="D92" s="118"/>
      <c r="E92" s="118"/>
      <c r="F92" s="118"/>
      <c r="G92" s="118"/>
      <c r="H92" s="118"/>
      <c r="I92" s="712"/>
      <c r="J92" s="712"/>
      <c r="K92" s="712"/>
      <c r="L92" s="712"/>
      <c r="M92" s="712"/>
      <c r="N92" s="712"/>
      <c r="O92" s="113"/>
      <c r="AP92" s="213"/>
      <c r="AQ92" s="213"/>
      <c r="AR92" s="213"/>
      <c r="AS92" s="271"/>
      <c r="AT92" s="271"/>
      <c r="AU92" s="244"/>
      <c r="AV92" s="244"/>
      <c r="AW92" s="244"/>
      <c r="AX92" s="244"/>
      <c r="AY92" s="244"/>
      <c r="AZ92" s="244"/>
      <c r="BA92" s="244"/>
      <c r="BB92" s="244"/>
      <c r="BC92" s="244"/>
      <c r="BD92" s="244"/>
      <c r="BE92" s="244"/>
      <c r="BF92" s="244"/>
      <c r="BG92" s="244"/>
      <c r="BH92" s="244"/>
      <c r="BI92" s="244"/>
      <c r="BJ92" s="244"/>
      <c r="BK92" s="244"/>
      <c r="BL92" s="244"/>
      <c r="BM92" s="244"/>
      <c r="BN92" s="244"/>
      <c r="BO92" s="244"/>
      <c r="BP92" s="244"/>
      <c r="BQ92" s="244"/>
      <c r="BR92" s="244"/>
      <c r="BS92" s="244"/>
      <c r="BT92" s="244"/>
      <c r="BU92" s="244"/>
      <c r="BV92" s="244"/>
      <c r="BW92" s="244"/>
      <c r="BX92" s="244"/>
      <c r="BY92" s="244"/>
      <c r="BZ92" s="244"/>
      <c r="CA92" s="244"/>
      <c r="CB92" s="244"/>
      <c r="CC92" s="244"/>
      <c r="CD92" s="244"/>
      <c r="CE92" s="244"/>
      <c r="CF92" s="244"/>
    </row>
    <row r="93" ht="0" hidden="1" customHeight="1">
      <c r="C93" s="114"/>
      <c r="D93" s="118"/>
      <c r="E93" s="118"/>
      <c r="F93" s="118"/>
      <c r="G93" s="118"/>
      <c r="H93" s="118"/>
      <c r="I93" s="712"/>
      <c r="J93" s="712"/>
      <c r="K93" s="712"/>
      <c r="L93" s="712"/>
      <c r="M93" s="712"/>
      <c r="N93" s="712"/>
      <c r="O93" s="113"/>
      <c r="AP93" s="213"/>
      <c r="AQ93" s="213"/>
      <c r="AR93" s="213"/>
      <c r="AS93" s="271"/>
      <c r="AT93" s="271"/>
      <c r="AU93" s="244"/>
      <c r="AV93" s="244"/>
      <c r="AW93" s="244"/>
      <c r="AX93" s="244"/>
      <c r="AY93" s="244"/>
      <c r="AZ93" s="244"/>
      <c r="BA93" s="244"/>
      <c r="BB93" s="244"/>
      <c r="BC93" s="244"/>
      <c r="BD93" s="244"/>
      <c r="BE93" s="244"/>
      <c r="BF93" s="244"/>
      <c r="BG93" s="244"/>
      <c r="BH93" s="244"/>
      <c r="BI93" s="244"/>
      <c r="BJ93" s="244"/>
      <c r="BK93" s="244"/>
      <c r="BL93" s="244"/>
      <c r="BM93" s="244"/>
      <c r="BN93" s="244"/>
      <c r="BO93" s="244"/>
      <c r="BP93" s="244"/>
      <c r="BQ93" s="244"/>
      <c r="BR93" s="244"/>
      <c r="BS93" s="244"/>
      <c r="BT93" s="244"/>
      <c r="BU93" s="244"/>
      <c r="BV93" s="244"/>
      <c r="BW93" s="244"/>
      <c r="BX93" s="244"/>
      <c r="BY93" s="244"/>
      <c r="BZ93" s="244"/>
      <c r="CA93" s="244"/>
      <c r="CB93" s="244"/>
      <c r="CC93" s="244"/>
      <c r="CD93" s="244"/>
      <c r="CE93" s="244"/>
      <c r="CF93" s="244"/>
    </row>
    <row r="94" ht="0" hidden="1" customHeight="1">
      <c r="C94" s="114"/>
      <c r="D94" s="118"/>
      <c r="E94" s="118"/>
      <c r="F94" s="118"/>
      <c r="G94" s="118"/>
      <c r="H94" s="118"/>
      <c r="I94" s="712"/>
      <c r="J94" s="712"/>
      <c r="K94" s="712"/>
      <c r="L94" s="712"/>
      <c r="M94" s="712"/>
      <c r="N94" s="712"/>
      <c r="O94" s="113"/>
      <c r="AP94" s="213"/>
      <c r="AQ94" s="213"/>
      <c r="AR94" s="213"/>
      <c r="AS94" s="271"/>
      <c r="AT94" s="271"/>
      <c r="AU94" s="244"/>
      <c r="AV94" s="244"/>
      <c r="AW94" s="244"/>
      <c r="AX94" s="244"/>
      <c r="AY94" s="244"/>
      <c r="AZ94" s="244"/>
      <c r="BA94" s="244"/>
      <c r="BB94" s="244"/>
      <c r="BC94" s="244"/>
      <c r="BD94" s="244"/>
      <c r="BE94" s="244"/>
      <c r="BF94" s="244"/>
      <c r="BG94" s="244"/>
      <c r="BH94" s="244"/>
      <c r="BI94" s="244"/>
      <c r="BJ94" s="244"/>
      <c r="BK94" s="244"/>
      <c r="BL94" s="244"/>
      <c r="BM94" s="244"/>
      <c r="BN94" s="244"/>
      <c r="BO94" s="244"/>
      <c r="BP94" s="244"/>
      <c r="BQ94" s="244"/>
      <c r="BR94" s="244"/>
      <c r="BS94" s="244"/>
      <c r="BT94" s="244"/>
      <c r="BU94" s="244"/>
      <c r="BV94" s="244"/>
      <c r="BW94" s="244"/>
      <c r="BX94" s="244"/>
      <c r="BY94" s="244"/>
      <c r="BZ94" s="244"/>
      <c r="CA94" s="244"/>
      <c r="CB94" s="244"/>
      <c r="CC94" s="244"/>
      <c r="CD94" s="244"/>
      <c r="CE94" s="244"/>
      <c r="CF94" s="244"/>
    </row>
    <row r="95" ht="0" hidden="1" customHeight="1">
      <c r="C95" s="114"/>
      <c r="D95" s="118"/>
      <c r="E95" s="118"/>
      <c r="F95" s="118"/>
      <c r="G95" s="118"/>
      <c r="H95" s="118"/>
      <c r="I95" s="712"/>
      <c r="J95" s="712"/>
      <c r="K95" s="712"/>
      <c r="L95" s="712"/>
      <c r="M95" s="712"/>
      <c r="N95" s="712"/>
      <c r="O95" s="113"/>
      <c r="AP95" s="213"/>
      <c r="AQ95" s="213"/>
      <c r="AR95" s="213"/>
      <c r="AS95" s="271"/>
      <c r="AT95" s="271"/>
      <c r="AU95" s="244"/>
      <c r="AV95" s="244"/>
      <c r="AW95" s="244"/>
      <c r="AX95" s="244"/>
      <c r="AY95" s="244"/>
      <c r="AZ95" s="244"/>
      <c r="BA95" s="244"/>
      <c r="BB95" s="244"/>
      <c r="BC95" s="244"/>
      <c r="BD95" s="244"/>
      <c r="BE95" s="244"/>
      <c r="BF95" s="244"/>
      <c r="BG95" s="244"/>
      <c r="BH95" s="244"/>
      <c r="BI95" s="244"/>
      <c r="BJ95" s="244"/>
      <c r="BK95" s="244"/>
      <c r="BL95" s="244"/>
      <c r="BM95" s="244"/>
      <c r="BN95" s="244"/>
      <c r="BO95" s="244"/>
      <c r="BP95" s="244"/>
      <c r="BQ95" s="244"/>
      <c r="BR95" s="244"/>
      <c r="BS95" s="244"/>
      <c r="BT95" s="244"/>
      <c r="BU95" s="244"/>
      <c r="BV95" s="244"/>
      <c r="BW95" s="244"/>
      <c r="BX95" s="244"/>
      <c r="BY95" s="244"/>
      <c r="BZ95" s="244"/>
      <c r="CA95" s="244"/>
      <c r="CB95" s="244"/>
      <c r="CC95" s="244"/>
      <c r="CD95" s="244"/>
      <c r="CE95" s="244"/>
      <c r="CF95" s="244"/>
    </row>
    <row r="96" ht="0" hidden="1" customHeight="1">
      <c r="C96" s="114"/>
      <c r="D96" s="118"/>
      <c r="E96" s="118"/>
      <c r="F96" s="118"/>
      <c r="G96" s="118"/>
      <c r="H96" s="118"/>
      <c r="I96" s="712"/>
      <c r="J96" s="712"/>
      <c r="K96" s="712"/>
      <c r="L96" s="712"/>
      <c r="M96" s="712"/>
      <c r="N96" s="712"/>
      <c r="O96" s="113"/>
      <c r="AP96" s="213"/>
      <c r="AQ96" s="213"/>
      <c r="AR96" s="213"/>
      <c r="AS96" s="271"/>
      <c r="AT96" s="271"/>
      <c r="AU96" s="244"/>
      <c r="AV96" s="244"/>
      <c r="AW96" s="244"/>
      <c r="AX96" s="244"/>
      <c r="AY96" s="244"/>
      <c r="AZ96" s="244"/>
      <c r="BA96" s="244"/>
      <c r="BB96" s="244"/>
      <c r="BC96" s="244"/>
      <c r="BD96" s="244"/>
      <c r="BE96" s="244"/>
      <c r="BF96" s="244"/>
      <c r="BG96" s="244"/>
      <c r="BH96" s="244"/>
      <c r="BI96" s="244"/>
      <c r="BJ96" s="244"/>
      <c r="BK96" s="244"/>
      <c r="BL96" s="244"/>
      <c r="BM96" s="244"/>
      <c r="BN96" s="244"/>
      <c r="BO96" s="244"/>
      <c r="BP96" s="244"/>
      <c r="BQ96" s="244"/>
      <c r="BR96" s="244"/>
      <c r="BS96" s="244"/>
      <c r="BT96" s="244"/>
      <c r="BU96" s="244"/>
      <c r="BV96" s="244"/>
      <c r="BW96" s="244"/>
      <c r="BX96" s="244"/>
      <c r="BY96" s="244"/>
      <c r="BZ96" s="244"/>
      <c r="CA96" s="244"/>
      <c r="CB96" s="244"/>
      <c r="CC96" s="244"/>
      <c r="CD96" s="244"/>
      <c r="CE96" s="244"/>
      <c r="CF96" s="244"/>
    </row>
    <row r="97" ht="0" hidden="1" customHeight="1">
      <c r="C97" s="114"/>
      <c r="D97" s="118"/>
      <c r="E97" s="118"/>
      <c r="F97" s="118"/>
      <c r="G97" s="118"/>
      <c r="H97" s="118"/>
      <c r="I97" s="712"/>
      <c r="J97" s="712"/>
      <c r="K97" s="712"/>
      <c r="L97" s="712"/>
      <c r="M97" s="712"/>
      <c r="N97" s="712"/>
      <c r="O97" s="113"/>
      <c r="AP97" s="213"/>
      <c r="AQ97" s="213"/>
      <c r="AR97" s="213"/>
      <c r="AS97" s="271"/>
      <c r="AT97" s="271"/>
      <c r="AU97" s="244"/>
      <c r="AV97" s="244"/>
      <c r="AW97" s="244"/>
      <c r="AX97" s="244"/>
      <c r="AY97" s="244"/>
      <c r="AZ97" s="244"/>
      <c r="BA97" s="244"/>
      <c r="BB97" s="244"/>
      <c r="BC97" s="244"/>
      <c r="BD97" s="244"/>
      <c r="BE97" s="244"/>
      <c r="BF97" s="244"/>
      <c r="BG97" s="244"/>
      <c r="BH97" s="244"/>
      <c r="BI97" s="244"/>
      <c r="BJ97" s="244"/>
      <c r="BK97" s="244"/>
      <c r="BL97" s="244"/>
      <c r="BM97" s="244"/>
      <c r="BN97" s="244"/>
      <c r="BO97" s="244"/>
      <c r="BP97" s="244"/>
      <c r="BQ97" s="244"/>
      <c r="BR97" s="244"/>
      <c r="BS97" s="244"/>
      <c r="BT97" s="244"/>
      <c r="BU97" s="244"/>
      <c r="BV97" s="244"/>
      <c r="BW97" s="244"/>
      <c r="BX97" s="244"/>
      <c r="BY97" s="244"/>
      <c r="BZ97" s="244"/>
      <c r="CA97" s="244"/>
      <c r="CB97" s="244"/>
      <c r="CC97" s="244"/>
      <c r="CD97" s="244"/>
      <c r="CE97" s="244"/>
      <c r="CF97" s="244"/>
    </row>
    <row r="98" ht="0" hidden="1" customHeight="1">
      <c r="C98" s="114"/>
      <c r="D98" s="118"/>
      <c r="E98" s="118"/>
      <c r="F98" s="118"/>
      <c r="G98" s="118"/>
      <c r="H98" s="118"/>
      <c r="I98" s="712"/>
      <c r="J98" s="712"/>
      <c r="K98" s="712"/>
      <c r="L98" s="712"/>
      <c r="M98" s="712"/>
      <c r="N98" s="712"/>
      <c r="O98" s="113"/>
      <c r="AP98" s="213"/>
      <c r="AQ98" s="213"/>
      <c r="AR98" s="213"/>
      <c r="AS98" s="271"/>
      <c r="AT98" s="271"/>
      <c r="AU98" s="244"/>
      <c r="AV98" s="244"/>
      <c r="AW98" s="244"/>
      <c r="AX98" s="244"/>
      <c r="AY98" s="244"/>
      <c r="AZ98" s="244"/>
      <c r="BA98" s="244"/>
      <c r="BB98" s="244"/>
      <c r="BC98" s="244"/>
      <c r="BD98" s="244"/>
      <c r="BE98" s="244"/>
      <c r="BF98" s="244"/>
      <c r="BG98" s="244"/>
      <c r="BH98" s="244"/>
      <c r="BI98" s="244"/>
      <c r="BJ98" s="244"/>
      <c r="BK98" s="244"/>
      <c r="BL98" s="244"/>
      <c r="BM98" s="244"/>
      <c r="BN98" s="244"/>
      <c r="BO98" s="244"/>
      <c r="BP98" s="244"/>
      <c r="BQ98" s="244"/>
      <c r="BR98" s="244"/>
      <c r="BS98" s="244"/>
      <c r="BT98" s="244"/>
      <c r="BU98" s="244"/>
      <c r="BV98" s="244"/>
      <c r="BW98" s="244"/>
      <c r="BX98" s="244"/>
      <c r="BY98" s="244"/>
      <c r="BZ98" s="244"/>
      <c r="CA98" s="244"/>
      <c r="CB98" s="244"/>
      <c r="CC98" s="244"/>
      <c r="CD98" s="244"/>
      <c r="CE98" s="244"/>
      <c r="CF98" s="244"/>
    </row>
    <row r="99" ht="0" hidden="1" customHeight="1">
      <c r="C99" s="114"/>
      <c r="D99" s="118"/>
      <c r="E99" s="118"/>
      <c r="F99" s="118"/>
      <c r="G99" s="118"/>
      <c r="H99" s="118"/>
      <c r="I99" s="712"/>
      <c r="J99" s="712"/>
      <c r="K99" s="712"/>
      <c r="L99" s="712"/>
      <c r="M99" s="712"/>
      <c r="N99" s="712"/>
      <c r="O99" s="113"/>
      <c r="AP99" s="213"/>
      <c r="AQ99" s="213"/>
      <c r="AR99" s="213"/>
      <c r="AS99" s="271"/>
      <c r="AT99" s="271"/>
      <c r="AU99" s="244"/>
      <c r="AV99" s="244"/>
      <c r="AW99" s="244"/>
      <c r="AX99" s="244"/>
      <c r="AY99" s="244"/>
      <c r="AZ99" s="244"/>
      <c r="BA99" s="244"/>
      <c r="BB99" s="244"/>
      <c r="BC99" s="244"/>
      <c r="BD99" s="244"/>
      <c r="BE99" s="244"/>
      <c r="BF99" s="244"/>
      <c r="BG99" s="244"/>
      <c r="BH99" s="244"/>
      <c r="BI99" s="244"/>
      <c r="BJ99" s="244"/>
      <c r="BK99" s="244"/>
      <c r="BL99" s="244"/>
      <c r="BM99" s="244"/>
      <c r="BN99" s="244"/>
      <c r="BO99" s="244"/>
      <c r="BP99" s="244"/>
      <c r="BQ99" s="244"/>
      <c r="BR99" s="244"/>
      <c r="BS99" s="244"/>
      <c r="BT99" s="244"/>
      <c r="BU99" s="244"/>
      <c r="BV99" s="244"/>
      <c r="BW99" s="244"/>
      <c r="BX99" s="244"/>
      <c r="BY99" s="244"/>
      <c r="BZ99" s="244"/>
      <c r="CA99" s="244"/>
      <c r="CB99" s="244"/>
      <c r="CC99" s="244"/>
      <c r="CD99" s="244"/>
      <c r="CE99" s="244"/>
      <c r="CF99" s="244"/>
    </row>
    <row r="100" ht="0" hidden="1" customHeight="1">
      <c r="C100" s="114"/>
      <c r="D100" s="118"/>
      <c r="E100" s="118"/>
      <c r="F100" s="118"/>
      <c r="G100" s="118"/>
      <c r="H100" s="118"/>
      <c r="I100" s="712"/>
      <c r="J100" s="712"/>
      <c r="K100" s="712"/>
      <c r="L100" s="712"/>
      <c r="M100" s="712"/>
      <c r="N100" s="712"/>
      <c r="O100" s="113"/>
      <c r="AP100" s="213"/>
      <c r="AQ100" s="213"/>
      <c r="AR100" s="213"/>
      <c r="AS100" s="271"/>
      <c r="AT100" s="271"/>
      <c r="AU100" s="244"/>
      <c r="AV100" s="244"/>
      <c r="AW100" s="244"/>
      <c r="AX100" s="244"/>
      <c r="AY100" s="244"/>
      <c r="AZ100" s="244"/>
      <c r="BA100" s="244"/>
      <c r="BB100" s="244"/>
      <c r="BC100" s="244"/>
      <c r="BD100" s="244"/>
      <c r="BE100" s="244"/>
      <c r="BF100" s="244"/>
      <c r="BG100" s="244"/>
      <c r="BH100" s="244"/>
      <c r="BI100" s="244"/>
      <c r="BJ100" s="244"/>
      <c r="BK100" s="244"/>
      <c r="BL100" s="244"/>
      <c r="BM100" s="244"/>
      <c r="BN100" s="244"/>
      <c r="BO100" s="244"/>
      <c r="BP100" s="244"/>
      <c r="BQ100" s="244"/>
      <c r="BR100" s="244"/>
      <c r="BS100" s="244"/>
      <c r="BT100" s="244"/>
      <c r="BU100" s="244"/>
      <c r="BV100" s="244"/>
      <c r="BW100" s="244"/>
      <c r="BX100" s="244"/>
      <c r="BY100" s="244"/>
      <c r="BZ100" s="244"/>
      <c r="CA100" s="244"/>
      <c r="CB100" s="244"/>
      <c r="CC100" s="244"/>
      <c r="CD100" s="244"/>
      <c r="CE100" s="244"/>
      <c r="CF100" s="244"/>
    </row>
    <row r="101" ht="0" hidden="1" customHeight="1">
      <c r="C101" s="114"/>
      <c r="D101" s="118"/>
      <c r="E101" s="118"/>
      <c r="F101" s="118"/>
      <c r="G101" s="118"/>
      <c r="H101" s="118"/>
      <c r="I101" s="118"/>
      <c r="J101" s="118"/>
      <c r="K101" s="118"/>
      <c r="L101" s="118"/>
      <c r="M101" s="118"/>
      <c r="N101" s="118"/>
      <c r="O101" s="113"/>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c r="BN101" s="244"/>
      <c r="BO101" s="244"/>
      <c r="BP101" s="244"/>
      <c r="BQ101" s="244"/>
      <c r="BR101" s="244"/>
      <c r="BS101" s="244"/>
      <c r="BT101" s="244"/>
      <c r="BU101" s="244"/>
      <c r="BV101" s="244"/>
      <c r="BW101" s="244"/>
      <c r="BX101" s="244"/>
      <c r="BY101" s="244"/>
      <c r="BZ101" s="244"/>
      <c r="CA101" s="244"/>
      <c r="CB101" s="244"/>
      <c r="CC101" s="244"/>
      <c r="CD101" s="244"/>
      <c r="CE101" s="244"/>
      <c r="CF101" s="244"/>
    </row>
    <row r="102" ht="18" customHeight="1">
      <c r="E102" s="115"/>
      <c r="F102" s="115"/>
      <c r="G102" s="115"/>
      <c r="Y102" s="121"/>
      <c r="AB102" s="0"/>
      <c r="AC102" s="0"/>
      <c r="AD102" s="0"/>
      <c r="AE102" s="100"/>
      <c r="AI102" s="0"/>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c r="BN102" s="244"/>
      <c r="BO102" s="244"/>
      <c r="BP102" s="244"/>
      <c r="BQ102" s="244"/>
      <c r="BR102" s="244"/>
      <c r="BS102" s="244"/>
      <c r="BT102" s="244"/>
      <c r="BU102" s="244"/>
      <c r="BV102" s="244"/>
      <c r="BW102" s="244"/>
      <c r="BX102" s="244"/>
      <c r="BY102" s="244"/>
      <c r="BZ102" s="244"/>
      <c r="CA102" s="244"/>
      <c r="CB102" s="244"/>
      <c r="CC102" s="244"/>
      <c r="CD102" s="244"/>
      <c r="CE102" s="244"/>
      <c r="CF102" s="244"/>
    </row>
    <row r="103" ht="39.95" customHeight="1">
      <c r="B103"/>
      <c r="C103" s="713" t="s">
        <v>114</v>
      </c>
      <c r="D103" s="713"/>
      <c r="E103" s="713"/>
      <c r="F103" s="713"/>
      <c r="G103" s="713"/>
      <c r="H103" s="713"/>
      <c r="I103" s="713"/>
      <c r="J103" s="713"/>
      <c r="K103" s="713"/>
      <c r="L103" s="713"/>
      <c r="M103" s="713"/>
      <c r="N103" s="713"/>
      <c r="O103" s="713"/>
      <c r="P103" s="713"/>
      <c r="Q103" s="713"/>
      <c r="R103" s="713"/>
      <c r="S103" s="713"/>
      <c r="T103" s="713"/>
      <c r="U103" s="713"/>
      <c r="V103" s="713"/>
      <c r="W103" s="713"/>
      <c r="X103" s="713"/>
      <c r="Y103" s="713"/>
      <c r="Z103" s="713"/>
      <c r="AA103" s="713"/>
      <c r="AB103" s="713"/>
      <c r="AC103" s="713"/>
      <c r="AD103" s="713"/>
      <c r="AE103" s="713"/>
      <c r="AF103" s="713"/>
      <c r="AG103" s="713"/>
      <c r="AH103" s="713"/>
      <c r="AI103" s="713"/>
      <c r="AJ103" s="713"/>
      <c r="AK103" s="713"/>
      <c r="AL103" s="713"/>
      <c r="AM103" s="713"/>
      <c r="AN103" s="713"/>
      <c r="AO103" s="713"/>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c r="BN103" s="244"/>
      <c r="BO103" s="244"/>
      <c r="BP103" s="244"/>
      <c r="BQ103" s="244"/>
      <c r="BR103" s="244"/>
      <c r="BS103" s="244"/>
      <c r="BT103" s="244"/>
      <c r="BU103" s="244"/>
      <c r="BV103" s="244"/>
      <c r="BW103" s="244"/>
      <c r="BX103" s="244"/>
      <c r="BY103" s="244"/>
      <c r="BZ103" s="244"/>
      <c r="CA103" s="244"/>
      <c r="CB103" s="244"/>
      <c r="CC103" s="244"/>
      <c r="CD103" s="244"/>
      <c r="CE103" s="244"/>
      <c r="CF103" s="244"/>
    </row>
    <row r="104" s="117" customFormat="1" ht="18" customHeight="1">
      <c r="E104" s="63"/>
      <c r="F104" s="63"/>
      <c r="G104" s="63"/>
      <c r="H104"/>
      <c r="I104"/>
      <c r="J104"/>
      <c r="K104"/>
      <c r="L104"/>
      <c r="M104"/>
      <c r="N104"/>
      <c r="O104"/>
      <c r="P104"/>
      <c r="Q104"/>
      <c r="R104"/>
      <c r="S104"/>
      <c r="T104"/>
      <c r="U104"/>
      <c r="V104"/>
      <c r="W104"/>
      <c r="X104"/>
      <c r="Y104"/>
      <c r="Z104"/>
      <c r="AS104" s="247"/>
      <c r="AT104" s="247"/>
      <c r="AU104" s="247"/>
      <c r="AV104" s="247"/>
      <c r="AW104" s="247"/>
      <c r="AX104" s="247"/>
      <c r="AY104" s="247"/>
      <c r="AZ104" s="247"/>
      <c r="BA104" s="247"/>
      <c r="BB104" s="247"/>
      <c r="BC104" s="247"/>
      <c r="BD104" s="247"/>
      <c r="BE104" s="247"/>
      <c r="BF104" s="247"/>
      <c r="BG104" s="247"/>
      <c r="BH104" s="247"/>
      <c r="BI104" s="247"/>
      <c r="BJ104" s="247"/>
      <c r="BK104" s="247"/>
      <c r="BL104" s="247"/>
      <c r="BM104" s="247"/>
      <c r="BN104" s="247"/>
      <c r="BO104" s="247"/>
      <c r="BP104" s="247"/>
      <c r="BQ104" s="247"/>
      <c r="BR104" s="247"/>
      <c r="BS104" s="247"/>
      <c r="BT104" s="247"/>
      <c r="BU104" s="247"/>
      <c r="BV104" s="247"/>
      <c r="BW104" s="247"/>
      <c r="BX104" s="247"/>
      <c r="BY104" s="247"/>
      <c r="BZ104" s="247"/>
      <c r="CA104" s="247"/>
      <c r="CB104" s="247"/>
      <c r="CC104" s="247"/>
      <c r="CD104" s="247"/>
      <c r="CE104" s="247"/>
      <c r="CF104" s="247"/>
    </row>
    <row r="105" ht="12.75" customHeight="1">
      <c r="A105" s="714"/>
      <c r="B105" s="714"/>
      <c r="C105" s="714"/>
      <c r="D105" s="714"/>
      <c r="E105" s="714"/>
      <c r="F105" s="714"/>
      <c r="G105" s="714"/>
      <c r="H105" s="714"/>
      <c r="I105" s="714"/>
      <c r="J105" s="714"/>
      <c r="K105" s="714"/>
      <c r="L105" s="714"/>
      <c r="M105" s="714"/>
      <c r="N105" s="714"/>
      <c r="O105" s="714"/>
      <c r="P105" s="714"/>
      <c r="Q105" s="714"/>
      <c r="R105" s="714"/>
      <c r="S105" s="714"/>
      <c r="T105" s="714"/>
      <c r="U105" s="714"/>
      <c r="V105" s="714"/>
      <c r="W105" s="714"/>
      <c r="X105" s="714"/>
      <c r="Y105" s="714"/>
      <c r="Z105" s="714"/>
      <c r="AA105" s="714"/>
      <c r="AB105" s="714"/>
      <c r="AC105" s="714"/>
      <c r="AD105" s="714"/>
      <c r="AE105" s="714"/>
      <c r="AF105" s="714"/>
      <c r="AG105" s="714"/>
      <c r="AH105" s="714"/>
      <c r="AI105" s="714"/>
      <c r="AJ105" s="714"/>
      <c r="AK105" s="714"/>
      <c r="AL105" s="714"/>
      <c r="AM105" s="714"/>
      <c r="AN105" s="714"/>
      <c r="AO105" s="714"/>
      <c r="AP105" s="714"/>
      <c r="AQ105" s="714"/>
      <c r="AR105" s="714"/>
      <c r="AS105" s="714"/>
      <c r="AT105" s="714"/>
      <c r="AU105" s="714"/>
      <c r="AV105" s="714"/>
      <c r="AW105" s="714"/>
      <c r="AX105" s="714"/>
      <c r="AY105" s="714"/>
      <c r="AZ105" s="714"/>
      <c r="BA105" s="714"/>
      <c r="BB105" s="714"/>
      <c r="BC105" s="714"/>
      <c r="BD105" s="714"/>
      <c r="BE105" s="714"/>
      <c r="BF105" s="714"/>
      <c r="BG105" s="714"/>
      <c r="BH105" s="714"/>
      <c r="BI105" s="714"/>
      <c r="BJ105" s="714"/>
      <c r="BK105" s="714"/>
      <c r="BL105" s="714"/>
      <c r="BM105" s="714"/>
      <c r="BN105" s="714"/>
      <c r="BO105" s="714"/>
      <c r="BP105" s="714"/>
      <c r="BQ105" s="714"/>
      <c r="BR105" s="244"/>
      <c r="BS105" s="244"/>
      <c r="BT105" s="244"/>
      <c r="BU105" s="244"/>
      <c r="BV105" s="244"/>
      <c r="BW105" s="244"/>
      <c r="BX105" s="244"/>
      <c r="BY105" s="244"/>
      <c r="BZ105" s="244"/>
      <c r="CA105" s="244"/>
      <c r="CB105" s="244"/>
      <c r="CC105" s="244"/>
      <c r="CD105" s="244"/>
      <c r="CE105" s="244"/>
      <c r="CF105" s="244"/>
    </row>
    <row r="106" ht="12.75" customHeight="1">
      <c r="A106" s="714"/>
      <c r="B106" s="714"/>
      <c r="C106" s="714"/>
      <c r="D106" s="714"/>
      <c r="E106" s="714"/>
      <c r="F106" s="714"/>
      <c r="G106" s="714"/>
      <c r="H106" s="714"/>
      <c r="I106" s="714"/>
      <c r="J106" s="714"/>
      <c r="K106" s="714"/>
      <c r="L106" s="714"/>
      <c r="M106" s="714"/>
      <c r="N106" s="714"/>
      <c r="O106" s="714"/>
      <c r="P106" s="714"/>
      <c r="Q106" s="714"/>
      <c r="R106" s="714"/>
      <c r="S106" s="714"/>
      <c r="T106" s="714"/>
      <c r="U106" s="714"/>
      <c r="V106" s="714"/>
      <c r="W106" s="714"/>
      <c r="X106" s="714"/>
      <c r="Y106" s="714"/>
      <c r="Z106" s="714"/>
      <c r="AA106" s="714"/>
      <c r="AB106" s="714"/>
      <c r="AC106" s="714"/>
      <c r="AD106" s="714"/>
      <c r="AE106" s="714"/>
      <c r="AF106" s="714"/>
      <c r="AG106" s="714"/>
      <c r="AH106" s="714"/>
      <c r="AI106" s="714"/>
      <c r="AJ106" s="714"/>
      <c r="AK106" s="714"/>
      <c r="AL106" s="714"/>
      <c r="AM106" s="714"/>
      <c r="AN106" s="714"/>
      <c r="AO106" s="714"/>
      <c r="AP106" s="714"/>
      <c r="AQ106" s="714"/>
      <c r="AR106" s="714"/>
      <c r="AS106" s="714"/>
      <c r="AT106" s="714"/>
      <c r="AU106" s="714"/>
      <c r="AV106" s="714"/>
      <c r="AW106" s="714"/>
      <c r="AX106" s="714"/>
      <c r="AY106" s="714"/>
      <c r="AZ106" s="714"/>
      <c r="BA106" s="714"/>
      <c r="BB106" s="714"/>
      <c r="BC106" s="714"/>
      <c r="BD106" s="714"/>
      <c r="BE106" s="714"/>
      <c r="BF106" s="714"/>
      <c r="BG106" s="714"/>
      <c r="BH106" s="714"/>
      <c r="BI106" s="714"/>
      <c r="BJ106" s="714"/>
      <c r="BK106" s="714"/>
      <c r="BL106" s="714"/>
      <c r="BM106" s="714"/>
      <c r="BN106" s="714"/>
      <c r="BO106" s="714"/>
      <c r="BP106" s="714"/>
      <c r="BQ106" s="714"/>
      <c r="BR106" s="244"/>
      <c r="BS106" s="244"/>
      <c r="BT106" s="244"/>
      <c r="BU106" s="244"/>
      <c r="BV106" s="244"/>
      <c r="BW106" s="244"/>
      <c r="BX106" s="244"/>
      <c r="BY106" s="244"/>
      <c r="BZ106" s="244"/>
      <c r="CA106" s="244"/>
      <c r="CB106" s="244"/>
      <c r="CC106" s="244"/>
      <c r="CD106" s="244"/>
      <c r="CE106" s="244"/>
      <c r="CF106" s="244"/>
    </row>
    <row r="107" ht="12.75" customHeight="1">
      <c r="A107" s="714"/>
      <c r="B107" s="714"/>
      <c r="C107" s="714"/>
      <c r="D107" s="714"/>
      <c r="E107" s="714"/>
      <c r="F107" s="714"/>
      <c r="G107" s="714"/>
      <c r="H107" s="714"/>
      <c r="I107" s="714"/>
      <c r="J107" s="714"/>
      <c r="K107" s="714"/>
      <c r="L107" s="714"/>
      <c r="M107" s="714"/>
      <c r="N107" s="714"/>
      <c r="O107" s="714"/>
      <c r="P107" s="714"/>
      <c r="Q107" s="714"/>
      <c r="R107" s="714"/>
      <c r="S107" s="714"/>
      <c r="T107" s="714"/>
      <c r="U107" s="714"/>
      <c r="V107" s="714"/>
      <c r="W107" s="714"/>
      <c r="X107" s="714"/>
      <c r="Y107" s="714"/>
      <c r="Z107" s="714"/>
      <c r="AA107" s="714"/>
      <c r="AB107" s="714"/>
      <c r="AC107" s="714"/>
      <c r="AD107" s="714"/>
      <c r="AE107" s="714"/>
      <c r="AF107" s="714"/>
      <c r="AG107" s="714"/>
      <c r="AH107" s="714"/>
      <c r="AI107" s="714"/>
      <c r="AJ107" s="714"/>
      <c r="AK107" s="714"/>
      <c r="AL107" s="714"/>
      <c r="AM107" s="714"/>
      <c r="AN107" s="714"/>
      <c r="AO107" s="714"/>
      <c r="AP107" s="714"/>
      <c r="AQ107" s="714"/>
      <c r="AR107" s="714"/>
      <c r="AS107" s="714"/>
      <c r="AT107" s="714"/>
      <c r="AU107" s="714"/>
      <c r="AV107" s="714"/>
      <c r="AW107" s="714"/>
      <c r="AX107" s="714"/>
      <c r="AY107" s="714"/>
      <c r="AZ107" s="714"/>
      <c r="BA107" s="714"/>
      <c r="BB107" s="714"/>
      <c r="BC107" s="714"/>
      <c r="BD107" s="714"/>
      <c r="BE107" s="714"/>
      <c r="BF107" s="714"/>
      <c r="BG107" s="714"/>
      <c r="BH107" s="714"/>
      <c r="BI107" s="714"/>
      <c r="BJ107" s="714"/>
      <c r="BK107" s="714"/>
      <c r="BL107" s="714"/>
      <c r="BM107" s="714"/>
      <c r="BN107" s="714"/>
      <c r="BO107" s="714"/>
      <c r="BP107" s="714"/>
      <c r="BQ107" s="714"/>
      <c r="BR107" s="244"/>
      <c r="BS107" s="244"/>
      <c r="BT107" s="244"/>
      <c r="BU107" s="244"/>
      <c r="BV107" s="244"/>
      <c r="BW107" s="244"/>
      <c r="BX107" s="244"/>
      <c r="BY107" s="244"/>
      <c r="BZ107" s="244"/>
      <c r="CA107" s="244"/>
      <c r="CB107" s="244"/>
      <c r="CC107" s="244"/>
      <c r="CD107" s="244"/>
      <c r="CE107" s="244"/>
      <c r="CF107" s="244"/>
    </row>
    <row r="108" ht="12.75" customHeight="1">
      <c r="A108" s="714"/>
      <c r="B108" s="714"/>
      <c r="C108" s="714"/>
      <c r="D108" s="714"/>
      <c r="E108" s="714"/>
      <c r="F108" s="714"/>
      <c r="G108" s="714"/>
      <c r="H108" s="714"/>
      <c r="I108" s="714"/>
      <c r="J108" s="714"/>
      <c r="K108" s="714"/>
      <c r="L108" s="714"/>
      <c r="M108" s="714"/>
      <c r="N108" s="714"/>
      <c r="O108" s="714"/>
      <c r="P108" s="714"/>
      <c r="Q108" s="714"/>
      <c r="R108" s="714"/>
      <c r="S108" s="714"/>
      <c r="T108" s="714"/>
      <c r="U108" s="714"/>
      <c r="V108" s="714"/>
      <c r="W108" s="714"/>
      <c r="X108" s="714"/>
      <c r="Y108" s="714"/>
      <c r="Z108" s="714"/>
      <c r="AA108" s="714"/>
      <c r="AB108" s="714"/>
      <c r="AC108" s="714"/>
      <c r="AD108" s="714"/>
      <c r="AE108" s="714"/>
      <c r="AF108" s="714"/>
      <c r="AG108" s="714"/>
      <c r="AH108" s="714"/>
      <c r="AI108" s="714"/>
      <c r="AJ108" s="714"/>
      <c r="AK108" s="714"/>
      <c r="AL108" s="714"/>
      <c r="AM108" s="714"/>
      <c r="AN108" s="714"/>
      <c r="AO108" s="714"/>
      <c r="AP108" s="714"/>
      <c r="AQ108" s="714"/>
      <c r="AR108" s="714"/>
      <c r="AS108" s="714"/>
      <c r="AT108" s="714"/>
      <c r="AU108" s="714"/>
      <c r="AV108" s="714"/>
      <c r="AW108" s="714"/>
      <c r="AX108" s="714"/>
      <c r="AY108" s="714"/>
      <c r="AZ108" s="714"/>
      <c r="BA108" s="714"/>
      <c r="BB108" s="714"/>
      <c r="BC108" s="714"/>
      <c r="BD108" s="714"/>
      <c r="BE108" s="714"/>
      <c r="BF108" s="714"/>
      <c r="BG108" s="714"/>
      <c r="BH108" s="714"/>
      <c r="BI108" s="714"/>
      <c r="BJ108" s="714"/>
      <c r="BK108" s="714"/>
      <c r="BL108" s="714"/>
      <c r="BM108" s="714"/>
      <c r="BN108" s="714"/>
      <c r="BO108" s="714"/>
      <c r="BP108" s="714"/>
      <c r="BQ108" s="714"/>
      <c r="BR108" s="244"/>
      <c r="BS108" s="244"/>
      <c r="BT108" s="244"/>
      <c r="BU108" s="244"/>
      <c r="BV108" s="244"/>
      <c r="BW108" s="244"/>
      <c r="BX108" s="244"/>
      <c r="BY108" s="244"/>
      <c r="BZ108" s="244"/>
      <c r="CA108" s="244"/>
      <c r="CB108" s="244"/>
      <c r="CC108" s="244"/>
      <c r="CD108" s="244"/>
      <c r="CE108" s="244"/>
      <c r="CF108" s="244"/>
    </row>
    <row r="109" ht="12.75" customHeight="1">
      <c r="A109" s="714"/>
      <c r="B109" s="714"/>
      <c r="C109" s="714"/>
      <c r="D109" s="714"/>
      <c r="E109" s="714"/>
      <c r="F109" s="714"/>
      <c r="G109" s="714"/>
      <c r="H109" s="714"/>
      <c r="I109" s="714"/>
      <c r="J109" s="714"/>
      <c r="K109" s="714"/>
      <c r="L109" s="714"/>
      <c r="M109" s="714"/>
      <c r="N109" s="714"/>
      <c r="O109" s="714"/>
      <c r="P109" s="714"/>
      <c r="Q109" s="714"/>
      <c r="R109" s="714"/>
      <c r="S109" s="714"/>
      <c r="T109" s="714"/>
      <c r="U109" s="714"/>
      <c r="V109" s="714"/>
      <c r="W109" s="714"/>
      <c r="X109" s="714"/>
      <c r="Y109" s="714"/>
      <c r="Z109" s="714"/>
      <c r="AA109" s="714"/>
      <c r="AB109" s="714"/>
      <c r="AC109" s="714"/>
      <c r="AD109" s="714"/>
      <c r="AE109" s="714"/>
      <c r="AF109" s="714"/>
      <c r="AG109" s="714"/>
      <c r="AH109" s="714"/>
      <c r="AI109" s="714"/>
      <c r="AJ109" s="714"/>
      <c r="AK109" s="714"/>
      <c r="AL109" s="714"/>
      <c r="AM109" s="714"/>
      <c r="AN109" s="714"/>
      <c r="AO109" s="714"/>
      <c r="AP109" s="714"/>
      <c r="AQ109" s="714"/>
      <c r="AR109" s="714"/>
      <c r="AS109" s="714"/>
      <c r="AT109" s="714"/>
      <c r="AU109" s="714"/>
      <c r="AV109" s="714"/>
      <c r="AW109" s="714"/>
      <c r="AX109" s="714"/>
      <c r="AY109" s="714"/>
      <c r="AZ109" s="714"/>
      <c r="BA109" s="714"/>
      <c r="BB109" s="714"/>
      <c r="BC109" s="714"/>
      <c r="BD109" s="714"/>
      <c r="BE109" s="714"/>
      <c r="BF109" s="714"/>
      <c r="BG109" s="714"/>
      <c r="BH109" s="714"/>
      <c r="BI109" s="714"/>
      <c r="BJ109" s="714"/>
      <c r="BK109" s="714"/>
      <c r="BL109" s="714"/>
      <c r="BM109" s="714"/>
      <c r="BN109" s="714"/>
      <c r="BO109" s="714"/>
      <c r="BP109" s="714"/>
      <c r="BQ109" s="714"/>
      <c r="BR109" s="244"/>
      <c r="BS109" s="244"/>
      <c r="BT109" s="244"/>
      <c r="BU109" s="244"/>
      <c r="BV109" s="244"/>
      <c r="BW109" s="244"/>
      <c r="BX109" s="244"/>
      <c r="BY109" s="244"/>
      <c r="BZ109" s="244"/>
      <c r="CA109" s="244"/>
      <c r="CB109" s="244"/>
      <c r="CC109" s="244"/>
      <c r="CD109" s="244"/>
      <c r="CE109" s="244"/>
      <c r="CF109" s="244"/>
    </row>
    <row r="110" ht="12.75" customHeight="1">
      <c r="A110" s="714"/>
      <c r="B110" s="714"/>
      <c r="C110" s="714"/>
      <c r="D110" s="714"/>
      <c r="E110" s="714"/>
      <c r="F110" s="714"/>
      <c r="G110" s="714"/>
      <c r="H110" s="714"/>
      <c r="I110" s="714"/>
      <c r="J110" s="714"/>
      <c r="K110" s="714"/>
      <c r="L110" s="714"/>
      <c r="M110" s="714"/>
      <c r="N110" s="714"/>
      <c r="O110" s="714"/>
      <c r="P110" s="714"/>
      <c r="Q110" s="714"/>
      <c r="R110" s="714"/>
      <c r="S110" s="714"/>
      <c r="T110" s="714"/>
      <c r="U110" s="714"/>
      <c r="V110" s="714"/>
      <c r="W110" s="714"/>
      <c r="X110" s="714"/>
      <c r="Y110" s="714"/>
      <c r="Z110" s="714"/>
      <c r="AA110" s="714"/>
      <c r="AB110" s="714"/>
      <c r="AC110" s="714"/>
      <c r="AD110" s="714"/>
      <c r="AE110" s="714"/>
      <c r="AF110" s="714"/>
      <c r="AG110" s="714"/>
      <c r="AH110" s="714"/>
      <c r="AI110" s="714"/>
      <c r="AJ110" s="714"/>
      <c r="AK110" s="714"/>
      <c r="AL110" s="714"/>
      <c r="AM110" s="714"/>
      <c r="AN110" s="714"/>
      <c r="AO110" s="714"/>
      <c r="AP110" s="714"/>
      <c r="AQ110" s="714"/>
      <c r="AR110" s="714"/>
      <c r="AS110" s="714"/>
      <c r="AT110" s="714"/>
      <c r="AU110" s="714"/>
      <c r="AV110" s="714"/>
      <c r="AW110" s="714"/>
      <c r="AX110" s="714"/>
      <c r="AY110" s="714"/>
      <c r="AZ110" s="714"/>
      <c r="BA110" s="714"/>
      <c r="BB110" s="714"/>
      <c r="BC110" s="714"/>
      <c r="BD110" s="714"/>
      <c r="BE110" s="714"/>
      <c r="BF110" s="714"/>
      <c r="BG110" s="714"/>
      <c r="BH110" s="714"/>
      <c r="BI110" s="714"/>
      <c r="BJ110" s="714"/>
      <c r="BK110" s="714"/>
      <c r="BL110" s="714"/>
      <c r="BM110" s="714"/>
      <c r="BN110" s="714"/>
      <c r="BO110" s="714"/>
      <c r="BP110" s="714"/>
      <c r="BQ110" s="714"/>
      <c r="BR110" s="244"/>
      <c r="BS110" s="244"/>
      <c r="BT110" s="244"/>
      <c r="BU110" s="244"/>
      <c r="BV110" s="244"/>
      <c r="BW110" s="244"/>
      <c r="BX110" s="244"/>
      <c r="BY110" s="244"/>
      <c r="BZ110" s="244"/>
      <c r="CA110" s="244"/>
      <c r="CB110" s="244"/>
      <c r="CC110" s="244"/>
      <c r="CD110" s="244"/>
      <c r="CE110" s="244"/>
      <c r="CF110" s="244"/>
    </row>
    <row r="111" ht="12.75" customHeight="1">
      <c r="A111" s="714"/>
      <c r="B111" s="714"/>
      <c r="C111" s="714"/>
      <c r="D111" s="714"/>
      <c r="E111" s="714"/>
      <c r="F111" s="714"/>
      <c r="G111" s="714"/>
      <c r="H111" s="714"/>
      <c r="I111" s="714"/>
      <c r="J111" s="714"/>
      <c r="K111" s="714"/>
      <c r="L111" s="714"/>
      <c r="M111" s="714"/>
      <c r="N111" s="714"/>
      <c r="O111" s="714"/>
      <c r="P111" s="714"/>
      <c r="Q111" s="714"/>
      <c r="R111" s="714"/>
      <c r="S111" s="714"/>
      <c r="T111" s="714"/>
      <c r="U111" s="714"/>
      <c r="V111" s="714"/>
      <c r="W111" s="714"/>
      <c r="X111" s="714"/>
      <c r="Y111" s="714"/>
      <c r="Z111" s="714"/>
      <c r="AA111" s="714"/>
      <c r="AB111" s="714"/>
      <c r="AC111" s="714"/>
      <c r="AD111" s="714"/>
      <c r="AE111" s="714"/>
      <c r="AF111" s="714"/>
      <c r="AG111" s="714"/>
      <c r="AH111" s="714"/>
      <c r="AI111" s="714"/>
      <c r="AJ111" s="714"/>
      <c r="AK111" s="714"/>
      <c r="AL111" s="714"/>
      <c r="AM111" s="714"/>
      <c r="AN111" s="714"/>
      <c r="AO111" s="714"/>
      <c r="AP111" s="714"/>
      <c r="AQ111" s="714"/>
      <c r="AR111" s="714"/>
      <c r="AS111" s="714"/>
      <c r="AT111" s="714"/>
      <c r="AU111" s="714"/>
      <c r="AV111" s="714"/>
      <c r="AW111" s="714"/>
      <c r="AX111" s="714"/>
      <c r="AY111" s="714"/>
      <c r="AZ111" s="714"/>
      <c r="BA111" s="714"/>
      <c r="BB111" s="714"/>
      <c r="BC111" s="714"/>
      <c r="BD111" s="714"/>
      <c r="BE111" s="714"/>
      <c r="BF111" s="714"/>
      <c r="BG111" s="714"/>
      <c r="BH111" s="714"/>
      <c r="BI111" s="714"/>
      <c r="BJ111" s="714"/>
      <c r="BK111" s="714"/>
      <c r="BL111" s="714"/>
      <c r="BM111" s="714"/>
      <c r="BN111" s="714"/>
      <c r="BO111" s="714"/>
      <c r="BP111" s="714"/>
      <c r="BQ111" s="714"/>
      <c r="BR111" s="244"/>
      <c r="BS111" s="244"/>
      <c r="BT111" s="244"/>
      <c r="BU111" s="244"/>
      <c r="BV111" s="244"/>
      <c r="BW111" s="244"/>
      <c r="BX111" s="244"/>
      <c r="BY111" s="244"/>
      <c r="BZ111" s="244"/>
      <c r="CA111" s="244"/>
      <c r="CB111" s="244"/>
      <c r="CC111" s="244"/>
      <c r="CD111" s="244"/>
      <c r="CE111" s="244"/>
      <c r="CF111" s="244"/>
    </row>
    <row r="112" ht="12.75" customHeight="1">
      <c r="A112" s="714"/>
      <c r="B112" s="714"/>
      <c r="C112" s="714"/>
      <c r="D112" s="714"/>
      <c r="E112" s="714"/>
      <c r="F112" s="714"/>
      <c r="G112" s="714"/>
      <c r="H112" s="714"/>
      <c r="I112" s="714"/>
      <c r="J112" s="714"/>
      <c r="K112" s="714"/>
      <c r="L112" s="714"/>
      <c r="M112" s="714"/>
      <c r="N112" s="714"/>
      <c r="O112" s="714"/>
      <c r="P112" s="714"/>
      <c r="Q112" s="714"/>
      <c r="R112" s="714"/>
      <c r="S112" s="714"/>
      <c r="T112" s="714"/>
      <c r="U112" s="714"/>
      <c r="V112" s="714"/>
      <c r="W112" s="714"/>
      <c r="X112" s="714"/>
      <c r="Y112" s="714"/>
      <c r="Z112" s="714"/>
      <c r="AA112" s="714"/>
      <c r="AB112" s="714"/>
      <c r="AC112" s="714"/>
      <c r="AD112" s="714"/>
      <c r="AE112" s="714"/>
      <c r="AF112" s="714"/>
      <c r="AG112" s="714"/>
      <c r="AH112" s="714"/>
      <c r="AI112" s="714"/>
      <c r="AJ112" s="714"/>
      <c r="AK112" s="714"/>
      <c r="AL112" s="714"/>
      <c r="AM112" s="714"/>
      <c r="AN112" s="714"/>
      <c r="AO112" s="714"/>
      <c r="AP112" s="714"/>
      <c r="AQ112" s="714"/>
      <c r="AR112" s="714"/>
      <c r="AS112" s="714"/>
      <c r="AT112" s="714"/>
      <c r="AU112" s="714"/>
      <c r="AV112" s="714"/>
      <c r="AW112" s="714"/>
      <c r="AX112" s="714"/>
      <c r="AY112" s="714"/>
      <c r="AZ112" s="714"/>
      <c r="BA112" s="714"/>
      <c r="BB112" s="714"/>
      <c r="BC112" s="714"/>
      <c r="BD112" s="714"/>
      <c r="BE112" s="714"/>
      <c r="BF112" s="714"/>
      <c r="BG112" s="714"/>
      <c r="BH112" s="714"/>
      <c r="BI112" s="714"/>
      <c r="BJ112" s="714"/>
      <c r="BK112" s="714"/>
      <c r="BL112" s="714"/>
      <c r="BM112" s="714"/>
      <c r="BN112" s="714"/>
      <c r="BO112" s="714"/>
      <c r="BP112" s="714"/>
      <c r="BQ112" s="714"/>
      <c r="BR112" s="244"/>
      <c r="BS112" s="244"/>
      <c r="BT112" s="244"/>
      <c r="BU112" s="244"/>
      <c r="BV112" s="244"/>
      <c r="BW112" s="244"/>
      <c r="BX112" s="244"/>
      <c r="BY112" s="244"/>
      <c r="BZ112" s="244"/>
      <c r="CA112" s="244"/>
      <c r="CB112" s="244"/>
      <c r="CC112" s="244"/>
      <c r="CD112" s="244"/>
      <c r="CE112" s="244"/>
      <c r="CF112" s="244"/>
    </row>
    <row r="113" ht="12.75" customHeight="1">
      <c r="A113" s="714"/>
      <c r="B113" s="714"/>
      <c r="C113" s="714"/>
      <c r="D113" s="714"/>
      <c r="E113" s="714"/>
      <c r="F113" s="714"/>
      <c r="G113" s="714"/>
      <c r="H113" s="714"/>
      <c r="I113" s="714"/>
      <c r="J113" s="714"/>
      <c r="K113" s="714"/>
      <c r="L113" s="714"/>
      <c r="M113" s="714"/>
      <c r="N113" s="714"/>
      <c r="O113" s="714"/>
      <c r="P113" s="714"/>
      <c r="Q113" s="714"/>
      <c r="R113" s="714"/>
      <c r="S113" s="714"/>
      <c r="T113" s="714"/>
      <c r="U113" s="714"/>
      <c r="V113" s="714"/>
      <c r="W113" s="714"/>
      <c r="X113" s="714"/>
      <c r="Y113" s="714"/>
      <c r="Z113" s="714"/>
      <c r="AA113" s="714"/>
      <c r="AB113" s="714"/>
      <c r="AC113" s="714"/>
      <c r="AD113" s="714"/>
      <c r="AE113" s="714"/>
      <c r="AF113" s="714"/>
      <c r="AG113" s="714"/>
      <c r="AH113" s="714"/>
      <c r="AI113" s="714"/>
      <c r="AJ113" s="714"/>
      <c r="AK113" s="714"/>
      <c r="AL113" s="714"/>
      <c r="AM113" s="714"/>
      <c r="AN113" s="714"/>
      <c r="AO113" s="714"/>
      <c r="AP113" s="714"/>
      <c r="AQ113" s="714"/>
      <c r="AR113" s="714"/>
      <c r="AS113" s="714"/>
      <c r="AT113" s="714"/>
      <c r="AU113" s="714"/>
      <c r="AV113" s="714"/>
      <c r="AW113" s="714"/>
      <c r="AX113" s="714"/>
      <c r="AY113" s="714"/>
      <c r="AZ113" s="714"/>
      <c r="BA113" s="714"/>
      <c r="BB113" s="714"/>
      <c r="BC113" s="714"/>
      <c r="BD113" s="714"/>
      <c r="BE113" s="714"/>
      <c r="BF113" s="714"/>
      <c r="BG113" s="714"/>
      <c r="BH113" s="714"/>
      <c r="BI113" s="714"/>
      <c r="BJ113" s="714"/>
      <c r="BK113" s="714"/>
      <c r="BL113" s="714"/>
      <c r="BM113" s="714"/>
      <c r="BN113" s="714"/>
      <c r="BO113" s="714"/>
      <c r="BP113" s="714"/>
      <c r="BQ113" s="714"/>
      <c r="BR113" s="244"/>
      <c r="BS113" s="244"/>
      <c r="BT113" s="244"/>
      <c r="BU113" s="244"/>
      <c r="BV113" s="244"/>
      <c r="BW113" s="244"/>
      <c r="BX113" s="244"/>
      <c r="BY113" s="244"/>
      <c r="BZ113" s="244"/>
      <c r="CA113" s="244"/>
      <c r="CB113" s="244"/>
      <c r="CC113" s="244"/>
      <c r="CD113" s="244"/>
      <c r="CE113" s="244"/>
      <c r="CF113" s="244"/>
    </row>
    <row r="114">
      <c r="A114" s="714"/>
      <c r="B114" s="714"/>
      <c r="C114" s="714"/>
      <c r="D114" s="714"/>
      <c r="E114" s="714"/>
      <c r="F114" s="714"/>
      <c r="G114" s="714"/>
      <c r="H114" s="714"/>
      <c r="I114" s="714"/>
      <c r="J114" s="714"/>
      <c r="K114" s="714"/>
      <c r="L114" s="714"/>
      <c r="M114" s="714"/>
      <c r="N114" s="714"/>
      <c r="O114" s="714"/>
      <c r="P114" s="714"/>
      <c r="Q114" s="714"/>
      <c r="R114" s="714"/>
      <c r="S114" s="714"/>
      <c r="T114" s="714"/>
      <c r="U114" s="714"/>
      <c r="V114" s="714"/>
      <c r="W114" s="714"/>
      <c r="X114" s="714"/>
      <c r="Y114" s="714"/>
      <c r="Z114" s="714"/>
      <c r="AA114" s="714"/>
      <c r="AB114" s="714"/>
      <c r="AC114" s="714"/>
      <c r="AD114" s="714"/>
      <c r="AE114" s="714"/>
      <c r="AF114" s="714"/>
      <c r="AG114" s="714"/>
      <c r="AH114" s="714"/>
      <c r="AI114" s="714"/>
      <c r="AJ114" s="714"/>
      <c r="AK114" s="714"/>
      <c r="AL114" s="714"/>
      <c r="AM114" s="714"/>
      <c r="AN114" s="714"/>
      <c r="AO114" s="714"/>
      <c r="AP114" s="714"/>
      <c r="AQ114" s="714"/>
      <c r="AR114" s="714"/>
      <c r="AS114" s="714"/>
      <c r="AT114" s="714"/>
      <c r="AU114" s="714"/>
      <c r="AV114" s="714"/>
      <c r="AW114" s="714"/>
      <c r="AX114" s="714"/>
      <c r="AY114" s="714"/>
      <c r="AZ114" s="714"/>
      <c r="BA114" s="714"/>
      <c r="BB114" s="714"/>
      <c r="BC114" s="714"/>
      <c r="BD114" s="714"/>
      <c r="BE114" s="714"/>
      <c r="BF114" s="714"/>
      <c r="BG114" s="714"/>
      <c r="BH114" s="714"/>
      <c r="BI114" s="714"/>
      <c r="BJ114" s="714"/>
      <c r="BK114" s="714"/>
      <c r="BL114" s="714"/>
      <c r="BM114" s="714"/>
      <c r="BN114" s="714"/>
      <c r="BO114" s="714"/>
      <c r="BP114" s="714"/>
      <c r="BQ114" s="714"/>
      <c r="BR114" s="244"/>
      <c r="BS114" s="244"/>
      <c r="BT114" s="244"/>
      <c r="BU114" s="244"/>
      <c r="BV114" s="244"/>
      <c r="BW114" s="244"/>
      <c r="BX114" s="244"/>
      <c r="BY114" s="244"/>
      <c r="BZ114" s="244"/>
      <c r="CA114" s="244"/>
      <c r="CB114" s="244"/>
      <c r="CC114" s="244"/>
      <c r="CD114" s="244"/>
      <c r="CE114" s="244"/>
      <c r="CF114" s="244"/>
    </row>
    <row r="115">
      <c r="A115" s="244"/>
      <c r="B115" s="246"/>
      <c r="C115" s="244"/>
      <c r="D115" s="244"/>
      <c r="E115" s="244"/>
      <c r="F115" s="244"/>
      <c r="G115" s="244"/>
      <c r="H115" s="244"/>
      <c r="I115" s="244"/>
      <c r="J115" s="244"/>
      <c r="K115" s="244"/>
      <c r="L115" s="244"/>
      <c r="M115" s="244"/>
      <c r="N115" s="244"/>
      <c r="O115" s="244"/>
      <c r="P115" s="244"/>
      <c r="Q115" s="244"/>
      <c r="R115" s="244"/>
      <c r="S115" s="244"/>
      <c r="T115" s="244"/>
      <c r="U115" s="244"/>
      <c r="V115" s="244"/>
      <c r="W115" s="244"/>
      <c r="X115" s="244"/>
      <c r="Y115" s="244"/>
      <c r="Z115" s="244"/>
      <c r="AA115" s="244"/>
      <c r="AB115" s="244"/>
      <c r="AC115" s="244"/>
      <c r="AD115" s="244"/>
      <c r="AE115" s="244"/>
      <c r="AF115" s="244"/>
      <c r="AG115" s="244"/>
      <c r="AH115" s="244"/>
      <c r="AI115" s="244"/>
      <c r="AJ115" s="244"/>
      <c r="AK115" s="244"/>
      <c r="AL115" s="244"/>
      <c r="AM115" s="244"/>
      <c r="AN115" s="244"/>
      <c r="AO115" s="244"/>
      <c r="AP115" s="244"/>
      <c r="AQ115" s="244"/>
      <c r="AR115" s="244"/>
      <c r="AS115" s="244"/>
      <c r="AT115" s="244"/>
      <c r="AU115" s="244"/>
      <c r="AV115" s="244"/>
      <c r="AW115" s="244"/>
      <c r="AX115" s="244"/>
      <c r="AY115" s="244"/>
      <c r="AZ115" s="244"/>
      <c r="BA115" s="244"/>
      <c r="BB115" s="244"/>
      <c r="BC115" s="244"/>
      <c r="BD115" s="244"/>
      <c r="BE115" s="244"/>
      <c r="BF115" s="244"/>
      <c r="BG115" s="244"/>
      <c r="BH115" s="244"/>
      <c r="BI115" s="244"/>
      <c r="BJ115" s="244"/>
      <c r="BK115" s="244"/>
      <c r="BL115" s="244"/>
      <c r="BM115" s="244"/>
      <c r="BN115" s="244"/>
      <c r="BO115" s="244"/>
      <c r="BP115" s="244"/>
      <c r="BQ115" s="244"/>
      <c r="BR115" s="244"/>
      <c r="BS115" s="244"/>
      <c r="BT115" s="244"/>
      <c r="BU115" s="244"/>
      <c r="BV115" s="244"/>
      <c r="BW115" s="244"/>
      <c r="BX115" s="244"/>
      <c r="BY115" s="244"/>
      <c r="BZ115" s="244"/>
      <c r="CA115" s="244"/>
      <c r="CB115" s="244"/>
      <c r="CC115" s="244"/>
      <c r="CD115" s="244"/>
      <c r="CE115" s="244"/>
      <c r="CF115" s="244"/>
    </row>
    <row r="116">
      <c r="A116" s="244"/>
      <c r="B116" s="246"/>
      <c r="C116" s="244"/>
      <c r="D116" s="244"/>
      <c r="E116" s="244"/>
      <c r="F116" s="244"/>
      <c r="G116" s="244"/>
      <c r="H116" s="244"/>
      <c r="I116" s="244"/>
      <c r="J116" s="244"/>
      <c r="K116" s="244"/>
      <c r="L116" s="244"/>
      <c r="M116" s="244"/>
      <c r="N116" s="244"/>
      <c r="O116" s="244"/>
      <c r="P116" s="244"/>
      <c r="Q116" s="244"/>
      <c r="R116" s="244"/>
      <c r="S116" s="244"/>
      <c r="T116" s="244"/>
      <c r="U116" s="244"/>
      <c r="V116" s="244"/>
      <c r="W116" s="244"/>
      <c r="X116" s="244"/>
      <c r="Y116" s="244"/>
      <c r="Z116" s="244"/>
      <c r="AA116" s="244"/>
      <c r="AB116" s="244"/>
      <c r="AC116" s="244"/>
      <c r="AD116" s="244"/>
      <c r="AE116" s="244"/>
      <c r="AF116" s="244"/>
      <c r="AG116" s="244"/>
      <c r="AH116" s="244"/>
      <c r="AI116" s="244"/>
      <c r="AJ116" s="244"/>
      <c r="AK116" s="244"/>
      <c r="AL116" s="244"/>
      <c r="AM116" s="244"/>
      <c r="AN116" s="244"/>
      <c r="AO116" s="244"/>
      <c r="AP116" s="244"/>
      <c r="AQ116" s="244"/>
      <c r="AR116" s="244"/>
      <c r="AS116" s="244"/>
      <c r="AT116" s="244"/>
      <c r="AU116" s="244"/>
      <c r="AV116" s="244"/>
      <c r="AW116" s="244"/>
      <c r="AX116" s="244"/>
      <c r="AY116" s="244"/>
      <c r="AZ116" s="244"/>
      <c r="BA116" s="244"/>
      <c r="BB116" s="244"/>
      <c r="BC116" s="244"/>
      <c r="BD116" s="244"/>
      <c r="BE116" s="244"/>
      <c r="BF116" s="244"/>
      <c r="BG116" s="244"/>
      <c r="BH116" s="244"/>
      <c r="BI116" s="244"/>
      <c r="BJ116" s="244"/>
      <c r="BK116" s="244"/>
      <c r="BL116" s="244"/>
      <c r="BM116" s="244"/>
      <c r="BN116" s="244"/>
      <c r="BO116" s="244"/>
      <c r="BP116" s="244"/>
      <c r="BQ116" s="244"/>
      <c r="BR116" s="244"/>
      <c r="BS116" s="244"/>
      <c r="BT116" s="244"/>
      <c r="BU116" s="244"/>
      <c r="BV116" s="244"/>
      <c r="BW116" s="244"/>
      <c r="BX116" s="244"/>
      <c r="BY116" s="244"/>
      <c r="BZ116" s="244"/>
      <c r="CA116" s="244"/>
      <c r="CB116" s="244"/>
      <c r="CC116" s="244"/>
      <c r="CD116" s="244"/>
      <c r="CE116" s="244"/>
      <c r="CF116" s="244"/>
    </row>
    <row r="117">
      <c r="A117" s="244"/>
      <c r="B117" s="246"/>
      <c r="C117" s="244"/>
      <c r="D117" s="244"/>
      <c r="E117" s="244"/>
      <c r="F117" s="244"/>
      <c r="G117" s="244"/>
      <c r="H117" s="244"/>
      <c r="I117" s="244"/>
      <c r="J117" s="244"/>
      <c r="K117" s="244"/>
      <c r="L117" s="244"/>
      <c r="M117" s="244"/>
      <c r="N117" s="244"/>
      <c r="O117" s="244"/>
      <c r="P117" s="244"/>
      <c r="Q117" s="244"/>
      <c r="R117" s="244"/>
      <c r="S117" s="244"/>
      <c r="T117" s="244"/>
      <c r="U117" s="244"/>
      <c r="V117" s="244"/>
      <c r="W117" s="244"/>
      <c r="X117" s="244"/>
      <c r="Y117" s="244"/>
      <c r="Z117" s="244"/>
      <c r="AA117" s="244"/>
      <c r="AB117" s="244"/>
      <c r="AC117" s="244"/>
      <c r="AD117" s="244"/>
      <c r="AE117" s="244"/>
      <c r="AF117" s="244"/>
      <c r="AG117" s="244"/>
      <c r="AH117" s="244"/>
      <c r="AI117" s="244"/>
      <c r="AJ117" s="244"/>
      <c r="AK117" s="244"/>
      <c r="AL117" s="244"/>
      <c r="AM117" s="244"/>
      <c r="AN117" s="244"/>
      <c r="AO117" s="244"/>
      <c r="AP117" s="244"/>
      <c r="AQ117" s="244"/>
      <c r="AR117" s="244"/>
      <c r="AS117" s="244"/>
      <c r="AT117" s="244"/>
      <c r="AU117" s="244"/>
      <c r="AV117" s="244"/>
      <c r="AW117" s="244"/>
      <c r="AX117" s="244"/>
      <c r="AY117" s="244"/>
      <c r="AZ117" s="244"/>
      <c r="BA117" s="244"/>
      <c r="BB117" s="244"/>
      <c r="BC117" s="244"/>
      <c r="BD117" s="244"/>
      <c r="BE117" s="244"/>
      <c r="BF117" s="244"/>
      <c r="BG117" s="244"/>
      <c r="BH117" s="244"/>
      <c r="BI117" s="244"/>
      <c r="BJ117" s="244"/>
      <c r="BK117" s="244"/>
      <c r="BL117" s="244"/>
      <c r="BM117" s="244"/>
      <c r="BN117" s="244"/>
      <c r="BO117" s="244"/>
      <c r="BP117" s="244"/>
      <c r="BQ117" s="244"/>
      <c r="BR117" s="244"/>
      <c r="BS117" s="244"/>
      <c r="BT117" s="244"/>
      <c r="BU117" s="244"/>
      <c r="BV117" s="244"/>
      <c r="BW117" s="244"/>
      <c r="BX117" s="244"/>
      <c r="BY117" s="244"/>
      <c r="BZ117" s="244"/>
      <c r="CA117" s="244"/>
      <c r="CB117" s="244"/>
      <c r="CC117" s="244"/>
      <c r="CD117" s="244"/>
      <c r="CE117" s="244"/>
      <c r="CF117" s="244"/>
    </row>
    <row r="118">
      <c r="A118" s="244"/>
      <c r="B118" s="246"/>
      <c r="C118" s="244"/>
      <c r="D118" s="244"/>
      <c r="E118" s="244"/>
      <c r="F118" s="244"/>
      <c r="G118" s="244"/>
      <c r="H118" s="244"/>
      <c r="I118" s="244"/>
      <c r="J118" s="244"/>
      <c r="K118" s="244"/>
      <c r="L118" s="244"/>
      <c r="M118" s="244"/>
      <c r="N118" s="244"/>
      <c r="O118" s="244"/>
      <c r="P118" s="244"/>
      <c r="Q118" s="244"/>
      <c r="R118" s="244"/>
      <c r="S118" s="244"/>
      <c r="T118" s="244"/>
      <c r="U118" s="244"/>
      <c r="V118" s="244"/>
      <c r="W118" s="244"/>
      <c r="X118" s="244"/>
      <c r="Y118" s="244"/>
      <c r="Z118" s="244"/>
      <c r="AA118" s="244"/>
      <c r="AB118" s="244"/>
      <c r="AC118" s="244"/>
      <c r="AD118" s="244"/>
      <c r="AE118" s="244"/>
      <c r="AF118" s="244"/>
      <c r="AG118" s="244"/>
      <c r="AH118" s="244"/>
      <c r="AI118" s="244"/>
      <c r="AJ118" s="244"/>
      <c r="AK118" s="244"/>
      <c r="AL118" s="244"/>
      <c r="AM118" s="244"/>
      <c r="AN118" s="244"/>
      <c r="AO118" s="244"/>
      <c r="AP118" s="244"/>
      <c r="AQ118" s="244"/>
      <c r="AR118" s="244"/>
      <c r="AS118" s="244"/>
      <c r="AT118" s="244"/>
      <c r="AU118" s="244"/>
      <c r="AV118" s="244"/>
      <c r="AW118" s="244"/>
      <c r="AX118" s="244"/>
      <c r="AY118" s="244"/>
      <c r="AZ118" s="244"/>
      <c r="BA118" s="244"/>
      <c r="BB118" s="244"/>
      <c r="BC118" s="244"/>
      <c r="BD118" s="244"/>
      <c r="BE118" s="244"/>
      <c r="BF118" s="244"/>
      <c r="BG118" s="244"/>
      <c r="BH118" s="244"/>
      <c r="BI118" s="244"/>
      <c r="BJ118" s="244"/>
      <c r="BK118" s="244"/>
      <c r="BL118" s="244"/>
      <c r="BM118" s="244"/>
      <c r="BN118" s="244"/>
      <c r="BO118" s="244"/>
      <c r="BP118" s="244"/>
      <c r="BQ118" s="244"/>
      <c r="BR118" s="244"/>
      <c r="BS118" s="244"/>
      <c r="BT118" s="244"/>
      <c r="BU118" s="244"/>
      <c r="BV118" s="244"/>
      <c r="BW118" s="244"/>
      <c r="BX118" s="244"/>
      <c r="BY118" s="244"/>
      <c r="BZ118" s="244"/>
      <c r="CA118" s="244"/>
      <c r="CB118" s="244"/>
      <c r="CC118" s="244"/>
      <c r="CD118" s="244"/>
      <c r="CE118" s="244"/>
      <c r="CF118" s="244"/>
    </row>
    <row r="119">
      <c r="A119" s="244"/>
      <c r="B119" s="246"/>
      <c r="C119" s="244"/>
      <c r="D119" s="244"/>
      <c r="E119" s="244"/>
      <c r="F119" s="244"/>
      <c r="G119" s="244"/>
      <c r="H119" s="244"/>
      <c r="I119" s="244"/>
      <c r="J119" s="244"/>
      <c r="K119" s="244"/>
      <c r="L119" s="244"/>
      <c r="M119" s="244"/>
      <c r="N119" s="244"/>
      <c r="O119" s="244"/>
      <c r="P119" s="244"/>
      <c r="Q119" s="244"/>
      <c r="R119" s="244"/>
      <c r="S119" s="244"/>
      <c r="T119" s="244"/>
      <c r="U119" s="244"/>
      <c r="V119" s="244"/>
      <c r="W119" s="244"/>
      <c r="X119" s="244"/>
      <c r="Y119" s="244"/>
      <c r="Z119" s="244"/>
      <c r="AA119" s="244"/>
      <c r="AB119" s="244"/>
      <c r="AC119" s="244"/>
      <c r="AD119" s="244"/>
      <c r="AE119" s="244"/>
      <c r="AF119" s="244"/>
      <c r="AG119" s="244"/>
      <c r="AH119" s="244"/>
      <c r="AI119" s="244"/>
      <c r="AJ119" s="244"/>
      <c r="AK119" s="244"/>
      <c r="AL119" s="244"/>
      <c r="AM119" s="244"/>
      <c r="AN119" s="244"/>
      <c r="AO119" s="244"/>
      <c r="AP119" s="244"/>
      <c r="AQ119" s="244"/>
      <c r="AR119" s="244"/>
      <c r="AS119" s="244"/>
      <c r="AT119" s="244"/>
      <c r="AU119" s="244"/>
      <c r="AV119" s="244"/>
      <c r="AW119" s="244"/>
      <c r="AX119" s="244"/>
      <c r="AY119" s="244"/>
      <c r="AZ119" s="244"/>
      <c r="BA119" s="244"/>
      <c r="BB119" s="244"/>
      <c r="BC119" s="244"/>
      <c r="BD119" s="244"/>
      <c r="BE119" s="244"/>
      <c r="BF119" s="244"/>
      <c r="BG119" s="244"/>
      <c r="BH119" s="244"/>
      <c r="BI119" s="244"/>
      <c r="BJ119" s="244"/>
      <c r="BK119" s="244"/>
      <c r="BL119" s="244"/>
      <c r="BM119" s="244"/>
      <c r="BN119" s="244"/>
      <c r="BO119" s="244"/>
      <c r="BP119" s="244"/>
      <c r="BQ119" s="244"/>
      <c r="BR119" s="244"/>
      <c r="BS119" s="244"/>
      <c r="BT119" s="244"/>
      <c r="BU119" s="244"/>
      <c r="BV119" s="244"/>
      <c r="BW119" s="244"/>
      <c r="BX119" s="244"/>
      <c r="BY119" s="244"/>
      <c r="BZ119" s="244"/>
      <c r="CA119" s="244"/>
      <c r="CB119" s="244"/>
      <c r="CC119" s="244"/>
      <c r="CD119" s="244"/>
      <c r="CE119" s="244"/>
      <c r="CF119" s="244"/>
    </row>
    <row r="120">
      <c r="A120" s="244"/>
      <c r="B120" s="246"/>
      <c r="C120" s="244"/>
      <c r="D120" s="244"/>
      <c r="E120" s="244"/>
      <c r="F120" s="244"/>
      <c r="G120" s="244"/>
      <c r="H120" s="244"/>
      <c r="I120" s="244"/>
      <c r="J120" s="244"/>
      <c r="K120" s="244"/>
      <c r="L120" s="244"/>
      <c r="M120" s="244"/>
      <c r="N120" s="244"/>
      <c r="O120" s="244"/>
      <c r="P120" s="244"/>
      <c r="Q120" s="244"/>
      <c r="R120" s="244"/>
      <c r="S120" s="244"/>
      <c r="T120" s="244"/>
      <c r="U120" s="244"/>
      <c r="V120" s="244"/>
      <c r="W120" s="244"/>
      <c r="X120" s="244"/>
      <c r="Y120" s="244"/>
      <c r="Z120" s="244"/>
      <c r="AA120" s="244"/>
      <c r="AB120" s="244"/>
      <c r="AC120" s="244"/>
      <c r="AD120" s="244"/>
      <c r="AE120" s="244"/>
      <c r="AF120" s="244"/>
      <c r="AG120" s="244"/>
      <c r="AH120" s="244"/>
      <c r="AI120" s="244"/>
      <c r="AJ120" s="244"/>
      <c r="AK120" s="244"/>
      <c r="AL120" s="244"/>
      <c r="AM120" s="244"/>
      <c r="AN120" s="244"/>
      <c r="AO120" s="244"/>
      <c r="AP120" s="244"/>
      <c r="AQ120" s="244"/>
      <c r="AR120" s="244"/>
      <c r="AS120" s="244"/>
      <c r="AT120" s="244"/>
      <c r="AU120" s="244"/>
      <c r="AV120" s="244"/>
      <c r="AW120" s="244"/>
      <c r="AX120" s="244"/>
      <c r="AY120" s="244"/>
      <c r="AZ120" s="244"/>
      <c r="BA120" s="244"/>
      <c r="BB120" s="244"/>
      <c r="BC120" s="244"/>
      <c r="BD120" s="244"/>
      <c r="BE120" s="244"/>
      <c r="BF120" s="244"/>
      <c r="BG120" s="244"/>
      <c r="BH120" s="244"/>
      <c r="BI120" s="244"/>
      <c r="BJ120" s="244"/>
      <c r="BK120" s="244"/>
      <c r="BL120" s="244"/>
      <c r="BM120" s="244"/>
      <c r="BN120" s="244"/>
      <c r="BO120" s="244"/>
      <c r="BP120" s="244"/>
      <c r="BQ120" s="244"/>
      <c r="BR120" s="244"/>
      <c r="BS120" s="244"/>
      <c r="BT120" s="244"/>
      <c r="BU120" s="244"/>
      <c r="BV120" s="244"/>
      <c r="BW120" s="244"/>
      <c r="BX120" s="244"/>
      <c r="BY120" s="244"/>
      <c r="BZ120" s="244"/>
      <c r="CA120" s="244"/>
      <c r="CB120" s="244"/>
      <c r="CC120" s="244"/>
      <c r="CD120" s="244"/>
      <c r="CE120" s="244"/>
      <c r="CF120" s="244"/>
    </row>
    <row r="121">
      <c r="A121" s="244"/>
      <c r="B121" s="246"/>
      <c r="C121" s="244"/>
      <c r="D121" s="244"/>
      <c r="E121" s="244"/>
      <c r="F121" s="244"/>
      <c r="G121" s="244"/>
      <c r="H121" s="244"/>
      <c r="I121" s="244"/>
      <c r="J121" s="244"/>
      <c r="K121" s="244"/>
      <c r="L121" s="244"/>
      <c r="M121" s="244"/>
      <c r="N121" s="244"/>
      <c r="O121" s="244"/>
      <c r="P121" s="244"/>
      <c r="Q121" s="244"/>
      <c r="R121" s="244"/>
      <c r="S121" s="244"/>
      <c r="T121" s="244"/>
      <c r="U121" s="244"/>
      <c r="V121" s="244"/>
      <c r="W121" s="244"/>
      <c r="X121" s="244"/>
      <c r="Y121" s="244"/>
      <c r="Z121" s="244"/>
      <c r="AA121" s="244"/>
      <c r="AB121" s="244"/>
      <c r="AC121" s="244"/>
      <c r="AD121" s="244"/>
      <c r="AE121" s="244"/>
      <c r="AF121" s="244"/>
      <c r="AG121" s="244"/>
      <c r="AH121" s="244"/>
      <c r="AI121" s="244"/>
      <c r="AJ121" s="244"/>
      <c r="AK121" s="244"/>
      <c r="AL121" s="244"/>
      <c r="AM121" s="244"/>
      <c r="AN121" s="244"/>
      <c r="AO121" s="244"/>
      <c r="AP121" s="244"/>
      <c r="AQ121" s="244"/>
      <c r="AR121" s="244"/>
      <c r="AS121" s="244"/>
      <c r="AT121" s="244"/>
      <c r="AU121" s="244"/>
      <c r="AV121" s="244"/>
      <c r="AW121" s="244"/>
      <c r="AX121" s="244"/>
      <c r="AY121" s="244"/>
      <c r="AZ121" s="244"/>
      <c r="BA121" s="244"/>
      <c r="BB121" s="244"/>
      <c r="BC121" s="244"/>
      <c r="BD121" s="244"/>
      <c r="BE121" s="244"/>
      <c r="BF121" s="244"/>
      <c r="BG121" s="244"/>
      <c r="BH121" s="244"/>
      <c r="BI121" s="244"/>
      <c r="BJ121" s="244"/>
      <c r="BK121" s="244"/>
      <c r="BL121" s="244"/>
      <c r="BM121" s="244"/>
      <c r="BN121" s="244"/>
      <c r="BO121" s="244"/>
      <c r="BP121" s="244"/>
      <c r="BQ121" s="244"/>
      <c r="BR121" s="244"/>
      <c r="BS121" s="244"/>
      <c r="BT121" s="244"/>
      <c r="BU121" s="244"/>
      <c r="BV121" s="244"/>
      <c r="BW121" s="244"/>
      <c r="BX121" s="244"/>
      <c r="BY121" s="244"/>
      <c r="BZ121" s="244"/>
      <c r="CA121" s="244"/>
      <c r="CB121" s="244"/>
      <c r="CC121" s="244"/>
      <c r="CD121" s="244"/>
      <c r="CE121" s="244"/>
      <c r="CF121" s="244"/>
    </row>
    <row r="122">
      <c r="A122" s="244"/>
      <c r="B122" s="246"/>
      <c r="C122" s="244"/>
      <c r="D122" s="244"/>
      <c r="E122" s="244"/>
      <c r="F122" s="244"/>
      <c r="G122" s="244"/>
      <c r="H122" s="244"/>
      <c r="I122" s="244"/>
      <c r="J122" s="244"/>
      <c r="K122" s="244"/>
      <c r="L122" s="244"/>
      <c r="M122" s="244"/>
      <c r="N122" s="244"/>
      <c r="O122" s="244"/>
      <c r="P122" s="244"/>
      <c r="Q122" s="244"/>
      <c r="R122" s="244"/>
      <c r="S122" s="244"/>
      <c r="T122" s="244"/>
      <c r="U122" s="244"/>
      <c r="V122" s="244"/>
      <c r="W122" s="244"/>
      <c r="X122" s="244"/>
      <c r="Y122" s="244"/>
      <c r="Z122" s="244"/>
      <c r="AA122" s="244"/>
      <c r="AB122" s="244"/>
      <c r="AC122" s="244"/>
      <c r="AD122" s="244"/>
      <c r="AE122" s="244"/>
      <c r="AF122" s="244"/>
      <c r="AG122" s="244"/>
      <c r="AH122" s="244"/>
      <c r="AI122" s="244"/>
      <c r="AJ122" s="244"/>
      <c r="AK122" s="244"/>
      <c r="AL122" s="244"/>
      <c r="AM122" s="244"/>
      <c r="AN122" s="244"/>
      <c r="AO122" s="244"/>
      <c r="AP122" s="244"/>
      <c r="AQ122" s="244"/>
      <c r="AR122" s="244"/>
      <c r="AS122" s="244"/>
      <c r="AT122" s="244"/>
      <c r="AU122" s="244"/>
      <c r="AV122" s="244"/>
      <c r="AW122" s="244"/>
      <c r="AX122" s="244"/>
      <c r="AY122" s="244"/>
      <c r="AZ122" s="244"/>
      <c r="BA122" s="244"/>
      <c r="BB122" s="244"/>
      <c r="BC122" s="244"/>
      <c r="BD122" s="244"/>
      <c r="BE122" s="244"/>
      <c r="BF122" s="244"/>
      <c r="BG122" s="244"/>
      <c r="BH122" s="244"/>
      <c r="BI122" s="244"/>
      <c r="BJ122" s="244"/>
      <c r="BK122" s="244"/>
      <c r="BL122" s="244"/>
      <c r="BM122" s="244"/>
      <c r="BN122" s="244"/>
      <c r="BO122" s="244"/>
      <c r="BP122" s="244"/>
      <c r="BQ122" s="244"/>
      <c r="BR122" s="244"/>
      <c r="BS122" s="244"/>
      <c r="BT122" s="244"/>
      <c r="BU122" s="244"/>
      <c r="BV122" s="244"/>
      <c r="BW122" s="244"/>
      <c r="BX122" s="244"/>
      <c r="BY122" s="244"/>
      <c r="BZ122" s="244"/>
      <c r="CA122" s="244"/>
      <c r="CB122" s="244"/>
      <c r="CC122" s="244"/>
      <c r="CD122" s="244"/>
      <c r="CE122" s="244"/>
      <c r="CF122" s="244"/>
    </row>
    <row r="123">
      <c r="A123" s="244"/>
      <c r="B123" s="246"/>
      <c r="C123" s="244"/>
      <c r="D123" s="244"/>
      <c r="E123" s="244"/>
      <c r="F123" s="244"/>
      <c r="G123" s="244"/>
      <c r="H123" s="244"/>
      <c r="I123" s="244"/>
      <c r="J123" s="244"/>
      <c r="K123" s="244"/>
      <c r="L123" s="244"/>
      <c r="M123" s="244"/>
      <c r="N123" s="244"/>
      <c r="O123" s="244"/>
      <c r="P123" s="244"/>
      <c r="Q123" s="244"/>
      <c r="R123" s="244"/>
      <c r="S123" s="244"/>
      <c r="T123" s="244"/>
      <c r="U123" s="244"/>
      <c r="V123" s="244"/>
      <c r="W123" s="244"/>
      <c r="X123" s="244"/>
      <c r="Y123" s="244"/>
      <c r="Z123" s="244"/>
      <c r="AA123" s="244"/>
      <c r="AB123" s="244"/>
      <c r="AC123" s="244"/>
      <c r="AD123" s="244"/>
      <c r="AE123" s="244"/>
      <c r="AF123" s="244"/>
      <c r="AG123" s="244"/>
      <c r="AH123" s="244"/>
      <c r="AI123" s="244"/>
      <c r="AJ123" s="244"/>
      <c r="AK123" s="244"/>
      <c r="AL123" s="244"/>
      <c r="AM123" s="244"/>
      <c r="AN123" s="244"/>
      <c r="AO123" s="244"/>
      <c r="AP123" s="244"/>
      <c r="AQ123" s="244"/>
      <c r="AR123" s="244"/>
      <c r="AS123" s="244"/>
      <c r="AT123" s="244"/>
      <c r="AU123" s="244"/>
      <c r="AV123" s="244"/>
      <c r="AW123" s="244"/>
      <c r="AX123" s="244"/>
      <c r="AY123" s="244"/>
      <c r="AZ123" s="244"/>
      <c r="BA123" s="244"/>
      <c r="BB123" s="244"/>
      <c r="BC123" s="244"/>
      <c r="BD123" s="244"/>
      <c r="BE123" s="244"/>
      <c r="BF123" s="244"/>
      <c r="BG123" s="244"/>
      <c r="BH123" s="244"/>
      <c r="BI123" s="244"/>
      <c r="BJ123" s="244"/>
      <c r="BK123" s="244"/>
      <c r="BL123" s="244"/>
      <c r="BM123" s="244"/>
      <c r="BN123" s="244"/>
      <c r="BO123" s="244"/>
      <c r="BP123" s="244"/>
      <c r="BQ123" s="244"/>
      <c r="BR123" s="244"/>
      <c r="BS123" s="244"/>
      <c r="BT123" s="244"/>
      <c r="BU123" s="244"/>
      <c r="BV123" s="244"/>
      <c r="BW123" s="244"/>
      <c r="BX123" s="244"/>
      <c r="BY123" s="244"/>
      <c r="BZ123" s="244"/>
      <c r="CA123" s="244"/>
      <c r="CB123" s="244"/>
      <c r="CC123" s="244"/>
      <c r="CD123" s="244"/>
      <c r="CE123" s="244"/>
      <c r="CF123" s="244"/>
    </row>
    <row r="124">
      <c r="A124" s="244"/>
      <c r="B124" s="246"/>
      <c r="C124" s="244"/>
      <c r="D124" s="244"/>
      <c r="E124" s="244"/>
      <c r="F124" s="244"/>
      <c r="G124" s="244"/>
      <c r="H124" s="244"/>
      <c r="I124" s="244"/>
      <c r="J124" s="244"/>
      <c r="K124" s="244"/>
      <c r="L124" s="244"/>
      <c r="M124" s="244"/>
      <c r="N124" s="244"/>
      <c r="O124" s="244"/>
      <c r="P124" s="244"/>
      <c r="Q124" s="244"/>
      <c r="R124" s="244"/>
      <c r="S124" s="244"/>
      <c r="T124" s="244"/>
      <c r="U124" s="244"/>
      <c r="V124" s="244"/>
      <c r="W124" s="244"/>
      <c r="X124" s="244"/>
      <c r="Y124" s="244"/>
      <c r="Z124" s="244"/>
      <c r="AA124" s="244"/>
      <c r="AB124" s="244"/>
      <c r="AC124" s="244"/>
      <c r="AD124" s="244"/>
      <c r="AE124" s="244"/>
      <c r="AF124" s="244"/>
      <c r="AG124" s="244"/>
      <c r="AH124" s="244"/>
      <c r="AI124" s="244"/>
      <c r="AJ124" s="244"/>
      <c r="AK124" s="244"/>
      <c r="AL124" s="244"/>
      <c r="AM124" s="244"/>
      <c r="AN124" s="244"/>
      <c r="AO124" s="244"/>
      <c r="AP124" s="244"/>
      <c r="AQ124" s="244"/>
      <c r="AR124" s="244"/>
      <c r="AS124" s="244"/>
      <c r="AT124" s="244"/>
      <c r="AU124" s="244"/>
      <c r="AV124" s="244"/>
      <c r="AW124" s="244"/>
      <c r="AX124" s="244"/>
      <c r="AY124" s="244"/>
      <c r="AZ124" s="244"/>
      <c r="BA124" s="244"/>
      <c r="BB124" s="244"/>
      <c r="BC124" s="244"/>
      <c r="BD124" s="244"/>
      <c r="BE124" s="244"/>
      <c r="BF124" s="244"/>
      <c r="BG124" s="244"/>
      <c r="BH124" s="244"/>
      <c r="BI124" s="244"/>
      <c r="BJ124" s="244"/>
      <c r="BK124" s="244"/>
      <c r="BL124" s="244"/>
      <c r="BM124" s="244"/>
      <c r="BN124" s="244"/>
      <c r="BO124" s="244"/>
      <c r="BP124" s="244"/>
      <c r="BQ124" s="244"/>
      <c r="BR124" s="244"/>
      <c r="BS124" s="244"/>
      <c r="BT124" s="244"/>
      <c r="BU124" s="244"/>
      <c r="BV124" s="244"/>
      <c r="BW124" s="244"/>
      <c r="BX124" s="244"/>
      <c r="BY124" s="244"/>
      <c r="BZ124" s="244"/>
      <c r="CA124" s="244"/>
      <c r="CB124" s="244"/>
      <c r="CC124" s="244"/>
      <c r="CD124" s="244"/>
      <c r="CE124" s="244"/>
      <c r="CF124" s="244"/>
    </row>
    <row r="125">
      <c r="A125" s="244"/>
      <c r="B125" s="246"/>
      <c r="C125" s="244"/>
      <c r="D125" s="244"/>
      <c r="E125" s="244"/>
      <c r="F125" s="244"/>
      <c r="G125" s="244"/>
      <c r="H125" s="244"/>
      <c r="I125" s="244"/>
      <c r="J125" s="244"/>
      <c r="K125" s="244"/>
      <c r="L125" s="244"/>
      <c r="M125" s="244"/>
      <c r="N125" s="244"/>
      <c r="O125" s="244"/>
      <c r="P125" s="244"/>
      <c r="Q125" s="244"/>
      <c r="R125" s="244"/>
      <c r="S125" s="244"/>
      <c r="T125" s="244"/>
      <c r="U125" s="244"/>
      <c r="V125" s="244"/>
      <c r="W125" s="244"/>
      <c r="X125" s="244"/>
      <c r="Y125" s="244"/>
      <c r="Z125" s="244"/>
      <c r="AA125" s="244"/>
      <c r="AB125" s="244"/>
      <c r="AC125" s="244"/>
      <c r="AD125" s="244"/>
      <c r="AE125" s="244"/>
      <c r="AF125" s="244"/>
      <c r="AG125" s="244"/>
      <c r="AH125" s="244"/>
      <c r="AI125" s="244"/>
      <c r="AJ125" s="244"/>
      <c r="AK125" s="244"/>
      <c r="AL125" s="244"/>
      <c r="AM125" s="244"/>
      <c r="AN125" s="244"/>
      <c r="AO125" s="244"/>
      <c r="AP125" s="244"/>
      <c r="AQ125" s="244"/>
      <c r="AR125" s="244"/>
      <c r="AS125" s="244"/>
      <c r="AT125" s="244"/>
      <c r="AU125" s="244"/>
      <c r="AV125" s="244"/>
      <c r="AW125" s="244"/>
      <c r="AX125" s="244"/>
      <c r="AY125" s="244"/>
      <c r="AZ125" s="244"/>
      <c r="BA125" s="244"/>
      <c r="BB125" s="244"/>
      <c r="BC125" s="244"/>
      <c r="BD125" s="244"/>
      <c r="BE125" s="244"/>
      <c r="BF125" s="244"/>
      <c r="BG125" s="244"/>
      <c r="BH125" s="244"/>
      <c r="BI125" s="244"/>
      <c r="BJ125" s="244"/>
      <c r="BK125" s="244"/>
      <c r="BL125" s="244"/>
      <c r="BM125" s="244"/>
      <c r="BN125" s="244"/>
      <c r="BO125" s="244"/>
      <c r="BP125" s="244"/>
      <c r="BQ125" s="244"/>
      <c r="BR125" s="244"/>
      <c r="BS125" s="244"/>
      <c r="BT125" s="244"/>
      <c r="BU125" s="244"/>
      <c r="BV125" s="244"/>
      <c r="BW125" s="244"/>
      <c r="BX125" s="244"/>
      <c r="BY125" s="244"/>
      <c r="BZ125" s="244"/>
      <c r="CA125" s="244"/>
      <c r="CB125" s="244"/>
      <c r="CC125" s="244"/>
      <c r="CD125" s="244"/>
      <c r="CE125" s="244"/>
      <c r="CF125" s="244"/>
    </row>
    <row r="126">
      <c r="A126" s="244"/>
      <c r="B126" s="246"/>
      <c r="C126" s="244"/>
      <c r="D126" s="244"/>
      <c r="E126" s="244"/>
      <c r="F126" s="244"/>
      <c r="G126" s="244"/>
      <c r="H126" s="244"/>
      <c r="I126" s="244"/>
      <c r="J126" s="244"/>
      <c r="K126" s="244"/>
      <c r="L126" s="244"/>
      <c r="M126" s="244"/>
      <c r="N126" s="244"/>
      <c r="O126" s="244"/>
      <c r="P126" s="244"/>
      <c r="Q126" s="244"/>
      <c r="R126" s="244"/>
      <c r="S126" s="244"/>
      <c r="T126" s="244"/>
      <c r="U126" s="244"/>
      <c r="V126" s="244"/>
      <c r="W126" s="244"/>
      <c r="X126" s="244"/>
      <c r="Y126" s="244"/>
      <c r="Z126" s="244"/>
      <c r="AA126" s="244"/>
      <c r="AB126" s="244"/>
      <c r="AC126" s="244"/>
      <c r="AD126" s="244"/>
      <c r="AE126" s="244"/>
      <c r="AF126" s="244"/>
      <c r="AG126" s="244"/>
      <c r="AH126" s="244"/>
      <c r="AI126" s="244"/>
      <c r="AJ126" s="244"/>
      <c r="AK126" s="244"/>
      <c r="AL126" s="244"/>
      <c r="AM126" s="244"/>
      <c r="AN126" s="244"/>
      <c r="AO126" s="244"/>
      <c r="AP126" s="244"/>
      <c r="AQ126" s="244"/>
      <c r="AR126" s="244"/>
      <c r="AS126" s="244"/>
      <c r="AT126" s="244"/>
      <c r="AU126" s="244"/>
      <c r="AV126" s="244"/>
      <c r="AW126" s="244"/>
      <c r="AX126" s="244"/>
      <c r="AY126" s="244"/>
      <c r="AZ126" s="244"/>
      <c r="BA126" s="244"/>
      <c r="BB126" s="244"/>
      <c r="BC126" s="244"/>
      <c r="BD126" s="244"/>
      <c r="BE126" s="244"/>
      <c r="BF126" s="244"/>
      <c r="BG126" s="244"/>
      <c r="BH126" s="244"/>
      <c r="BI126" s="244"/>
      <c r="BJ126" s="244"/>
      <c r="BK126" s="244"/>
      <c r="BL126" s="244"/>
      <c r="BM126" s="244"/>
      <c r="BN126" s="244"/>
      <c r="BO126" s="244"/>
      <c r="BP126" s="244"/>
      <c r="BQ126" s="244"/>
      <c r="BR126" s="244"/>
      <c r="BS126" s="244"/>
      <c r="BT126" s="244"/>
      <c r="BU126" s="244"/>
      <c r="BV126" s="244"/>
      <c r="BW126" s="244"/>
      <c r="BX126" s="244"/>
      <c r="BY126" s="244"/>
      <c r="BZ126" s="244"/>
      <c r="CA126" s="244"/>
      <c r="CB126" s="244"/>
      <c r="CC126" s="244"/>
      <c r="CD126" s="244"/>
      <c r="CE126" s="244"/>
      <c r="CF126" s="244"/>
    </row>
    <row r="127">
      <c r="A127" s="244"/>
      <c r="B127" s="246"/>
      <c r="C127" s="244"/>
      <c r="D127" s="244"/>
      <c r="E127" s="244"/>
      <c r="F127" s="244"/>
      <c r="G127" s="244"/>
      <c r="H127" s="244"/>
      <c r="I127" s="244"/>
      <c r="J127" s="244"/>
      <c r="K127" s="244"/>
      <c r="L127" s="244"/>
      <c r="M127" s="244"/>
      <c r="N127" s="244"/>
      <c r="O127" s="244"/>
      <c r="P127" s="244"/>
      <c r="Q127" s="244"/>
      <c r="R127" s="244"/>
      <c r="S127" s="244"/>
      <c r="T127" s="244"/>
      <c r="U127" s="244"/>
      <c r="V127" s="244"/>
      <c r="W127" s="244"/>
      <c r="X127" s="244"/>
      <c r="Y127" s="244"/>
      <c r="Z127" s="244"/>
      <c r="AA127" s="244"/>
      <c r="AB127" s="244"/>
      <c r="AC127" s="244"/>
      <c r="AD127" s="244"/>
      <c r="AE127" s="244"/>
      <c r="AF127" s="244"/>
      <c r="AG127" s="244"/>
      <c r="AH127" s="244"/>
      <c r="AI127" s="244"/>
      <c r="AJ127" s="244"/>
      <c r="AK127" s="244"/>
      <c r="AL127" s="244"/>
      <c r="AM127" s="244"/>
      <c r="AN127" s="244"/>
      <c r="AO127" s="244"/>
      <c r="AP127" s="244"/>
      <c r="AQ127" s="244"/>
      <c r="AR127" s="244"/>
      <c r="AS127" s="244"/>
      <c r="AT127" s="244"/>
      <c r="AU127" s="244"/>
      <c r="AV127" s="244"/>
      <c r="AW127" s="244"/>
      <c r="AX127" s="244"/>
      <c r="AY127" s="244"/>
      <c r="AZ127" s="244"/>
      <c r="BA127" s="244"/>
      <c r="BB127" s="244"/>
      <c r="BC127" s="244"/>
      <c r="BD127" s="244"/>
      <c r="BE127" s="244"/>
      <c r="BF127" s="244"/>
      <c r="BG127" s="244"/>
      <c r="BH127" s="244"/>
      <c r="BI127" s="244"/>
      <c r="BJ127" s="244"/>
      <c r="BK127" s="244"/>
      <c r="BL127" s="244"/>
      <c r="BM127" s="244"/>
      <c r="BN127" s="244"/>
      <c r="BO127" s="244"/>
      <c r="BP127" s="244"/>
      <c r="BQ127" s="244"/>
      <c r="BR127" s="244"/>
      <c r="BS127" s="244"/>
      <c r="BT127" s="244"/>
      <c r="BU127" s="244"/>
      <c r="BV127" s="244"/>
      <c r="BW127" s="244"/>
      <c r="BX127" s="244"/>
      <c r="BY127" s="244"/>
      <c r="BZ127" s="244"/>
      <c r="CA127" s="244"/>
      <c r="CB127" s="244"/>
      <c r="CC127" s="244"/>
      <c r="CD127" s="244"/>
      <c r="CE127" s="244"/>
      <c r="CF127" s="244"/>
    </row>
    <row r="128">
      <c r="A128" s="244"/>
      <c r="B128" s="246"/>
      <c r="C128" s="244"/>
      <c r="D128" s="244"/>
      <c r="E128" s="244"/>
      <c r="F128" s="244"/>
      <c r="G128" s="244"/>
      <c r="H128" s="244"/>
      <c r="I128" s="244"/>
      <c r="J128" s="244"/>
      <c r="K128" s="244"/>
      <c r="L128" s="244"/>
      <c r="M128" s="244"/>
      <c r="N128" s="244"/>
      <c r="O128" s="244"/>
      <c r="P128" s="244"/>
      <c r="Q128" s="244"/>
      <c r="R128" s="244"/>
      <c r="S128" s="244"/>
      <c r="T128" s="244"/>
      <c r="U128" s="244"/>
      <c r="V128" s="244"/>
      <c r="W128" s="244"/>
      <c r="X128" s="244"/>
      <c r="Y128" s="244"/>
      <c r="Z128" s="244"/>
      <c r="AA128" s="244"/>
      <c r="AB128" s="244"/>
      <c r="AC128" s="244"/>
      <c r="AD128" s="244"/>
      <c r="AE128" s="244"/>
      <c r="AF128" s="244"/>
      <c r="AG128" s="244"/>
      <c r="AH128" s="244"/>
      <c r="AI128" s="244"/>
      <c r="AJ128" s="244"/>
      <c r="AK128" s="244"/>
      <c r="AL128" s="244"/>
      <c r="AM128" s="244"/>
      <c r="AN128" s="244"/>
      <c r="AO128" s="244"/>
      <c r="AP128" s="244"/>
      <c r="AQ128" s="244"/>
      <c r="AR128" s="244"/>
      <c r="AS128" s="244"/>
      <c r="AT128" s="244"/>
      <c r="AU128" s="244"/>
      <c r="AV128" s="244"/>
      <c r="AW128" s="244"/>
      <c r="AX128" s="244"/>
      <c r="AY128" s="244"/>
      <c r="AZ128" s="244"/>
      <c r="BA128" s="244"/>
      <c r="BB128" s="244"/>
      <c r="BC128" s="244"/>
      <c r="BD128" s="244"/>
      <c r="BE128" s="244"/>
      <c r="BF128" s="244"/>
      <c r="BG128" s="244"/>
      <c r="BH128" s="244"/>
      <c r="BI128" s="244"/>
      <c r="BJ128" s="244"/>
      <c r="BK128" s="244"/>
      <c r="BL128" s="244"/>
      <c r="BM128" s="244"/>
      <c r="BN128" s="244"/>
      <c r="BO128" s="244"/>
      <c r="BP128" s="244"/>
      <c r="BQ128" s="244"/>
      <c r="BR128" s="244"/>
      <c r="BS128" s="244"/>
      <c r="BT128" s="244"/>
      <c r="BU128" s="244"/>
      <c r="BV128" s="244"/>
      <c r="BW128" s="244"/>
      <c r="BX128" s="244"/>
      <c r="BY128" s="244"/>
      <c r="BZ128" s="244"/>
      <c r="CA128" s="244"/>
      <c r="CB128" s="244"/>
      <c r="CC128" s="244"/>
      <c r="CD128" s="244"/>
      <c r="CE128" s="244"/>
      <c r="CF128" s="244"/>
    </row>
    <row r="129">
      <c r="A129" s="244"/>
      <c r="B129" s="246"/>
      <c r="C129" s="244"/>
      <c r="D129" s="244"/>
      <c r="E129" s="244"/>
      <c r="F129" s="244"/>
      <c r="G129" s="244"/>
      <c r="H129" s="244"/>
      <c r="I129" s="244"/>
      <c r="J129" s="244"/>
      <c r="K129" s="244"/>
      <c r="L129" s="244"/>
      <c r="M129" s="244"/>
      <c r="N129" s="244"/>
      <c r="O129" s="244"/>
      <c r="P129" s="244"/>
      <c r="Q129" s="244"/>
      <c r="R129" s="244"/>
      <c r="S129" s="244"/>
      <c r="T129" s="244"/>
      <c r="U129" s="244"/>
      <c r="V129" s="244"/>
      <c r="W129" s="244"/>
      <c r="X129" s="244"/>
      <c r="Y129" s="244"/>
      <c r="Z129" s="244"/>
      <c r="AA129" s="244"/>
      <c r="AB129" s="244"/>
      <c r="AC129" s="244"/>
      <c r="AD129" s="244"/>
      <c r="AE129" s="244"/>
      <c r="AF129" s="244"/>
      <c r="AG129" s="244"/>
      <c r="AH129" s="244"/>
      <c r="AI129" s="244"/>
      <c r="AJ129" s="244"/>
      <c r="AK129" s="244"/>
      <c r="AL129" s="244"/>
      <c r="AM129" s="244"/>
      <c r="AN129" s="244"/>
      <c r="AO129" s="244"/>
      <c r="AP129" s="244"/>
      <c r="AQ129" s="244"/>
      <c r="AR129" s="244"/>
      <c r="AS129" s="244"/>
      <c r="AT129" s="244"/>
      <c r="AU129" s="244"/>
      <c r="AV129" s="244"/>
      <c r="AW129" s="244"/>
      <c r="AX129" s="244"/>
      <c r="AY129" s="244"/>
      <c r="AZ129" s="244"/>
      <c r="BA129" s="244"/>
      <c r="BB129" s="244"/>
      <c r="BC129" s="244"/>
      <c r="BD129" s="244"/>
      <c r="BE129" s="244"/>
      <c r="BF129" s="244"/>
      <c r="BG129" s="244"/>
      <c r="BH129" s="244"/>
      <c r="BI129" s="244"/>
      <c r="BJ129" s="244"/>
      <c r="BK129" s="244"/>
      <c r="BL129" s="244"/>
      <c r="BM129" s="244"/>
      <c r="BN129" s="244"/>
      <c r="BO129" s="244"/>
      <c r="BP129" s="244"/>
      <c r="BQ129" s="244"/>
      <c r="BR129" s="244"/>
      <c r="BS129" s="244"/>
      <c r="BT129" s="244"/>
      <c r="BU129" s="244"/>
      <c r="BV129" s="244"/>
      <c r="BW129" s="244"/>
      <c r="BX129" s="244"/>
      <c r="BY129" s="244"/>
      <c r="BZ129" s="244"/>
      <c r="CA129" s="244"/>
      <c r="CB129" s="244"/>
      <c r="CC129" s="244"/>
      <c r="CD129" s="244"/>
      <c r="CE129" s="244"/>
      <c r="CF129" s="244"/>
    </row>
    <row r="130">
      <c r="A130" s="244"/>
      <c r="B130" s="246"/>
      <c r="C130" s="244"/>
      <c r="D130" s="244"/>
      <c r="E130" s="244"/>
      <c r="F130" s="244"/>
      <c r="G130" s="244"/>
      <c r="H130" s="244"/>
      <c r="I130" s="244"/>
      <c r="J130" s="244"/>
      <c r="K130" s="244"/>
      <c r="L130" s="244"/>
      <c r="M130" s="244"/>
      <c r="N130" s="244"/>
      <c r="O130" s="244"/>
      <c r="P130" s="244"/>
      <c r="Q130" s="244"/>
      <c r="R130" s="244"/>
      <c r="S130" s="244"/>
      <c r="T130" s="244"/>
      <c r="U130" s="244"/>
      <c r="V130" s="244"/>
      <c r="W130" s="244"/>
      <c r="X130" s="244"/>
      <c r="Y130" s="244"/>
      <c r="Z130" s="244"/>
      <c r="AA130" s="244"/>
      <c r="AB130" s="244"/>
      <c r="AC130" s="244"/>
      <c r="AD130" s="244"/>
      <c r="AE130" s="244"/>
      <c r="AF130" s="244"/>
      <c r="AG130" s="244"/>
      <c r="AH130" s="244"/>
      <c r="AI130" s="244"/>
      <c r="AJ130" s="244"/>
      <c r="AK130" s="244"/>
      <c r="AL130" s="244"/>
      <c r="AM130" s="244"/>
      <c r="AN130" s="244"/>
      <c r="AO130" s="244"/>
      <c r="AP130" s="244"/>
      <c r="AQ130" s="244"/>
      <c r="AR130" s="244"/>
      <c r="AS130" s="244"/>
      <c r="AT130" s="244"/>
      <c r="AU130" s="244"/>
      <c r="AV130" s="244"/>
      <c r="AW130" s="244"/>
      <c r="AX130" s="244"/>
      <c r="AY130" s="244"/>
      <c r="AZ130" s="244"/>
      <c r="BA130" s="244"/>
      <c r="BB130" s="244"/>
      <c r="BC130" s="244"/>
      <c r="BD130" s="244"/>
      <c r="BE130" s="244"/>
      <c r="BF130" s="244"/>
      <c r="BG130" s="244"/>
      <c r="BH130" s="244"/>
      <c r="BI130" s="244"/>
      <c r="BJ130" s="244"/>
      <c r="BK130" s="244"/>
      <c r="BL130" s="244"/>
      <c r="BM130" s="244"/>
      <c r="BN130" s="244"/>
      <c r="BO130" s="244"/>
      <c r="BP130" s="244"/>
      <c r="BQ130" s="244"/>
      <c r="BR130" s="244"/>
      <c r="BS130" s="244"/>
      <c r="BT130" s="244"/>
      <c r="BU130" s="244"/>
      <c r="BV130" s="244"/>
      <c r="BW130" s="244"/>
      <c r="BX130" s="244"/>
      <c r="BY130" s="244"/>
      <c r="BZ130" s="244"/>
      <c r="CA130" s="244"/>
      <c r="CB130" s="244"/>
      <c r="CC130" s="244"/>
      <c r="CD130" s="244"/>
      <c r="CE130" s="244"/>
      <c r="CF130" s="244"/>
    </row>
    <row r="131">
      <c r="A131" s="244"/>
      <c r="B131" s="246"/>
      <c r="C131" s="244"/>
      <c r="D131" s="244"/>
      <c r="E131" s="244"/>
      <c r="F131" s="244"/>
      <c r="G131" s="244"/>
      <c r="H131" s="244"/>
      <c r="I131" s="244"/>
      <c r="J131" s="244"/>
      <c r="K131" s="244"/>
      <c r="L131" s="244"/>
      <c r="M131" s="244"/>
      <c r="N131" s="244"/>
      <c r="O131" s="244"/>
      <c r="P131" s="244"/>
      <c r="Q131" s="244"/>
      <c r="R131" s="244"/>
      <c r="S131" s="244"/>
      <c r="T131" s="244"/>
      <c r="U131" s="244"/>
      <c r="V131" s="244"/>
      <c r="W131" s="244"/>
      <c r="X131" s="244"/>
      <c r="Y131" s="244"/>
      <c r="Z131" s="244"/>
      <c r="AA131" s="244"/>
      <c r="AB131" s="244"/>
      <c r="AC131" s="244"/>
      <c r="AD131" s="244"/>
      <c r="AE131" s="244"/>
      <c r="AF131" s="244"/>
      <c r="AG131" s="244"/>
      <c r="AH131" s="244"/>
      <c r="AI131" s="244"/>
      <c r="AJ131" s="244"/>
      <c r="AK131" s="244"/>
      <c r="AL131" s="244"/>
      <c r="AM131" s="244"/>
      <c r="AN131" s="244"/>
      <c r="AO131" s="244"/>
      <c r="AP131" s="244"/>
      <c r="AQ131" s="244"/>
      <c r="AR131" s="244"/>
      <c r="AS131" s="244"/>
      <c r="AT131" s="244"/>
      <c r="AU131" s="244"/>
      <c r="AV131" s="244"/>
      <c r="AW131" s="244"/>
      <c r="AX131" s="244"/>
      <c r="AY131" s="244"/>
      <c r="AZ131" s="244"/>
      <c r="BA131" s="244"/>
      <c r="BB131" s="244"/>
      <c r="BC131" s="244"/>
      <c r="BD131" s="244"/>
      <c r="BE131" s="244"/>
      <c r="BF131" s="244"/>
      <c r="BG131" s="244"/>
      <c r="BH131" s="244"/>
      <c r="BI131" s="244"/>
      <c r="BJ131" s="244"/>
      <c r="BK131" s="244"/>
      <c r="BL131" s="244"/>
      <c r="BM131" s="244"/>
      <c r="BN131" s="244"/>
      <c r="BO131" s="244"/>
      <c r="BP131" s="244"/>
      <c r="BQ131" s="244"/>
      <c r="BR131" s="244"/>
      <c r="BS131" s="244"/>
      <c r="BT131" s="244"/>
      <c r="BU131" s="244"/>
      <c r="BV131" s="244"/>
      <c r="BW131" s="244"/>
      <c r="BX131" s="244"/>
      <c r="BY131" s="244"/>
      <c r="BZ131" s="244"/>
      <c r="CA131" s="244"/>
      <c r="CB131" s="244"/>
      <c r="CC131" s="244"/>
      <c r="CD131" s="244"/>
      <c r="CE131" s="244"/>
      <c r="CF131" s="244"/>
    </row>
    <row r="132">
      <c r="A132" s="244"/>
      <c r="B132" s="246"/>
      <c r="C132" s="244"/>
      <c r="D132" s="244"/>
      <c r="E132" s="244"/>
      <c r="F132" s="244"/>
      <c r="G132" s="244"/>
      <c r="H132" s="244"/>
      <c r="I132" s="244"/>
      <c r="J132" s="244"/>
      <c r="K132" s="244"/>
      <c r="L132" s="244"/>
      <c r="M132" s="244"/>
      <c r="N132" s="244"/>
      <c r="O132" s="244"/>
      <c r="P132" s="244"/>
      <c r="Q132" s="244"/>
      <c r="R132" s="244"/>
      <c r="S132" s="244"/>
      <c r="T132" s="244"/>
      <c r="U132" s="244"/>
      <c r="V132" s="244"/>
      <c r="W132" s="244"/>
      <c r="X132" s="244"/>
      <c r="Y132" s="244"/>
      <c r="Z132" s="244"/>
      <c r="AA132" s="244"/>
      <c r="AB132" s="244"/>
      <c r="AC132" s="244"/>
      <c r="AD132" s="244"/>
      <c r="AE132" s="244"/>
      <c r="AF132" s="244"/>
      <c r="AG132" s="244"/>
      <c r="AH132" s="244"/>
      <c r="AI132" s="244"/>
      <c r="AJ132" s="244"/>
      <c r="AK132" s="244"/>
      <c r="AL132" s="244"/>
      <c r="AM132" s="244"/>
      <c r="AN132" s="244"/>
      <c r="AO132" s="244"/>
      <c r="AP132" s="244"/>
      <c r="AQ132" s="244"/>
      <c r="AR132" s="244"/>
      <c r="AS132" s="244"/>
      <c r="AT132" s="244"/>
      <c r="AU132" s="244"/>
      <c r="AV132" s="244"/>
      <c r="AW132" s="244"/>
      <c r="AX132" s="244"/>
      <c r="AY132" s="244"/>
      <c r="AZ132" s="244"/>
      <c r="BA132" s="244"/>
      <c r="BB132" s="244"/>
      <c r="BC132" s="244"/>
      <c r="BD132" s="244"/>
      <c r="BE132" s="244"/>
      <c r="BF132" s="244"/>
      <c r="BG132" s="244"/>
      <c r="BH132" s="244"/>
      <c r="BI132" s="244"/>
      <c r="BJ132" s="244"/>
      <c r="BK132" s="244"/>
      <c r="BL132" s="244"/>
      <c r="BM132" s="244"/>
      <c r="BN132" s="244"/>
      <c r="BO132" s="244"/>
      <c r="BP132" s="244"/>
      <c r="BQ132" s="244"/>
      <c r="BR132" s="244"/>
      <c r="BS132" s="244"/>
      <c r="BT132" s="244"/>
      <c r="BU132" s="244"/>
      <c r="BV132" s="244"/>
      <c r="BW132" s="244"/>
      <c r="BX132" s="244"/>
      <c r="BY132" s="244"/>
      <c r="BZ132" s="244"/>
      <c r="CA132" s="244"/>
      <c r="CB132" s="244"/>
      <c r="CC132" s="244"/>
      <c r="CD132" s="244"/>
      <c r="CE132" s="244"/>
      <c r="CF132" s="244"/>
    </row>
    <row r="133">
      <c r="A133" s="244"/>
      <c r="B133" s="246"/>
      <c r="C133" s="244"/>
      <c r="D133" s="244"/>
      <c r="E133" s="244"/>
      <c r="F133" s="244"/>
      <c r="G133" s="244"/>
      <c r="H133" s="244"/>
      <c r="I133" s="244"/>
      <c r="J133" s="244"/>
      <c r="K133" s="244"/>
      <c r="L133" s="244"/>
      <c r="M133" s="244"/>
      <c r="N133" s="244"/>
      <c r="O133" s="244"/>
      <c r="P133" s="244"/>
      <c r="Q133" s="244"/>
      <c r="R133" s="244"/>
      <c r="S133" s="244"/>
      <c r="T133" s="244"/>
      <c r="U133" s="244"/>
      <c r="V133" s="244"/>
      <c r="W133" s="244"/>
      <c r="X133" s="244"/>
      <c r="Y133" s="244"/>
      <c r="Z133" s="244"/>
      <c r="AA133" s="244"/>
      <c r="AB133" s="244"/>
      <c r="AC133" s="244"/>
      <c r="AD133" s="244"/>
      <c r="AE133" s="244"/>
      <c r="AF133" s="244"/>
      <c r="AG133" s="244"/>
      <c r="AH133" s="244"/>
      <c r="AI133" s="244"/>
      <c r="AJ133" s="244"/>
      <c r="AK133" s="244"/>
      <c r="AL133" s="244"/>
      <c r="AM133" s="244"/>
      <c r="AN133" s="244"/>
      <c r="AO133" s="244"/>
      <c r="AP133" s="244"/>
      <c r="AQ133" s="244"/>
      <c r="AR133" s="244"/>
      <c r="AS133" s="244"/>
      <c r="AT133" s="244"/>
      <c r="AU133" s="244"/>
      <c r="AV133" s="244"/>
      <c r="AW133" s="244"/>
      <c r="AX133" s="244"/>
      <c r="AY133" s="244"/>
      <c r="AZ133" s="244"/>
      <c r="BA133" s="244"/>
      <c r="BB133" s="244"/>
      <c r="BC133" s="244"/>
      <c r="BD133" s="244"/>
      <c r="BE133" s="244"/>
      <c r="BF133" s="244"/>
      <c r="BG133" s="244"/>
      <c r="BH133" s="244"/>
      <c r="BI133" s="244"/>
      <c r="BJ133" s="244"/>
      <c r="BK133" s="244"/>
      <c r="BL133" s="244"/>
      <c r="BM133" s="244"/>
      <c r="BN133" s="244"/>
      <c r="BO133" s="244"/>
      <c r="BP133" s="244"/>
      <c r="BQ133" s="244"/>
      <c r="BR133" s="244"/>
      <c r="BS133" s="244"/>
      <c r="BT133" s="244"/>
      <c r="BU133" s="244"/>
      <c r="BV133" s="244"/>
      <c r="BW133" s="244"/>
      <c r="BX133" s="244"/>
      <c r="BY133" s="244"/>
      <c r="BZ133" s="244"/>
      <c r="CA133" s="244"/>
      <c r="CB133" s="244"/>
      <c r="CC133" s="244"/>
      <c r="CD133" s="244"/>
      <c r="CE133" s="244"/>
      <c r="CF133" s="244"/>
    </row>
    <row r="134">
      <c r="A134" s="244"/>
      <c r="B134" s="246"/>
      <c r="C134" s="244"/>
      <c r="D134" s="244"/>
      <c r="E134" s="244"/>
      <c r="F134" s="244"/>
      <c r="G134" s="244"/>
      <c r="H134" s="244"/>
      <c r="I134" s="244"/>
      <c r="J134" s="244"/>
      <c r="K134" s="244"/>
      <c r="L134" s="244"/>
      <c r="M134" s="244"/>
      <c r="N134" s="244"/>
      <c r="O134" s="244"/>
      <c r="P134" s="244"/>
      <c r="Q134" s="244"/>
      <c r="R134" s="244"/>
      <c r="S134" s="244"/>
      <c r="T134" s="244"/>
      <c r="U134" s="244"/>
      <c r="V134" s="244"/>
      <c r="W134" s="244"/>
      <c r="X134" s="244"/>
      <c r="Y134" s="244"/>
      <c r="Z134" s="244"/>
      <c r="AA134" s="244"/>
      <c r="AB134" s="244"/>
      <c r="AC134" s="244"/>
      <c r="AD134" s="244"/>
      <c r="AE134" s="244"/>
      <c r="AF134" s="244"/>
      <c r="AG134" s="244"/>
      <c r="AH134" s="244"/>
      <c r="AI134" s="244"/>
      <c r="AJ134" s="244"/>
      <c r="AK134" s="244"/>
      <c r="AL134" s="244"/>
      <c r="AM134" s="244"/>
      <c r="AN134" s="244"/>
      <c r="AO134" s="244"/>
      <c r="AP134" s="244"/>
      <c r="AQ134" s="244"/>
      <c r="AR134" s="244"/>
      <c r="AS134" s="244"/>
      <c r="AT134" s="244"/>
      <c r="AU134" s="244"/>
      <c r="AV134" s="244"/>
      <c r="AW134" s="244"/>
      <c r="AX134" s="244"/>
      <c r="AY134" s="244"/>
      <c r="AZ134" s="244"/>
      <c r="BA134" s="244"/>
      <c r="BB134" s="244"/>
      <c r="BC134" s="244"/>
      <c r="BD134" s="244"/>
      <c r="BE134" s="244"/>
      <c r="BF134" s="244"/>
      <c r="BG134" s="244"/>
      <c r="BH134" s="244"/>
      <c r="BI134" s="244"/>
      <c r="BJ134" s="244"/>
      <c r="BK134" s="244"/>
      <c r="BL134" s="244"/>
      <c r="BM134" s="244"/>
      <c r="BN134" s="244"/>
      <c r="BO134" s="244"/>
      <c r="BP134" s="244"/>
      <c r="BQ134" s="244"/>
      <c r="BR134" s="244"/>
      <c r="BS134" s="244"/>
      <c r="BT134" s="244"/>
      <c r="BU134" s="244"/>
      <c r="BV134" s="244"/>
      <c r="BW134" s="244"/>
      <c r="BX134" s="244"/>
      <c r="BY134" s="244"/>
      <c r="BZ134" s="244"/>
      <c r="CA134" s="244"/>
      <c r="CB134" s="244"/>
      <c r="CC134" s="244"/>
      <c r="CD134" s="244"/>
      <c r="CE134" s="244"/>
      <c r="CF134" s="244"/>
    </row>
    <row r="135">
      <c r="A135" s="244"/>
      <c r="B135" s="246"/>
      <c r="C135" s="244"/>
      <c r="D135" s="244"/>
      <c r="E135" s="244"/>
      <c r="F135" s="244"/>
      <c r="G135" s="244"/>
      <c r="H135" s="244"/>
      <c r="I135" s="244"/>
      <c r="J135" s="244"/>
      <c r="K135" s="244"/>
      <c r="L135" s="244"/>
      <c r="M135" s="244"/>
      <c r="N135" s="244"/>
      <c r="O135" s="244"/>
      <c r="P135" s="244"/>
      <c r="Q135" s="244"/>
      <c r="R135" s="244"/>
      <c r="S135" s="244"/>
      <c r="T135" s="244"/>
      <c r="U135" s="244"/>
      <c r="V135" s="244"/>
      <c r="W135" s="244"/>
      <c r="X135" s="244"/>
      <c r="Y135" s="244"/>
      <c r="Z135" s="244"/>
      <c r="AA135" s="244"/>
      <c r="AB135" s="244"/>
      <c r="AC135" s="244"/>
      <c r="AD135" s="244"/>
      <c r="AE135" s="244"/>
      <c r="AF135" s="244"/>
      <c r="AG135" s="244"/>
      <c r="AH135" s="244"/>
      <c r="AI135" s="244"/>
      <c r="AJ135" s="244"/>
      <c r="AK135" s="244"/>
      <c r="AL135" s="244"/>
      <c r="AM135" s="244"/>
      <c r="AN135" s="244"/>
      <c r="AO135" s="244"/>
      <c r="AP135" s="244"/>
      <c r="AQ135" s="244"/>
      <c r="AR135" s="244"/>
      <c r="AS135" s="244"/>
      <c r="AT135" s="244"/>
      <c r="AU135" s="244"/>
      <c r="AV135" s="244"/>
      <c r="AW135" s="244"/>
      <c r="AX135" s="244"/>
      <c r="AY135" s="244"/>
      <c r="AZ135" s="244"/>
      <c r="BA135" s="244"/>
      <c r="BB135" s="244"/>
      <c r="BC135" s="244"/>
      <c r="BD135" s="244"/>
      <c r="BE135" s="244"/>
      <c r="BF135" s="244"/>
      <c r="BG135" s="244"/>
      <c r="BH135" s="244"/>
      <c r="BI135" s="244"/>
      <c r="BJ135" s="244"/>
      <c r="BK135" s="244"/>
      <c r="BL135" s="244"/>
      <c r="BM135" s="244"/>
      <c r="BN135" s="244"/>
      <c r="BO135" s="244"/>
      <c r="BP135" s="244"/>
      <c r="BQ135" s="244"/>
      <c r="BR135" s="244"/>
      <c r="BS135" s="244"/>
      <c r="BT135" s="244"/>
      <c r="BU135" s="244"/>
      <c r="BV135" s="244"/>
      <c r="BW135" s="244"/>
      <c r="BX135" s="244"/>
      <c r="BY135" s="244"/>
      <c r="BZ135" s="244"/>
      <c r="CA135" s="244"/>
      <c r="CB135" s="244"/>
      <c r="CC135" s="244"/>
      <c r="CD135" s="244"/>
      <c r="CE135" s="244"/>
      <c r="CF135" s="244"/>
    </row>
    <row r="136">
      <c r="A136" s="244"/>
      <c r="B136" s="246"/>
      <c r="C136" s="244"/>
      <c r="D136" s="244"/>
      <c r="E136" s="244"/>
      <c r="F136" s="244"/>
      <c r="G136" s="244"/>
      <c r="H136" s="244"/>
      <c r="I136" s="244"/>
      <c r="J136" s="244"/>
      <c r="K136" s="244"/>
      <c r="L136" s="244"/>
      <c r="M136" s="244"/>
      <c r="N136" s="244"/>
      <c r="O136" s="244"/>
      <c r="P136" s="244"/>
      <c r="Q136" s="244"/>
      <c r="R136" s="244"/>
      <c r="S136" s="244"/>
      <c r="T136" s="244"/>
      <c r="U136" s="244"/>
      <c r="V136" s="244"/>
      <c r="W136" s="244"/>
      <c r="X136" s="244"/>
      <c r="Y136" s="244"/>
      <c r="Z136" s="244"/>
      <c r="AA136" s="244"/>
      <c r="AB136" s="244"/>
      <c r="AC136" s="244"/>
      <c r="AD136" s="244"/>
      <c r="AE136" s="244"/>
      <c r="AF136" s="244"/>
      <c r="AG136" s="244"/>
      <c r="AH136" s="244"/>
      <c r="AI136" s="244"/>
      <c r="AJ136" s="244"/>
      <c r="AK136" s="244"/>
      <c r="AL136" s="244"/>
      <c r="AM136" s="244"/>
      <c r="AN136" s="244"/>
      <c r="AO136" s="244"/>
      <c r="AP136" s="244"/>
      <c r="AQ136" s="244"/>
      <c r="AR136" s="244"/>
      <c r="AS136" s="244"/>
      <c r="AT136" s="244"/>
      <c r="AU136" s="244"/>
      <c r="AV136" s="244"/>
      <c r="AW136" s="244"/>
      <c r="AX136" s="244"/>
      <c r="AY136" s="244"/>
      <c r="AZ136" s="244"/>
      <c r="BA136" s="244"/>
      <c r="BB136" s="244"/>
      <c r="BC136" s="244"/>
      <c r="BD136" s="244"/>
      <c r="BE136" s="244"/>
      <c r="BF136" s="244"/>
      <c r="BG136" s="244"/>
      <c r="BH136" s="244"/>
      <c r="BI136" s="244"/>
      <c r="BJ136" s="244"/>
      <c r="BK136" s="244"/>
      <c r="BL136" s="244"/>
      <c r="BM136" s="244"/>
      <c r="BN136" s="244"/>
      <c r="BO136" s="244"/>
      <c r="BP136" s="244"/>
      <c r="BQ136" s="244"/>
      <c r="BR136" s="244"/>
      <c r="BS136" s="244"/>
      <c r="BT136" s="244"/>
      <c r="BU136" s="244"/>
      <c r="BV136" s="244"/>
      <c r="BW136" s="244"/>
      <c r="BX136" s="244"/>
      <c r="BY136" s="244"/>
      <c r="BZ136" s="244"/>
      <c r="CA136" s="244"/>
      <c r="CB136" s="244"/>
      <c r="CC136" s="244"/>
      <c r="CD136" s="244"/>
      <c r="CE136" s="244"/>
      <c r="CF136" s="244"/>
    </row>
    <row r="137">
      <c r="A137" s="244"/>
      <c r="B137" s="246"/>
      <c r="C137" s="244"/>
      <c r="D137" s="244"/>
      <c r="E137" s="244"/>
      <c r="F137" s="244"/>
      <c r="G137" s="244"/>
      <c r="H137" s="244"/>
      <c r="I137" s="244"/>
      <c r="J137" s="244"/>
      <c r="K137" s="244"/>
      <c r="L137" s="244"/>
      <c r="M137" s="244"/>
      <c r="N137" s="244"/>
      <c r="O137" s="244"/>
      <c r="P137" s="244"/>
      <c r="Q137" s="244"/>
      <c r="R137" s="244"/>
      <c r="S137" s="244"/>
      <c r="T137" s="244"/>
      <c r="U137" s="244"/>
      <c r="V137" s="244"/>
      <c r="W137" s="244"/>
      <c r="X137" s="244"/>
      <c r="Y137" s="244"/>
      <c r="Z137" s="244"/>
      <c r="AA137" s="244"/>
      <c r="AB137" s="244"/>
      <c r="AC137" s="244"/>
      <c r="AD137" s="244"/>
      <c r="AE137" s="244"/>
      <c r="AF137" s="244"/>
      <c r="AG137" s="244"/>
      <c r="AH137" s="244"/>
      <c r="AI137" s="244"/>
      <c r="AJ137" s="244"/>
      <c r="AK137" s="244"/>
      <c r="AL137" s="244"/>
      <c r="AM137" s="244"/>
      <c r="AN137" s="244"/>
      <c r="AO137" s="244"/>
      <c r="AP137" s="244"/>
      <c r="AQ137" s="244"/>
      <c r="AR137" s="244"/>
      <c r="AS137" s="244"/>
      <c r="AT137" s="244"/>
      <c r="AU137" s="244"/>
      <c r="AV137" s="244"/>
      <c r="AW137" s="244"/>
      <c r="AX137" s="244"/>
      <c r="AY137" s="244"/>
      <c r="AZ137" s="244"/>
      <c r="BA137" s="244"/>
      <c r="BB137" s="244"/>
      <c r="BC137" s="244"/>
      <c r="BD137" s="244"/>
      <c r="BE137" s="244"/>
      <c r="BF137" s="244"/>
      <c r="BG137" s="244"/>
      <c r="BH137" s="244"/>
      <c r="BI137" s="244"/>
      <c r="BJ137" s="244"/>
      <c r="BK137" s="244"/>
      <c r="BL137" s="244"/>
      <c r="BM137" s="244"/>
      <c r="BN137" s="244"/>
      <c r="BO137" s="244"/>
      <c r="BP137" s="244"/>
      <c r="BQ137" s="244"/>
      <c r="BR137" s="244"/>
      <c r="BS137" s="244"/>
      <c r="BT137" s="244"/>
      <c r="BU137" s="244"/>
      <c r="BV137" s="244"/>
      <c r="BW137" s="244"/>
      <c r="BX137" s="244"/>
      <c r="BY137" s="244"/>
      <c r="BZ137" s="244"/>
      <c r="CA137" s="244"/>
      <c r="CB137" s="244"/>
      <c r="CC137" s="244"/>
      <c r="CD137" s="244"/>
      <c r="CE137" s="244"/>
      <c r="CF137" s="244"/>
    </row>
    <row r="138">
      <c r="A138" s="244"/>
      <c r="B138" s="246"/>
      <c r="C138" s="244"/>
      <c r="D138" s="244"/>
      <c r="E138" s="244"/>
      <c r="F138" s="244"/>
      <c r="G138" s="244"/>
      <c r="H138" s="244"/>
      <c r="I138" s="244"/>
      <c r="J138" s="244"/>
      <c r="K138" s="244"/>
      <c r="L138" s="244"/>
      <c r="M138" s="244"/>
      <c r="N138" s="244"/>
      <c r="O138" s="244"/>
      <c r="P138" s="244"/>
      <c r="Q138" s="244"/>
      <c r="R138" s="244"/>
      <c r="S138" s="244"/>
      <c r="T138" s="244"/>
      <c r="U138" s="244"/>
      <c r="V138" s="244"/>
      <c r="W138" s="244"/>
      <c r="X138" s="244"/>
      <c r="Y138" s="244"/>
      <c r="Z138" s="244"/>
      <c r="AA138" s="244"/>
      <c r="AB138" s="244"/>
      <c r="AC138" s="244"/>
      <c r="AD138" s="244"/>
      <c r="AE138" s="244"/>
      <c r="AF138" s="244"/>
      <c r="AG138" s="244"/>
      <c r="AH138" s="244"/>
      <c r="AI138" s="244"/>
      <c r="AJ138" s="244"/>
      <c r="AK138" s="244"/>
      <c r="AL138" s="244"/>
      <c r="AM138" s="244"/>
      <c r="AN138" s="244"/>
      <c r="AO138" s="244"/>
      <c r="AP138" s="244"/>
      <c r="AQ138" s="244"/>
      <c r="AR138" s="244"/>
      <c r="AS138" s="244"/>
      <c r="AT138" s="244"/>
      <c r="AU138" s="244"/>
      <c r="AV138" s="244"/>
      <c r="AW138" s="244"/>
      <c r="AX138" s="244"/>
      <c r="AY138" s="244"/>
      <c r="AZ138" s="244"/>
      <c r="BA138" s="244"/>
      <c r="BB138" s="244"/>
      <c r="BC138" s="244"/>
      <c r="BD138" s="244"/>
      <c r="BE138" s="244"/>
      <c r="BF138" s="244"/>
      <c r="BG138" s="244"/>
      <c r="BH138" s="244"/>
      <c r="BI138" s="244"/>
      <c r="BJ138" s="244"/>
      <c r="BK138" s="244"/>
      <c r="BL138" s="244"/>
      <c r="BM138" s="244"/>
      <c r="BN138" s="244"/>
      <c r="BO138" s="244"/>
      <c r="BP138" s="244"/>
      <c r="BQ138" s="244"/>
      <c r="BR138" s="244"/>
      <c r="BS138" s="244"/>
      <c r="BT138" s="244"/>
      <c r="BU138" s="244"/>
      <c r="BV138" s="244"/>
      <c r="BW138" s="244"/>
      <c r="BX138" s="244"/>
      <c r="BY138" s="244"/>
      <c r="BZ138" s="244"/>
      <c r="CA138" s="244"/>
      <c r="CB138" s="244"/>
      <c r="CC138" s="244"/>
      <c r="CD138" s="244"/>
      <c r="CE138" s="244"/>
      <c r="CF138" s="244"/>
    </row>
    <row r="139">
      <c r="A139" s="244"/>
      <c r="B139" s="246"/>
      <c r="C139" s="244"/>
      <c r="D139" s="244"/>
      <c r="E139" s="244"/>
      <c r="F139" s="244"/>
      <c r="G139" s="244"/>
      <c r="H139" s="244"/>
      <c r="I139" s="244"/>
      <c r="J139" s="244"/>
      <c r="K139" s="244"/>
      <c r="L139" s="244"/>
      <c r="M139" s="244"/>
      <c r="N139" s="244"/>
      <c r="O139" s="244"/>
      <c r="P139" s="244"/>
      <c r="Q139" s="244"/>
      <c r="R139" s="244"/>
      <c r="S139" s="244"/>
      <c r="T139" s="244"/>
      <c r="U139" s="244"/>
      <c r="V139" s="244"/>
      <c r="W139" s="244"/>
      <c r="X139" s="244"/>
      <c r="Y139" s="244"/>
      <c r="Z139" s="244"/>
      <c r="AA139" s="244"/>
      <c r="AB139" s="244"/>
      <c r="AC139" s="244"/>
      <c r="AD139" s="244"/>
      <c r="AE139" s="244"/>
      <c r="AF139" s="244"/>
      <c r="AG139" s="244"/>
      <c r="AH139" s="244"/>
      <c r="AI139" s="244"/>
      <c r="AJ139" s="244"/>
      <c r="AK139" s="244"/>
      <c r="AL139" s="244"/>
      <c r="AM139" s="244"/>
      <c r="AN139" s="244"/>
      <c r="AO139" s="244"/>
      <c r="AP139" s="244"/>
      <c r="AQ139" s="244"/>
      <c r="AR139" s="244"/>
      <c r="AS139" s="244"/>
      <c r="AT139" s="244"/>
      <c r="AU139" s="244"/>
      <c r="AV139" s="244"/>
      <c r="AW139" s="244"/>
      <c r="AX139" s="244"/>
      <c r="AY139" s="244"/>
      <c r="AZ139" s="244"/>
      <c r="BA139" s="244"/>
      <c r="BB139" s="244"/>
      <c r="BC139" s="244"/>
      <c r="BD139" s="244"/>
      <c r="BE139" s="244"/>
      <c r="BF139" s="244"/>
      <c r="BG139" s="244"/>
      <c r="BH139" s="244"/>
      <c r="BI139" s="244"/>
      <c r="BJ139" s="244"/>
      <c r="BK139" s="244"/>
      <c r="BL139" s="244"/>
      <c r="BM139" s="244"/>
      <c r="BN139" s="244"/>
      <c r="BO139" s="244"/>
      <c r="BP139" s="244"/>
      <c r="BQ139" s="244"/>
      <c r="BR139" s="244"/>
      <c r="BS139" s="244"/>
      <c r="BT139" s="244"/>
      <c r="BU139" s="244"/>
      <c r="BV139" s="244"/>
      <c r="BW139" s="244"/>
      <c r="BX139" s="244"/>
      <c r="BY139" s="244"/>
      <c r="BZ139" s="244"/>
      <c r="CA139" s="244"/>
      <c r="CB139" s="244"/>
      <c r="CC139" s="244"/>
      <c r="CD139" s="244"/>
      <c r="CE139" s="244"/>
      <c r="CF139" s="244"/>
    </row>
    <row r="140">
      <c r="A140" s="244"/>
      <c r="B140" s="246"/>
      <c r="C140" s="244"/>
      <c r="D140" s="244"/>
      <c r="E140" s="244"/>
      <c r="F140" s="244"/>
      <c r="G140" s="244"/>
      <c r="H140" s="244"/>
      <c r="I140" s="244"/>
      <c r="J140" s="244"/>
      <c r="K140" s="244"/>
      <c r="L140" s="244"/>
      <c r="M140" s="244"/>
      <c r="N140" s="244"/>
      <c r="O140" s="244"/>
      <c r="P140" s="244"/>
      <c r="Q140" s="244"/>
      <c r="R140" s="244"/>
      <c r="S140" s="244"/>
      <c r="T140" s="244"/>
      <c r="U140" s="244"/>
      <c r="V140" s="244"/>
      <c r="W140" s="244"/>
      <c r="X140" s="244"/>
      <c r="Y140" s="244"/>
      <c r="Z140" s="244"/>
      <c r="AA140" s="244"/>
      <c r="AB140" s="244"/>
      <c r="AC140" s="244"/>
      <c r="AD140" s="244"/>
      <c r="AE140" s="244"/>
      <c r="AF140" s="244"/>
      <c r="AG140" s="244"/>
      <c r="AH140" s="244"/>
      <c r="AI140" s="244"/>
      <c r="AJ140" s="244"/>
      <c r="AK140" s="244"/>
      <c r="AL140" s="244"/>
      <c r="AM140" s="244"/>
      <c r="AN140" s="244"/>
      <c r="AO140" s="244"/>
      <c r="AP140" s="244"/>
      <c r="AQ140" s="244"/>
      <c r="AR140" s="244"/>
      <c r="AS140" s="244"/>
      <c r="AT140" s="244"/>
      <c r="AU140" s="244"/>
      <c r="AV140" s="244"/>
      <c r="AW140" s="244"/>
      <c r="AX140" s="244"/>
      <c r="AY140" s="244"/>
      <c r="AZ140" s="244"/>
      <c r="BA140" s="244"/>
      <c r="BB140" s="244"/>
      <c r="BC140" s="244"/>
      <c r="BD140" s="244"/>
      <c r="BE140" s="244"/>
      <c r="BF140" s="244"/>
      <c r="BG140" s="244"/>
      <c r="BH140" s="244"/>
      <c r="BI140" s="244"/>
      <c r="BJ140" s="244"/>
      <c r="BK140" s="244"/>
      <c r="BL140" s="244"/>
      <c r="BM140" s="244"/>
      <c r="BN140" s="244"/>
      <c r="BO140" s="244"/>
      <c r="BP140" s="244"/>
      <c r="BQ140" s="244"/>
      <c r="BR140" s="244"/>
      <c r="BS140" s="244"/>
      <c r="BT140" s="244"/>
      <c r="BU140" s="244"/>
      <c r="BV140" s="244"/>
      <c r="BW140" s="244"/>
      <c r="BX140" s="244"/>
      <c r="BY140" s="244"/>
      <c r="BZ140" s="244"/>
      <c r="CA140" s="244"/>
      <c r="CB140" s="244"/>
      <c r="CC140" s="244"/>
      <c r="CD140" s="244"/>
      <c r="CE140" s="244"/>
      <c r="CF140" s="244"/>
    </row>
    <row r="141">
      <c r="A141" s="244"/>
      <c r="B141" s="246"/>
      <c r="C141" s="244"/>
      <c r="D141" s="244"/>
      <c r="E141" s="244"/>
      <c r="F141" s="244"/>
      <c r="G141" s="244"/>
      <c r="H141" s="244"/>
      <c r="I141" s="244"/>
      <c r="J141" s="244"/>
      <c r="K141" s="244"/>
      <c r="L141" s="244"/>
      <c r="M141" s="244"/>
      <c r="N141" s="244"/>
      <c r="O141" s="244"/>
      <c r="P141" s="244"/>
      <c r="Q141" s="244"/>
      <c r="R141" s="244"/>
      <c r="S141" s="244"/>
      <c r="T141" s="244"/>
      <c r="U141" s="244"/>
      <c r="V141" s="244"/>
      <c r="W141" s="244"/>
      <c r="X141" s="244"/>
      <c r="Y141" s="244"/>
      <c r="Z141" s="244"/>
      <c r="AA141" s="244"/>
      <c r="AB141" s="244"/>
      <c r="AC141" s="244"/>
      <c r="AD141" s="244"/>
      <c r="AE141" s="244"/>
      <c r="AF141" s="244"/>
      <c r="AG141" s="244"/>
      <c r="AH141" s="244"/>
      <c r="AI141" s="244"/>
      <c r="AJ141" s="244"/>
      <c r="AK141" s="244"/>
      <c r="AL141" s="244"/>
      <c r="AM141" s="244"/>
      <c r="AN141" s="244"/>
      <c r="AO141" s="244"/>
      <c r="AP141" s="244"/>
      <c r="AQ141" s="244"/>
      <c r="AR141" s="244"/>
      <c r="AS141" s="244"/>
      <c r="AT141" s="244"/>
      <c r="AU141" s="244"/>
      <c r="AV141" s="244"/>
      <c r="AW141" s="244"/>
      <c r="AX141" s="244"/>
      <c r="AY141" s="244"/>
      <c r="AZ141" s="244"/>
      <c r="BA141" s="244"/>
      <c r="BB141" s="244"/>
      <c r="BC141" s="244"/>
      <c r="BD141" s="244"/>
      <c r="BE141" s="244"/>
      <c r="BF141" s="244"/>
      <c r="BG141" s="244"/>
      <c r="BH141" s="244"/>
      <c r="BI141" s="244"/>
      <c r="BJ141" s="244"/>
      <c r="BK141" s="244"/>
      <c r="BL141" s="244"/>
      <c r="BM141" s="244"/>
      <c r="BN141" s="244"/>
      <c r="BO141" s="244"/>
      <c r="BP141" s="244"/>
      <c r="BQ141" s="244"/>
      <c r="BR141" s="244"/>
      <c r="BS141" s="244"/>
      <c r="BT141" s="244"/>
      <c r="BU141" s="244"/>
      <c r="BV141" s="244"/>
      <c r="BW141" s="244"/>
      <c r="BX141" s="244"/>
      <c r="BY141" s="244"/>
      <c r="BZ141" s="244"/>
      <c r="CA141" s="244"/>
      <c r="CB141" s="244"/>
      <c r="CC141" s="244"/>
      <c r="CD141" s="244"/>
      <c r="CE141" s="244"/>
      <c r="CF141" s="244"/>
    </row>
    <row r="142">
      <c r="A142" s="244"/>
      <c r="B142" s="246"/>
      <c r="C142" s="244"/>
      <c r="D142" s="244"/>
      <c r="E142" s="244"/>
      <c r="F142" s="244"/>
      <c r="G142" s="244"/>
      <c r="H142" s="244"/>
      <c r="I142" s="244"/>
      <c r="J142" s="244"/>
      <c r="K142" s="244"/>
      <c r="L142" s="244"/>
      <c r="M142" s="244"/>
      <c r="N142" s="244"/>
      <c r="O142" s="244"/>
      <c r="P142" s="244"/>
      <c r="Q142" s="244"/>
      <c r="R142" s="244"/>
      <c r="S142" s="244"/>
      <c r="T142" s="244"/>
      <c r="U142" s="244"/>
      <c r="V142" s="244"/>
      <c r="W142" s="244"/>
      <c r="X142" s="244"/>
      <c r="Y142" s="244"/>
      <c r="Z142" s="244"/>
      <c r="AA142" s="244"/>
      <c r="AB142" s="244"/>
      <c r="AC142" s="244"/>
      <c r="AD142" s="244"/>
      <c r="AE142" s="244"/>
      <c r="AF142" s="244"/>
      <c r="AG142" s="244"/>
      <c r="AH142" s="244"/>
      <c r="AI142" s="244"/>
      <c r="AJ142" s="244"/>
      <c r="AK142" s="244"/>
      <c r="AL142" s="244"/>
      <c r="AM142" s="244"/>
      <c r="AN142" s="244"/>
      <c r="AO142" s="244"/>
      <c r="AP142" s="244"/>
      <c r="AQ142" s="244"/>
      <c r="AR142" s="244"/>
      <c r="AS142" s="244"/>
      <c r="AT142" s="244"/>
      <c r="AU142" s="244"/>
      <c r="AV142" s="244"/>
      <c r="AW142" s="244"/>
      <c r="AX142" s="244"/>
      <c r="AY142" s="244"/>
      <c r="AZ142" s="244"/>
      <c r="BA142" s="244"/>
      <c r="BB142" s="244"/>
      <c r="BC142" s="244"/>
      <c r="BD142" s="244"/>
      <c r="BE142" s="244"/>
      <c r="BF142" s="244"/>
      <c r="BG142" s="244"/>
      <c r="BH142" s="244"/>
      <c r="BI142" s="244"/>
      <c r="BJ142" s="244"/>
      <c r="BK142" s="244"/>
      <c r="BL142" s="244"/>
      <c r="BM142" s="244"/>
      <c r="BN142" s="244"/>
      <c r="BO142" s="244"/>
      <c r="BP142" s="244"/>
      <c r="BQ142" s="244"/>
      <c r="BR142" s="244"/>
      <c r="BS142" s="244"/>
      <c r="BT142" s="244"/>
      <c r="BU142" s="244"/>
      <c r="BV142" s="244"/>
      <c r="BW142" s="244"/>
      <c r="BX142" s="244"/>
      <c r="BY142" s="244"/>
      <c r="BZ142" s="244"/>
      <c r="CA142" s="244"/>
      <c r="CB142" s="244"/>
      <c r="CC142" s="244"/>
      <c r="CD142" s="244"/>
      <c r="CE142" s="244"/>
      <c r="CF142" s="244"/>
    </row>
    <row r="143">
      <c r="A143" s="244"/>
      <c r="B143" s="246"/>
      <c r="C143" s="244"/>
      <c r="D143" s="244"/>
      <c r="E143" s="244"/>
      <c r="F143" s="244"/>
      <c r="G143" s="244"/>
      <c r="H143" s="244"/>
      <c r="I143" s="244"/>
      <c r="J143" s="244"/>
      <c r="K143" s="244"/>
      <c r="L143" s="244"/>
      <c r="M143" s="244"/>
      <c r="N143" s="244"/>
      <c r="O143" s="244"/>
      <c r="P143" s="244"/>
      <c r="Q143" s="244"/>
      <c r="R143" s="244"/>
      <c r="S143" s="244"/>
      <c r="T143" s="244"/>
      <c r="U143" s="244"/>
      <c r="V143" s="244"/>
      <c r="W143" s="244"/>
      <c r="X143" s="244"/>
      <c r="Y143" s="244"/>
      <c r="Z143" s="244"/>
      <c r="AA143" s="244"/>
      <c r="AB143" s="244"/>
      <c r="AC143" s="244"/>
      <c r="AD143" s="244"/>
      <c r="AE143" s="244"/>
      <c r="AF143" s="244"/>
      <c r="AG143" s="244"/>
      <c r="AH143" s="244"/>
      <c r="AI143" s="244"/>
      <c r="AJ143" s="244"/>
      <c r="AK143" s="244"/>
      <c r="AL143" s="244"/>
      <c r="AM143" s="244"/>
      <c r="AN143" s="244"/>
      <c r="AO143" s="244"/>
      <c r="AP143" s="244"/>
      <c r="AQ143" s="244"/>
      <c r="AR143" s="244"/>
      <c r="AS143" s="244"/>
      <c r="AT143" s="244"/>
      <c r="AU143" s="244"/>
      <c r="AV143" s="244"/>
      <c r="AW143" s="244"/>
      <c r="AX143" s="244"/>
      <c r="AY143" s="244"/>
      <c r="AZ143" s="244"/>
      <c r="BA143" s="244"/>
      <c r="BB143" s="244"/>
      <c r="BC143" s="244"/>
      <c r="BD143" s="244"/>
      <c r="BE143" s="244"/>
      <c r="BF143" s="244"/>
      <c r="BG143" s="244"/>
      <c r="BH143" s="244"/>
      <c r="BI143" s="244"/>
      <c r="BJ143" s="244"/>
      <c r="BK143" s="244"/>
      <c r="BL143" s="244"/>
      <c r="BM143" s="244"/>
      <c r="BN143" s="244"/>
      <c r="BO143" s="244"/>
      <c r="BP143" s="244"/>
      <c r="BQ143" s="244"/>
      <c r="BR143" s="244"/>
      <c r="BS143" s="244"/>
      <c r="BT143" s="244"/>
      <c r="BU143" s="244"/>
      <c r="BV143" s="244"/>
      <c r="BW143" s="244"/>
      <c r="BX143" s="244"/>
      <c r="BY143" s="244"/>
      <c r="BZ143" s="244"/>
      <c r="CA143" s="244"/>
      <c r="CB143" s="244"/>
      <c r="CC143" s="244"/>
      <c r="CD143" s="244"/>
      <c r="CE143" s="244"/>
      <c r="CF143" s="244"/>
    </row>
    <row r="144">
      <c r="A144" s="244"/>
      <c r="B144" s="246"/>
      <c r="C144" s="244"/>
      <c r="D144" s="244"/>
      <c r="E144" s="244"/>
      <c r="F144" s="244"/>
      <c r="G144" s="244"/>
      <c r="H144" s="244"/>
      <c r="I144" s="244"/>
      <c r="J144" s="244"/>
      <c r="K144" s="244"/>
      <c r="L144" s="244"/>
      <c r="M144" s="244"/>
      <c r="N144" s="244"/>
      <c r="O144" s="244"/>
      <c r="P144" s="244"/>
      <c r="Q144" s="244"/>
      <c r="R144" s="244"/>
      <c r="S144" s="244"/>
      <c r="T144" s="244"/>
      <c r="U144" s="244"/>
      <c r="V144" s="244"/>
      <c r="W144" s="244"/>
      <c r="X144" s="244"/>
      <c r="Y144" s="244"/>
      <c r="Z144" s="244"/>
      <c r="AA144" s="244"/>
      <c r="AB144" s="244"/>
      <c r="AC144" s="244"/>
      <c r="AD144" s="244"/>
      <c r="AE144" s="244"/>
      <c r="AF144" s="244"/>
      <c r="AG144" s="244"/>
      <c r="AH144" s="244"/>
      <c r="AI144" s="244"/>
      <c r="AJ144" s="244"/>
      <c r="AK144" s="244"/>
      <c r="AL144" s="244"/>
      <c r="AM144" s="244"/>
      <c r="AN144" s="244"/>
      <c r="AO144" s="244"/>
      <c r="AP144" s="244"/>
      <c r="AQ144" s="244"/>
      <c r="AR144" s="244"/>
      <c r="AS144" s="244"/>
      <c r="AT144" s="244"/>
      <c r="AU144" s="244"/>
      <c r="AV144" s="244"/>
      <c r="AW144" s="244"/>
      <c r="AX144" s="244"/>
      <c r="AY144" s="244"/>
      <c r="AZ144" s="244"/>
      <c r="BA144" s="244"/>
      <c r="BB144" s="244"/>
      <c r="BC144" s="244"/>
      <c r="BD144" s="244"/>
      <c r="BE144" s="244"/>
      <c r="BF144" s="244"/>
      <c r="BG144" s="244"/>
      <c r="BH144" s="244"/>
      <c r="BI144" s="244"/>
      <c r="BJ144" s="244"/>
      <c r="BK144" s="244"/>
      <c r="BL144" s="244"/>
      <c r="BM144" s="244"/>
      <c r="BN144" s="244"/>
      <c r="BO144" s="244"/>
      <c r="BP144" s="244"/>
      <c r="BQ144" s="244"/>
      <c r="BR144" s="244"/>
      <c r="BS144" s="244"/>
      <c r="BT144" s="244"/>
      <c r="BU144" s="244"/>
      <c r="BV144" s="244"/>
      <c r="BW144" s="244"/>
      <c r="BX144" s="244"/>
      <c r="BY144" s="244"/>
      <c r="BZ144" s="244"/>
      <c r="CA144" s="244"/>
      <c r="CB144" s="244"/>
      <c r="CC144" s="244"/>
      <c r="CD144" s="244"/>
      <c r="CE144" s="244"/>
      <c r="CF144" s="244"/>
    </row>
    <row r="145">
      <c r="A145" s="244"/>
      <c r="B145" s="246"/>
      <c r="C145" s="244"/>
      <c r="D145" s="244"/>
      <c r="E145" s="244"/>
      <c r="F145" s="244"/>
      <c r="G145" s="244"/>
      <c r="H145" s="244"/>
      <c r="I145" s="244"/>
      <c r="J145" s="244"/>
      <c r="K145" s="244"/>
      <c r="L145" s="244"/>
      <c r="M145" s="244"/>
      <c r="N145" s="244"/>
      <c r="O145" s="244"/>
      <c r="P145" s="244"/>
      <c r="Q145" s="244"/>
      <c r="R145" s="244"/>
      <c r="S145" s="244"/>
      <c r="T145" s="244"/>
      <c r="U145" s="244"/>
      <c r="V145" s="244"/>
      <c r="W145" s="244"/>
      <c r="X145" s="244"/>
      <c r="Y145" s="244"/>
      <c r="Z145" s="244"/>
      <c r="AA145" s="244"/>
      <c r="AB145" s="244"/>
      <c r="AC145" s="244"/>
      <c r="AD145" s="244"/>
      <c r="AE145" s="244"/>
      <c r="AF145" s="244"/>
      <c r="AG145" s="244"/>
      <c r="AH145" s="244"/>
      <c r="AI145" s="244"/>
      <c r="AJ145" s="244"/>
      <c r="AK145" s="244"/>
      <c r="AL145" s="244"/>
      <c r="AM145" s="244"/>
      <c r="AN145" s="244"/>
      <c r="AO145" s="244"/>
      <c r="AP145" s="244"/>
      <c r="AQ145" s="244"/>
      <c r="AR145" s="244"/>
      <c r="AS145" s="244"/>
      <c r="AT145" s="244"/>
      <c r="AU145" s="244"/>
      <c r="AV145" s="244"/>
      <c r="AW145" s="244"/>
      <c r="AX145" s="244"/>
      <c r="AY145" s="244"/>
      <c r="AZ145" s="244"/>
      <c r="BA145" s="244"/>
      <c r="BB145" s="244"/>
      <c r="BC145" s="244"/>
      <c r="BD145" s="244"/>
      <c r="BE145" s="244"/>
      <c r="BF145" s="244"/>
      <c r="BG145" s="244"/>
      <c r="BH145" s="244"/>
      <c r="BI145" s="244"/>
      <c r="BJ145" s="244"/>
      <c r="BK145" s="244"/>
      <c r="BL145" s="244"/>
      <c r="BM145" s="244"/>
      <c r="BN145" s="244"/>
      <c r="BO145" s="244"/>
      <c r="BP145" s="244"/>
      <c r="BQ145" s="244"/>
      <c r="BR145" s="244"/>
      <c r="BS145" s="244"/>
      <c r="BT145" s="244"/>
      <c r="BU145" s="244"/>
      <c r="BV145" s="244"/>
      <c r="BW145" s="244"/>
      <c r="BX145" s="244"/>
      <c r="BY145" s="244"/>
      <c r="BZ145" s="244"/>
      <c r="CA145" s="244"/>
      <c r="CB145" s="244"/>
      <c r="CC145" s="244"/>
      <c r="CD145" s="244"/>
      <c r="CE145" s="244"/>
      <c r="CF145" s="244"/>
    </row>
    <row r="146">
      <c r="A146" s="244"/>
      <c r="B146" s="246"/>
      <c r="C146" s="244"/>
      <c r="D146" s="244"/>
      <c r="E146" s="244"/>
      <c r="F146" s="244"/>
      <c r="G146" s="244"/>
      <c r="H146" s="244"/>
      <c r="I146" s="244"/>
      <c r="J146" s="244"/>
      <c r="K146" s="244"/>
      <c r="L146" s="244"/>
      <c r="M146" s="244"/>
      <c r="N146" s="244"/>
      <c r="O146" s="244"/>
      <c r="P146" s="244"/>
      <c r="Q146" s="244"/>
      <c r="R146" s="244"/>
      <c r="S146" s="244"/>
      <c r="T146" s="244"/>
      <c r="U146" s="244"/>
      <c r="V146" s="244"/>
      <c r="W146" s="244"/>
      <c r="X146" s="244"/>
      <c r="Y146" s="244"/>
      <c r="Z146" s="244"/>
      <c r="AA146" s="244"/>
      <c r="AB146" s="244"/>
      <c r="AC146" s="244"/>
      <c r="AD146" s="244"/>
      <c r="AE146" s="244"/>
      <c r="AF146" s="244"/>
      <c r="AG146" s="244"/>
      <c r="AH146" s="244"/>
      <c r="AI146" s="244"/>
      <c r="AJ146" s="244"/>
      <c r="AK146" s="244"/>
      <c r="AL146" s="244"/>
      <c r="AM146" s="244"/>
      <c r="AN146" s="244"/>
      <c r="AO146" s="244"/>
      <c r="AP146" s="244"/>
      <c r="AQ146" s="244"/>
      <c r="AR146" s="244"/>
      <c r="AS146" s="244"/>
      <c r="AT146" s="244"/>
      <c r="AU146" s="244"/>
      <c r="AV146" s="244"/>
      <c r="AW146" s="244"/>
      <c r="AX146" s="244"/>
      <c r="AY146" s="244"/>
      <c r="AZ146" s="244"/>
      <c r="BA146" s="244"/>
      <c r="BB146" s="244"/>
      <c r="BC146" s="244"/>
      <c r="BD146" s="244"/>
      <c r="BE146" s="244"/>
      <c r="BF146" s="244"/>
      <c r="BG146" s="244"/>
      <c r="BH146" s="244"/>
      <c r="BI146" s="244"/>
      <c r="BJ146" s="244"/>
      <c r="BK146" s="244"/>
      <c r="BL146" s="244"/>
      <c r="BM146" s="244"/>
      <c r="BN146" s="244"/>
      <c r="BO146" s="244"/>
      <c r="BP146" s="244"/>
      <c r="BQ146" s="244"/>
      <c r="BR146" s="244"/>
      <c r="BS146" s="244"/>
      <c r="BT146" s="244"/>
      <c r="BU146" s="244"/>
      <c r="BV146" s="244"/>
      <c r="BW146" s="244"/>
      <c r="BX146" s="244"/>
      <c r="BY146" s="244"/>
      <c r="BZ146" s="244"/>
      <c r="CA146" s="244"/>
      <c r="CB146" s="244"/>
      <c r="CC146" s="244"/>
      <c r="CD146" s="244"/>
      <c r="CE146" s="244"/>
      <c r="CF146" s="244"/>
    </row>
    <row r="147">
      <c r="A147" s="244"/>
      <c r="B147" s="246"/>
      <c r="C147" s="244"/>
      <c r="D147" s="244"/>
      <c r="E147" s="244"/>
      <c r="F147" s="244"/>
      <c r="G147" s="244"/>
      <c r="H147" s="244"/>
      <c r="I147" s="244"/>
      <c r="J147" s="244"/>
      <c r="K147" s="244"/>
      <c r="L147" s="244"/>
      <c r="M147" s="244"/>
      <c r="N147" s="244"/>
      <c r="O147" s="244"/>
      <c r="P147" s="244"/>
      <c r="Q147" s="244"/>
      <c r="R147" s="244"/>
      <c r="S147" s="244"/>
      <c r="T147" s="244"/>
      <c r="U147" s="244"/>
      <c r="V147" s="244"/>
      <c r="W147" s="244"/>
      <c r="X147" s="244"/>
      <c r="Y147" s="244"/>
      <c r="Z147" s="244"/>
      <c r="AA147" s="244"/>
      <c r="AB147" s="244"/>
      <c r="AC147" s="244"/>
      <c r="AD147" s="244"/>
      <c r="AE147" s="244"/>
      <c r="AF147" s="244"/>
      <c r="AG147" s="244"/>
      <c r="AH147" s="244"/>
      <c r="AI147" s="244"/>
      <c r="AJ147" s="244"/>
      <c r="AK147" s="244"/>
      <c r="AL147" s="244"/>
      <c r="AM147" s="244"/>
      <c r="AN147" s="244"/>
      <c r="AO147" s="244"/>
      <c r="AP147" s="244"/>
      <c r="AQ147" s="244"/>
      <c r="AR147" s="244"/>
      <c r="AS147" s="244"/>
      <c r="AT147" s="244"/>
      <c r="AU147" s="244"/>
      <c r="AV147" s="244"/>
      <c r="AW147" s="244"/>
      <c r="AX147" s="244"/>
      <c r="AY147" s="244"/>
      <c r="AZ147" s="244"/>
      <c r="BA147" s="244"/>
      <c r="BB147" s="244"/>
      <c r="BC147" s="244"/>
      <c r="BD147" s="244"/>
      <c r="BE147" s="244"/>
      <c r="BF147" s="244"/>
      <c r="BG147" s="244"/>
      <c r="BH147" s="244"/>
      <c r="BI147" s="244"/>
      <c r="BJ147" s="244"/>
      <c r="BK147" s="244"/>
      <c r="BL147" s="244"/>
      <c r="BM147" s="244"/>
      <c r="BN147" s="244"/>
      <c r="BO147" s="244"/>
      <c r="BP147" s="244"/>
      <c r="BQ147" s="244"/>
      <c r="BR147" s="244"/>
      <c r="BS147" s="244"/>
      <c r="BT147" s="244"/>
      <c r="BU147" s="244"/>
      <c r="BV147" s="244"/>
      <c r="BW147" s="244"/>
      <c r="BX147" s="244"/>
      <c r="BY147" s="244"/>
      <c r="BZ147" s="244"/>
      <c r="CA147" s="244"/>
      <c r="CB147" s="244"/>
      <c r="CC147" s="244"/>
      <c r="CD147" s="244"/>
      <c r="CE147" s="244"/>
      <c r="CF147" s="244"/>
    </row>
    <row r="148">
      <c r="A148" s="244"/>
      <c r="B148" s="246"/>
      <c r="C148" s="244"/>
      <c r="D148" s="244"/>
      <c r="E148" s="244"/>
      <c r="F148" s="244"/>
      <c r="G148" s="244"/>
      <c r="H148" s="244"/>
      <c r="I148" s="244"/>
      <c r="J148" s="244"/>
      <c r="K148" s="244"/>
      <c r="L148" s="244"/>
      <c r="M148" s="244"/>
      <c r="N148" s="244"/>
      <c r="O148" s="244"/>
      <c r="P148" s="244"/>
      <c r="Q148" s="244"/>
      <c r="R148" s="244"/>
      <c r="S148" s="244"/>
      <c r="T148" s="244"/>
      <c r="U148" s="244"/>
      <c r="V148" s="244"/>
      <c r="W148" s="244"/>
      <c r="X148" s="244"/>
      <c r="Y148" s="244"/>
      <c r="Z148" s="244"/>
      <c r="AA148" s="244"/>
      <c r="AB148" s="244"/>
      <c r="AC148" s="244"/>
      <c r="AD148" s="244"/>
      <c r="AE148" s="244"/>
      <c r="AF148" s="244"/>
      <c r="AG148" s="244"/>
      <c r="AH148" s="244"/>
      <c r="AI148" s="244"/>
      <c r="AJ148" s="244"/>
      <c r="AK148" s="244"/>
      <c r="AL148" s="244"/>
      <c r="AM148" s="244"/>
      <c r="AN148" s="244"/>
      <c r="AO148" s="244"/>
      <c r="AP148" s="244"/>
      <c r="AQ148" s="244"/>
      <c r="AR148" s="244"/>
      <c r="AS148" s="244"/>
      <c r="AT148" s="244"/>
      <c r="AU148" s="244"/>
      <c r="AV148" s="244"/>
      <c r="AW148" s="244"/>
      <c r="AX148" s="244"/>
      <c r="AY148" s="244"/>
      <c r="AZ148" s="244"/>
      <c r="BA148" s="244"/>
      <c r="BB148" s="244"/>
      <c r="BC148" s="244"/>
      <c r="BD148" s="244"/>
      <c r="BE148" s="244"/>
      <c r="BF148" s="244"/>
      <c r="BG148" s="244"/>
      <c r="BH148" s="244"/>
      <c r="BI148" s="244"/>
      <c r="BJ148" s="244"/>
      <c r="BK148" s="244"/>
      <c r="BL148" s="244"/>
      <c r="BM148" s="244"/>
      <c r="BN148" s="244"/>
      <c r="BO148" s="244"/>
      <c r="BP148" s="244"/>
      <c r="BQ148" s="244"/>
      <c r="BR148" s="244"/>
      <c r="BS148" s="244"/>
      <c r="BT148" s="244"/>
      <c r="BU148" s="244"/>
      <c r="BV148" s="244"/>
      <c r="BW148" s="244"/>
      <c r="BX148" s="244"/>
      <c r="BY148" s="244"/>
      <c r="BZ148" s="244"/>
      <c r="CA148" s="244"/>
      <c r="CB148" s="244"/>
      <c r="CC148" s="244"/>
      <c r="CD148" s="244"/>
      <c r="CE148" s="244"/>
      <c r="CF148" s="244"/>
    </row>
  </sheetData>
  <mergeCells count="187">
    <mergeCell ref="I94:N94"/>
    <mergeCell ref="I95:N95"/>
    <mergeCell ref="I96:N96"/>
    <mergeCell ref="I97:N97"/>
    <mergeCell ref="C103:AO103"/>
    <mergeCell ref="I98:N98"/>
    <mergeCell ref="I99:N99"/>
    <mergeCell ref="I100:N100"/>
    <mergeCell ref="I88:N88"/>
    <mergeCell ref="I89:N89"/>
    <mergeCell ref="I90:N90"/>
    <mergeCell ref="I91:N91"/>
    <mergeCell ref="I92:N92"/>
    <mergeCell ref="I93:N93"/>
    <mergeCell ref="I82:N82"/>
    <mergeCell ref="I83:N83"/>
    <mergeCell ref="I84:N84"/>
    <mergeCell ref="I85:N85"/>
    <mergeCell ref="I86:N86"/>
    <mergeCell ref="I87:N87"/>
    <mergeCell ref="I76:N76"/>
    <mergeCell ref="I77:N77"/>
    <mergeCell ref="I78:N78"/>
    <mergeCell ref="I79:N79"/>
    <mergeCell ref="I80:N80"/>
    <mergeCell ref="I81:N81"/>
    <mergeCell ref="I70:N70"/>
    <mergeCell ref="I71:N71"/>
    <mergeCell ref="I72:N72"/>
    <mergeCell ref="I73:N73"/>
    <mergeCell ref="I74:N74"/>
    <mergeCell ref="I75:N75"/>
    <mergeCell ref="I64:N64"/>
    <mergeCell ref="I65:N65"/>
    <mergeCell ref="I66:N66"/>
    <mergeCell ref="I67:N67"/>
    <mergeCell ref="I68:N68"/>
    <mergeCell ref="I69:N69"/>
    <mergeCell ref="I58:N58"/>
    <mergeCell ref="I59:N59"/>
    <mergeCell ref="I60:N60"/>
    <mergeCell ref="I61:N61"/>
    <mergeCell ref="I62:N62"/>
    <mergeCell ref="I63:N63"/>
    <mergeCell ref="I52:N52"/>
    <mergeCell ref="I53:N53"/>
    <mergeCell ref="I54:N54"/>
    <mergeCell ref="I55:N55"/>
    <mergeCell ref="I56:N56"/>
    <mergeCell ref="I57:N57"/>
    <mergeCell ref="I46:N46"/>
    <mergeCell ref="I47:N47"/>
    <mergeCell ref="I48:N48"/>
    <mergeCell ref="I49:N49"/>
    <mergeCell ref="I50:N50"/>
    <mergeCell ref="I51:N51"/>
    <mergeCell ref="I40:N40"/>
    <mergeCell ref="I41:N41"/>
    <mergeCell ref="I42:N42"/>
    <mergeCell ref="I43:N43"/>
    <mergeCell ref="I44:N44"/>
    <mergeCell ref="I45:N45"/>
    <mergeCell ref="I34:N34"/>
    <mergeCell ref="I35:N35"/>
    <mergeCell ref="I36:N36"/>
    <mergeCell ref="I37:N37"/>
    <mergeCell ref="I38:N38"/>
    <mergeCell ref="I39:N39"/>
    <mergeCell ref="I28:N28"/>
    <mergeCell ref="I29:N29"/>
    <mergeCell ref="I30:N30"/>
    <mergeCell ref="I31:N31"/>
    <mergeCell ref="I32:N32"/>
    <mergeCell ref="I33:N33"/>
    <mergeCell ref="I24:N24"/>
    <mergeCell ref="I25:N25"/>
    <mergeCell ref="I22:N22"/>
    <mergeCell ref="I23:N23"/>
    <mergeCell ref="I26:N26"/>
    <mergeCell ref="I27:N27"/>
    <mergeCell ref="S6:T6"/>
    <mergeCell ref="U6:V6"/>
    <mergeCell ref="AV20:BB20"/>
    <mergeCell ref="Q19:W20"/>
    <mergeCell ref="Z19:AF20"/>
    <mergeCell ref="AI19:AO20"/>
    <mergeCell ref="AM7:AN7"/>
    <mergeCell ref="Q7:R7"/>
    <mergeCell ref="S7:T7"/>
    <mergeCell ref="U7:V7"/>
    <mergeCell ref="I7:J7"/>
    <mergeCell ref="K7:L7"/>
    <mergeCell ref="M7:N7"/>
    <mergeCell ref="O7:P7"/>
    <mergeCell ref="AI7:AJ7"/>
    <mergeCell ref="AK7:AL7"/>
    <mergeCell ref="AG9:AH9"/>
    <mergeCell ref="AI9:AJ9"/>
    <mergeCell ref="H5:V5"/>
    <mergeCell ref="I6:J6"/>
    <mergeCell ref="K6:L6"/>
    <mergeCell ref="M6:N6"/>
    <mergeCell ref="O6:P6"/>
    <mergeCell ref="Q6:R6"/>
    <mergeCell ref="AC7:AD7"/>
    <mergeCell ref="AE7:AF7"/>
    <mergeCell ref="AG7:AH7"/>
    <mergeCell ref="AB5:AP5"/>
    <mergeCell ref="AC6:AD6"/>
    <mergeCell ref="AE6:AF6"/>
    <mergeCell ref="AG6:AH6"/>
    <mergeCell ref="AI6:AJ6"/>
    <mergeCell ref="AK6:AL6"/>
    <mergeCell ref="AM6:AN6"/>
    <mergeCell ref="AO6:AP6"/>
    <mergeCell ref="AO7:AP7"/>
    <mergeCell ref="AE8:AF8"/>
    <mergeCell ref="AG11:AH11"/>
    <mergeCell ref="AI11:AJ11"/>
    <mergeCell ref="AG10:AH10"/>
    <mergeCell ref="AI10:AJ10"/>
    <mergeCell ref="AK10:AL10"/>
    <mergeCell ref="AM10:AN10"/>
    <mergeCell ref="AK12:AL12"/>
    <mergeCell ref="AM12:AN12"/>
    <mergeCell ref="AM9:AN9"/>
    <mergeCell ref="AI8:AJ8"/>
    <mergeCell ref="AK8:AL8"/>
    <mergeCell ref="AM8:AN8"/>
    <mergeCell ref="AC8:AD8"/>
    <mergeCell ref="AG8:AH8"/>
    <mergeCell ref="AM11:AN11"/>
    <mergeCell ref="AO11:AP11"/>
    <mergeCell ref="I12:J12"/>
    <mergeCell ref="AE11:AF11"/>
    <mergeCell ref="K12:L12"/>
    <mergeCell ref="M12:N12"/>
    <mergeCell ref="O12:P12"/>
    <mergeCell ref="U9:V9"/>
    <mergeCell ref="AC9:AD9"/>
    <mergeCell ref="AE9:AF9"/>
    <mergeCell ref="U11:V11"/>
    <mergeCell ref="AC11:AD11"/>
    <mergeCell ref="AK11:AL11"/>
    <mergeCell ref="I11:J11"/>
    <mergeCell ref="K11:L11"/>
    <mergeCell ref="M11:N11"/>
    <mergeCell ref="O11:P11"/>
    <mergeCell ref="Q11:R11"/>
    <mergeCell ref="S11:T11"/>
    <mergeCell ref="AO12:AP12"/>
    <mergeCell ref="AO10:AP10"/>
    <mergeCell ref="AK9:AL9"/>
    <mergeCell ref="AO8:AP8"/>
    <mergeCell ref="I9:J9"/>
    <mergeCell ref="K9:L9"/>
    <mergeCell ref="M9:N9"/>
    <mergeCell ref="O9:P9"/>
    <mergeCell ref="Q9:R9"/>
    <mergeCell ref="S9:T9"/>
    <mergeCell ref="AO9:AP9"/>
    <mergeCell ref="I10:J10"/>
    <mergeCell ref="K10:L10"/>
    <mergeCell ref="M10:N10"/>
    <mergeCell ref="O10:P10"/>
    <mergeCell ref="Q10:R10"/>
    <mergeCell ref="S10:T10"/>
    <mergeCell ref="I8:J8"/>
    <mergeCell ref="K8:L8"/>
    <mergeCell ref="M8:N8"/>
    <mergeCell ref="O8:P8"/>
    <mergeCell ref="Q8:R8"/>
    <mergeCell ref="S8:T8"/>
    <mergeCell ref="U10:V10"/>
    <mergeCell ref="AC10:AD10"/>
    <mergeCell ref="AE10:AF10"/>
    <mergeCell ref="U8:V8"/>
    <mergeCell ref="O14:U14"/>
    <mergeCell ref="W14:AC14"/>
    <mergeCell ref="AE14:AK14"/>
    <mergeCell ref="S12:T12"/>
    <mergeCell ref="U12:V12"/>
    <mergeCell ref="AC12:AD12"/>
    <mergeCell ref="AE12:AF12"/>
    <mergeCell ref="AG12:AH12"/>
    <mergeCell ref="AI12:AJ12"/>
    <mergeCell ref="Q12:R12"/>
  </mergeCells>
  <phoneticPr fontId="0" type="noConversion"/>
  <printOptions horizontalCentered="1" verticalCentered="1"/>
  <pageMargins left="0.25" right="0.25" top="0.25" bottom="0.25" header="0.17" footer="0.32"/>
  <pageSetup scale="56" orientation="landscape" r:id="rId1"/>
  <headerFooter alignWithMargins="0">
    <oddHeader/>
    <oddFooter/>
  </headerFooter>
  <drawing r:id="rId5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Manager>31135290</Manager>
  <Company>131</Company>
  <Pages>0</Pages>
  <Words>0</Words>
  <Characters>0</Characters>
  <Lines>0</Lines>
  <Paragraphs>0</Paragraphs>
  <Slides>0</Slides>
  <Notes>0</Notes>
  <TotalTime>0</TotalTime>
  <HiddenSlides>0</HiddenSlides>
  <MMClips>0</MMClips>
  <ScaleCrop>0</ScaleCrop>
  <HeadingPairs>
    <vt:vector baseType="variant" size="4">
      <vt:variant>
        <vt:lpstr>Worksheets</vt:lpstr>
      </vt:variant>
      <vt:variant>
        <vt:i4>16</vt:i4>
      </vt:variant>
      <vt:variant>
        <vt:lpstr>Named Ranges</vt:lpstr>
      </vt:variant>
      <vt:variant>
        <vt:i4>16</vt:i4>
      </vt:variant>
    </vt:vector>
  </HeadingPairs>
  <TitlesOfParts>
    <vt:vector baseType="lpstr" size="32">
      <vt:lpstr>Table of Contents</vt:lpstr>
      <vt:lpstr>Summary</vt:lpstr>
      <vt:lpstr>Plus Summary</vt:lpstr>
      <vt:lpstr>Combined</vt:lpstr>
      <vt:lpstr>MTD Classic</vt:lpstr>
      <vt:lpstr>Occ</vt:lpstr>
      <vt:lpstr>Occ Plus</vt:lpstr>
      <vt:lpstr>ADR</vt:lpstr>
      <vt:lpstr>ADR Plus</vt:lpstr>
      <vt:lpstr>RevPAR</vt:lpstr>
      <vt:lpstr>RevPAR Plus</vt:lpstr>
      <vt:lpstr>Other Revenue</vt:lpstr>
      <vt:lpstr>WeeklySTARsight</vt:lpstr>
      <vt:lpstr>Response</vt:lpstr>
      <vt:lpstr>Response Plus</vt:lpstr>
      <vt:lpstr>Help</vt:lpstr>
      <vt:lpstr>ADR!Print_Area</vt:lpstr>
      <vt:lpstr>'ADR Plus'!Print_Area</vt:lpstr>
      <vt:lpstr>Combined!Print_Area</vt:lpstr>
      <vt:lpstr>Help!Print_Area</vt:lpstr>
      <vt:lpstr>'MTD Classic'!Print_Area</vt:lpstr>
      <vt:lpstr>Occ!Print_Area</vt:lpstr>
      <vt:lpstr>'Occ Plus'!Print_Area</vt:lpstr>
      <vt:lpstr>'Other Revenue'!Print_Area</vt:lpstr>
      <vt:lpstr>'Plus Summary'!Print_Area</vt:lpstr>
      <vt:lpstr>Response!Print_Area</vt:lpstr>
      <vt:lpstr>'Response Plus'!Print_Area</vt:lpstr>
      <vt:lpstr>RevPAR!Print_Area</vt:lpstr>
      <vt:lpstr>'RevPAR Plus'!Print_Area</vt:lpstr>
      <vt:lpstr>Summary!Print_Area</vt:lpstr>
      <vt:lpstr>'Table of Contents'!Print_Area</vt:lpstr>
      <vt:lpstr>WeeklySTARsight!Print_Area</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634</cp:category>
  <dcterms:created xsi:type="dcterms:W3CDTF">2003-06-11T18:24:11Z</dcterms:created>
  <dc:creator>STR, Inc.</dc:creator>
  <cp:keywords>60180</cp:keywords>
  <cp:lastModifiedBy>Jim Hawkins</cp:lastModifiedBy>
  <cp:lastPrinted>2016-02-16T16:32:42Z</cp:lastPrinted>
  <dcterms:modified xsi:type="dcterms:W3CDTF">2023-04-05T19:50:13Z</dcterms:modified>
  <dc:subject>60180</dc:subject>
  <dc:title>Weekly STAR</dc:title>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